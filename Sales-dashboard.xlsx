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SHBOARDS\"/>
    </mc:Choice>
  </mc:AlternateContent>
  <xr:revisionPtr revIDLastSave="0" documentId="13_ncr:1_{EE47E974-A8AF-4BCF-8FDC-A1803879386D}" xr6:coauthVersionLast="47" xr6:coauthVersionMax="47" xr10:uidLastSave="{00000000-0000-0000-0000-000000000000}"/>
  <bookViews>
    <workbookView xWindow="-108" yWindow="-108" windowWidth="23256" windowHeight="12456" activeTab="2" xr2:uid="{E2B5BA18-2360-46C0-A3F5-894EBECC2A59}"/>
  </bookViews>
  <sheets>
    <sheet name="maintable" sheetId="5" r:id="rId1"/>
    <sheet name="pivot tables" sheetId="2" r:id="rId2"/>
    <sheet name="DASHBOARD" sheetId="6" r:id="rId3"/>
  </sheets>
  <definedNames>
    <definedName name="_xlcn.WorksheetConnection_amazondataset.xlsxmaintable_2" hidden="1">maintable_2[]</definedName>
    <definedName name="Slicer_Category">#N/A</definedName>
    <definedName name="Slicer_MONTH">#N/A</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s>
  <extLst>
    <ext xmlns:x14="http://schemas.microsoft.com/office/spreadsheetml/2009/9/main" uri="{876F7934-8845-4945-9796-88D515C7AA90}">
      <x14:pivotCaches>
        <pivotCache cacheId="17"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intable_2" name="maintable_2" connection="WorksheetConnection_amazon dataset.xlsx!maintable_2"/>
        </x15:modelTables>
        <x15:extLst>
          <ext xmlns:x16="http://schemas.microsoft.com/office/spreadsheetml/2014/11/main" uri="{9835A34E-60A6-4A7C-AAB8-D5F71C897F49}">
            <x16:modelTimeGroupings>
              <x16:modelTimeGrouping tableName="maintable_2" columnName="Order Date" columnId="Order Date 1">
                <x16:calculatedTimeColumn columnName="Order Date.1 (Year)" columnId="Order Date 1 (Year)" contentType="years" isSelected="1"/>
                <x16:calculatedTimeColumn columnName="Order Date.1 (Quarter)" columnId="Order Date 1 (Quarter)" contentType="quarters" isSelected="1"/>
                <x16:calculatedTimeColumn columnName="Order Date.1 (Month Index)" columnId="Order Date 1 (Month Index)" contentType="monthsindex" isSelected="1"/>
                <x16:calculatedTimeColumn columnName="Order Date.1 (Month)" columnId="Order Date 1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204" i="5" l="1"/>
  <c r="L3203" i="5"/>
  <c r="L3202" i="5"/>
  <c r="L3201" i="5"/>
  <c r="L3200" i="5"/>
  <c r="L3199" i="5"/>
  <c r="L3198" i="5"/>
  <c r="L3197" i="5"/>
  <c r="L3196" i="5"/>
  <c r="L3195" i="5"/>
  <c r="L3194" i="5"/>
  <c r="L3193" i="5"/>
  <c r="L3192" i="5"/>
  <c r="L3191" i="5"/>
  <c r="L3190" i="5"/>
  <c r="L3189" i="5"/>
  <c r="L3188" i="5"/>
  <c r="L3187" i="5"/>
  <c r="L3186" i="5"/>
  <c r="L3185" i="5"/>
  <c r="L3184" i="5"/>
  <c r="L3183" i="5"/>
  <c r="L3182" i="5"/>
  <c r="L3181" i="5"/>
  <c r="L3180" i="5"/>
  <c r="L3179" i="5"/>
  <c r="L3178" i="5"/>
  <c r="L3177" i="5"/>
  <c r="L3176" i="5"/>
  <c r="L3175" i="5"/>
  <c r="L3174" i="5"/>
  <c r="L3173" i="5"/>
  <c r="L3172" i="5"/>
  <c r="L3171" i="5"/>
  <c r="L3170" i="5"/>
  <c r="L3169" i="5"/>
  <c r="L3168" i="5"/>
  <c r="L3167" i="5"/>
  <c r="L3166" i="5"/>
  <c r="L3165" i="5"/>
  <c r="L3164" i="5"/>
  <c r="L3163" i="5"/>
  <c r="L3162" i="5"/>
  <c r="L3161" i="5"/>
  <c r="L3160" i="5"/>
  <c r="L3159" i="5"/>
  <c r="L3158" i="5"/>
  <c r="L3157" i="5"/>
  <c r="L3156" i="5"/>
  <c r="L3155" i="5"/>
  <c r="L3154" i="5"/>
  <c r="L3153" i="5"/>
  <c r="L3152" i="5"/>
  <c r="L3151" i="5"/>
  <c r="L3150" i="5"/>
  <c r="L3149" i="5"/>
  <c r="L3148" i="5"/>
  <c r="L3147" i="5"/>
  <c r="L3146" i="5"/>
  <c r="L3145" i="5"/>
  <c r="L3144" i="5"/>
  <c r="L3143" i="5"/>
  <c r="L3142" i="5"/>
  <c r="L3141" i="5"/>
  <c r="L3140" i="5"/>
  <c r="L3139" i="5"/>
  <c r="L3138" i="5"/>
  <c r="L3137" i="5"/>
  <c r="L3136" i="5"/>
  <c r="L3135" i="5"/>
  <c r="L3134" i="5"/>
  <c r="L3133" i="5"/>
  <c r="L3132" i="5"/>
  <c r="L3131" i="5"/>
  <c r="L3130" i="5"/>
  <c r="L3129" i="5"/>
  <c r="L3128" i="5"/>
  <c r="L3127" i="5"/>
  <c r="L3126" i="5"/>
  <c r="L3125" i="5"/>
  <c r="L3124" i="5"/>
  <c r="L3123" i="5"/>
  <c r="L3122" i="5"/>
  <c r="L3121" i="5"/>
  <c r="L3120" i="5"/>
  <c r="L3119" i="5"/>
  <c r="L3118" i="5"/>
  <c r="L3117" i="5"/>
  <c r="L3116" i="5"/>
  <c r="L3115" i="5"/>
  <c r="L3114" i="5"/>
  <c r="L3113" i="5"/>
  <c r="L3112" i="5"/>
  <c r="L3111" i="5"/>
  <c r="L3110" i="5"/>
  <c r="L3109" i="5"/>
  <c r="L3108" i="5"/>
  <c r="L3107" i="5"/>
  <c r="L3106" i="5"/>
  <c r="L3105" i="5"/>
  <c r="L3104" i="5"/>
  <c r="L3103" i="5"/>
  <c r="L3102" i="5"/>
  <c r="L3101" i="5"/>
  <c r="L3100" i="5"/>
  <c r="L3099" i="5"/>
  <c r="L3098" i="5"/>
  <c r="L3097" i="5"/>
  <c r="L3096" i="5"/>
  <c r="L3095" i="5"/>
  <c r="L3094" i="5"/>
  <c r="L3093" i="5"/>
  <c r="L3092" i="5"/>
  <c r="L3091" i="5"/>
  <c r="L3090" i="5"/>
  <c r="L3089" i="5"/>
  <c r="L3088" i="5"/>
  <c r="L3087" i="5"/>
  <c r="L3086" i="5"/>
  <c r="L3085" i="5"/>
  <c r="L3084" i="5"/>
  <c r="L3083" i="5"/>
  <c r="L3082" i="5"/>
  <c r="L3081" i="5"/>
  <c r="L3080" i="5"/>
  <c r="L3079" i="5"/>
  <c r="L3078" i="5"/>
  <c r="L3077" i="5"/>
  <c r="L3076" i="5"/>
  <c r="L3075" i="5"/>
  <c r="L3074" i="5"/>
  <c r="L3073" i="5"/>
  <c r="L3072" i="5"/>
  <c r="L3071" i="5"/>
  <c r="L3070" i="5"/>
  <c r="L3069" i="5"/>
  <c r="L3068" i="5"/>
  <c r="L3067" i="5"/>
  <c r="L3066" i="5"/>
  <c r="L3065" i="5"/>
  <c r="L3064" i="5"/>
  <c r="L3063" i="5"/>
  <c r="L3062" i="5"/>
  <c r="L3061" i="5"/>
  <c r="L3060" i="5"/>
  <c r="L3059" i="5"/>
  <c r="L3058" i="5"/>
  <c r="L3057" i="5"/>
  <c r="L3056" i="5"/>
  <c r="L3055" i="5"/>
  <c r="L3054" i="5"/>
  <c r="L3053" i="5"/>
  <c r="L3052" i="5"/>
  <c r="L3051" i="5"/>
  <c r="L3050" i="5"/>
  <c r="L3049" i="5"/>
  <c r="L3048" i="5"/>
  <c r="L3047" i="5"/>
  <c r="L3046" i="5"/>
  <c r="L3045" i="5"/>
  <c r="L3044" i="5"/>
  <c r="L3043" i="5"/>
  <c r="L3042" i="5"/>
  <c r="L3041" i="5"/>
  <c r="L3040" i="5"/>
  <c r="L3039" i="5"/>
  <c r="L3038" i="5"/>
  <c r="L3037" i="5"/>
  <c r="L3036" i="5"/>
  <c r="L3035" i="5"/>
  <c r="L3034" i="5"/>
  <c r="L3033" i="5"/>
  <c r="L3032" i="5"/>
  <c r="L3031" i="5"/>
  <c r="L3030" i="5"/>
  <c r="L3029" i="5"/>
  <c r="L3028" i="5"/>
  <c r="L3027" i="5"/>
  <c r="L3026" i="5"/>
  <c r="L3025" i="5"/>
  <c r="L3024" i="5"/>
  <c r="L3023" i="5"/>
  <c r="L3022" i="5"/>
  <c r="L3021" i="5"/>
  <c r="L3020" i="5"/>
  <c r="L3019" i="5"/>
  <c r="L3018" i="5"/>
  <c r="L3017" i="5"/>
  <c r="L3016" i="5"/>
  <c r="L3015" i="5"/>
  <c r="L3014" i="5"/>
  <c r="L3013" i="5"/>
  <c r="L3012" i="5"/>
  <c r="L3011" i="5"/>
  <c r="L3010" i="5"/>
  <c r="L3009" i="5"/>
  <c r="L3008" i="5"/>
  <c r="L3007" i="5"/>
  <c r="L3006" i="5"/>
  <c r="L3005" i="5"/>
  <c r="L3004" i="5"/>
  <c r="L3003" i="5"/>
  <c r="L3002" i="5"/>
  <c r="L3001" i="5"/>
  <c r="L3000" i="5"/>
  <c r="L2999" i="5"/>
  <c r="L2998" i="5"/>
  <c r="L2997" i="5"/>
  <c r="L2996" i="5"/>
  <c r="L2995" i="5"/>
  <c r="L2994" i="5"/>
  <c r="L2993" i="5"/>
  <c r="L2992" i="5"/>
  <c r="L2991" i="5"/>
  <c r="L2990" i="5"/>
  <c r="L2989" i="5"/>
  <c r="L2988" i="5"/>
  <c r="L2987" i="5"/>
  <c r="L2986" i="5"/>
  <c r="L2985" i="5"/>
  <c r="L2984" i="5"/>
  <c r="L2983" i="5"/>
  <c r="L2982" i="5"/>
  <c r="L2981" i="5"/>
  <c r="L2980" i="5"/>
  <c r="L2979" i="5"/>
  <c r="L2978" i="5"/>
  <c r="L2977" i="5"/>
  <c r="L2976" i="5"/>
  <c r="L2975" i="5"/>
  <c r="L2974" i="5"/>
  <c r="L2973" i="5"/>
  <c r="L2972" i="5"/>
  <c r="L2971" i="5"/>
  <c r="L2970" i="5"/>
  <c r="L2969" i="5"/>
  <c r="L2968" i="5"/>
  <c r="L2967" i="5"/>
  <c r="L2966" i="5"/>
  <c r="L2965" i="5"/>
  <c r="L2964" i="5"/>
  <c r="L2963" i="5"/>
  <c r="L2962" i="5"/>
  <c r="L2961" i="5"/>
  <c r="L2960" i="5"/>
  <c r="L2959" i="5"/>
  <c r="L2958" i="5"/>
  <c r="L2957" i="5"/>
  <c r="L2956" i="5"/>
  <c r="L2955" i="5"/>
  <c r="L2954" i="5"/>
  <c r="L2953" i="5"/>
  <c r="L2952" i="5"/>
  <c r="L2951" i="5"/>
  <c r="L2950" i="5"/>
  <c r="L2949" i="5"/>
  <c r="L2948" i="5"/>
  <c r="L2947" i="5"/>
  <c r="L2946" i="5"/>
  <c r="L2945" i="5"/>
  <c r="L2944" i="5"/>
  <c r="L2943" i="5"/>
  <c r="L2942" i="5"/>
  <c r="L2941" i="5"/>
  <c r="L2940" i="5"/>
  <c r="L2939" i="5"/>
  <c r="L2938" i="5"/>
  <c r="L2937" i="5"/>
  <c r="L2936" i="5"/>
  <c r="L2935" i="5"/>
  <c r="L2934" i="5"/>
  <c r="L2933" i="5"/>
  <c r="L2932" i="5"/>
  <c r="L2931" i="5"/>
  <c r="L2930" i="5"/>
  <c r="L2929" i="5"/>
  <c r="L2928" i="5"/>
  <c r="L2927" i="5"/>
  <c r="L2926" i="5"/>
  <c r="L2925" i="5"/>
  <c r="L2924" i="5"/>
  <c r="L2923" i="5"/>
  <c r="L2922" i="5"/>
  <c r="L2921" i="5"/>
  <c r="L2920" i="5"/>
  <c r="L2919" i="5"/>
  <c r="L2918" i="5"/>
  <c r="L2917" i="5"/>
  <c r="L2916" i="5"/>
  <c r="L2915" i="5"/>
  <c r="L2914" i="5"/>
  <c r="L2913" i="5"/>
  <c r="L2912" i="5"/>
  <c r="L2911" i="5"/>
  <c r="L2910" i="5"/>
  <c r="L2909" i="5"/>
  <c r="L2908" i="5"/>
  <c r="L2907" i="5"/>
  <c r="L2906" i="5"/>
  <c r="L2905" i="5"/>
  <c r="L2904" i="5"/>
  <c r="L2903" i="5"/>
  <c r="L2902" i="5"/>
  <c r="L2901" i="5"/>
  <c r="L2900" i="5"/>
  <c r="L2899" i="5"/>
  <c r="L2898" i="5"/>
  <c r="L2897" i="5"/>
  <c r="L2896" i="5"/>
  <c r="L2895" i="5"/>
  <c r="L2894" i="5"/>
  <c r="L2893" i="5"/>
  <c r="L2892" i="5"/>
  <c r="L2891" i="5"/>
  <c r="L2890" i="5"/>
  <c r="L2889" i="5"/>
  <c r="L2888" i="5"/>
  <c r="L2887" i="5"/>
  <c r="L2886" i="5"/>
  <c r="L2885" i="5"/>
  <c r="L2884" i="5"/>
  <c r="L2883" i="5"/>
  <c r="L2882" i="5"/>
  <c r="L2881" i="5"/>
  <c r="L2880" i="5"/>
  <c r="L2879" i="5"/>
  <c r="L2878" i="5"/>
  <c r="L2877" i="5"/>
  <c r="L2876" i="5"/>
  <c r="L2875" i="5"/>
  <c r="L2874" i="5"/>
  <c r="L2873" i="5"/>
  <c r="L2872" i="5"/>
  <c r="L2871" i="5"/>
  <c r="L2870" i="5"/>
  <c r="L2869" i="5"/>
  <c r="L2868" i="5"/>
  <c r="L2867" i="5"/>
  <c r="L2866" i="5"/>
  <c r="L2865" i="5"/>
  <c r="L2864" i="5"/>
  <c r="L2863" i="5"/>
  <c r="L2862" i="5"/>
  <c r="L2861" i="5"/>
  <c r="L2860" i="5"/>
  <c r="L2859" i="5"/>
  <c r="L2858" i="5"/>
  <c r="L2857" i="5"/>
  <c r="L2856" i="5"/>
  <c r="L2855" i="5"/>
  <c r="L2854" i="5"/>
  <c r="L2853" i="5"/>
  <c r="L2852" i="5"/>
  <c r="L2851" i="5"/>
  <c r="L2850" i="5"/>
  <c r="L2849" i="5"/>
  <c r="L2848" i="5"/>
  <c r="L2847" i="5"/>
  <c r="L2846" i="5"/>
  <c r="L2845" i="5"/>
  <c r="L2844" i="5"/>
  <c r="L2843" i="5"/>
  <c r="L2842" i="5"/>
  <c r="L2841" i="5"/>
  <c r="L2840" i="5"/>
  <c r="L2839" i="5"/>
  <c r="L2838" i="5"/>
  <c r="L2837" i="5"/>
  <c r="L2836" i="5"/>
  <c r="L2835" i="5"/>
  <c r="L2834" i="5"/>
  <c r="L2833" i="5"/>
  <c r="L2832" i="5"/>
  <c r="L2831" i="5"/>
  <c r="L2830" i="5"/>
  <c r="L2829" i="5"/>
  <c r="L2828" i="5"/>
  <c r="L2827" i="5"/>
  <c r="L2826" i="5"/>
  <c r="L2825" i="5"/>
  <c r="L2824" i="5"/>
  <c r="L2823" i="5"/>
  <c r="L2822" i="5"/>
  <c r="L2821" i="5"/>
  <c r="L2820" i="5"/>
  <c r="L2819" i="5"/>
  <c r="L2818" i="5"/>
  <c r="L2817" i="5"/>
  <c r="L2816" i="5"/>
  <c r="L2815" i="5"/>
  <c r="L2814" i="5"/>
  <c r="L2813" i="5"/>
  <c r="L2812" i="5"/>
  <c r="L2811" i="5"/>
  <c r="L2810" i="5"/>
  <c r="L2809" i="5"/>
  <c r="L2808" i="5"/>
  <c r="L2807" i="5"/>
  <c r="L2806" i="5"/>
  <c r="L2805" i="5"/>
  <c r="L2804" i="5"/>
  <c r="L2803" i="5"/>
  <c r="L2802" i="5"/>
  <c r="L2801" i="5"/>
  <c r="L2800" i="5"/>
  <c r="L2799" i="5"/>
  <c r="L2798" i="5"/>
  <c r="L2797" i="5"/>
  <c r="L2796" i="5"/>
  <c r="L2795" i="5"/>
  <c r="L2794" i="5"/>
  <c r="L2793" i="5"/>
  <c r="L2792" i="5"/>
  <c r="L2791" i="5"/>
  <c r="L2790" i="5"/>
  <c r="L2789" i="5"/>
  <c r="L2788" i="5"/>
  <c r="L2787" i="5"/>
  <c r="L2786" i="5"/>
  <c r="L2785" i="5"/>
  <c r="L2784" i="5"/>
  <c r="L2783" i="5"/>
  <c r="L2782" i="5"/>
  <c r="L2781" i="5"/>
  <c r="L2780" i="5"/>
  <c r="L2779" i="5"/>
  <c r="L2778" i="5"/>
  <c r="L2777" i="5"/>
  <c r="L2776" i="5"/>
  <c r="L2775" i="5"/>
  <c r="L2774" i="5"/>
  <c r="L2773" i="5"/>
  <c r="L2772" i="5"/>
  <c r="L2771" i="5"/>
  <c r="L2770" i="5"/>
  <c r="L2769" i="5"/>
  <c r="L2768" i="5"/>
  <c r="L2767" i="5"/>
  <c r="L2766" i="5"/>
  <c r="L2765" i="5"/>
  <c r="L2764" i="5"/>
  <c r="L2763" i="5"/>
  <c r="L2762" i="5"/>
  <c r="L2761" i="5"/>
  <c r="L2760" i="5"/>
  <c r="L2759" i="5"/>
  <c r="L2758" i="5"/>
  <c r="L2757" i="5"/>
  <c r="L2756" i="5"/>
  <c r="L2755" i="5"/>
  <c r="L2754" i="5"/>
  <c r="L2753" i="5"/>
  <c r="L2752" i="5"/>
  <c r="L2751" i="5"/>
  <c r="L2750" i="5"/>
  <c r="L2749" i="5"/>
  <c r="L2748" i="5"/>
  <c r="L2747" i="5"/>
  <c r="L2746" i="5"/>
  <c r="L2745" i="5"/>
  <c r="L2744" i="5"/>
  <c r="L2743" i="5"/>
  <c r="L2742" i="5"/>
  <c r="L2741" i="5"/>
  <c r="L2740" i="5"/>
  <c r="L2739" i="5"/>
  <c r="L2738" i="5"/>
  <c r="L2737" i="5"/>
  <c r="L2736" i="5"/>
  <c r="L2735" i="5"/>
  <c r="L2734" i="5"/>
  <c r="L2733" i="5"/>
  <c r="L2732" i="5"/>
  <c r="L2731" i="5"/>
  <c r="L2730" i="5"/>
  <c r="L2729" i="5"/>
  <c r="L2728" i="5"/>
  <c r="L2727" i="5"/>
  <c r="L2726" i="5"/>
  <c r="L2725" i="5"/>
  <c r="L2724" i="5"/>
  <c r="L2723" i="5"/>
  <c r="L2722" i="5"/>
  <c r="L2721" i="5"/>
  <c r="L2720" i="5"/>
  <c r="L2719" i="5"/>
  <c r="L2718" i="5"/>
  <c r="L2717" i="5"/>
  <c r="L2716" i="5"/>
  <c r="L2715" i="5"/>
  <c r="L2714" i="5"/>
  <c r="L2713" i="5"/>
  <c r="L2712" i="5"/>
  <c r="L2711" i="5"/>
  <c r="L2710" i="5"/>
  <c r="L2709" i="5"/>
  <c r="L2708" i="5"/>
  <c r="L2707" i="5"/>
  <c r="L2706" i="5"/>
  <c r="L2705" i="5"/>
  <c r="L2704" i="5"/>
  <c r="L2703" i="5"/>
  <c r="L2702" i="5"/>
  <c r="L2701" i="5"/>
  <c r="L2700" i="5"/>
  <c r="L2699" i="5"/>
  <c r="L2698" i="5"/>
  <c r="L2697" i="5"/>
  <c r="L2696" i="5"/>
  <c r="L2695" i="5"/>
  <c r="L2694" i="5"/>
  <c r="L2693" i="5"/>
  <c r="L2692" i="5"/>
  <c r="L2691" i="5"/>
  <c r="L2690" i="5"/>
  <c r="L2689" i="5"/>
  <c r="L2688" i="5"/>
  <c r="L2687" i="5"/>
  <c r="L2686" i="5"/>
  <c r="L2685" i="5"/>
  <c r="L2684" i="5"/>
  <c r="L2683" i="5"/>
  <c r="L2682" i="5"/>
  <c r="L2681" i="5"/>
  <c r="L2680" i="5"/>
  <c r="L2679" i="5"/>
  <c r="L2678" i="5"/>
  <c r="L2677" i="5"/>
  <c r="L2676" i="5"/>
  <c r="L2675" i="5"/>
  <c r="L2674" i="5"/>
  <c r="L2673" i="5"/>
  <c r="L2672" i="5"/>
  <c r="L2671" i="5"/>
  <c r="L2670" i="5"/>
  <c r="L2669" i="5"/>
  <c r="L2668" i="5"/>
  <c r="L2667" i="5"/>
  <c r="L2666" i="5"/>
  <c r="L2665" i="5"/>
  <c r="L2664" i="5"/>
  <c r="L2663" i="5"/>
  <c r="L2662" i="5"/>
  <c r="L2661" i="5"/>
  <c r="L2660" i="5"/>
  <c r="L2659" i="5"/>
  <c r="L2658" i="5"/>
  <c r="L2657" i="5"/>
  <c r="L2656" i="5"/>
  <c r="L2655" i="5"/>
  <c r="L2654" i="5"/>
  <c r="L2653" i="5"/>
  <c r="L2652" i="5"/>
  <c r="L2651" i="5"/>
  <c r="L2650" i="5"/>
  <c r="L2649" i="5"/>
  <c r="L2648" i="5"/>
  <c r="L2647" i="5"/>
  <c r="L2646" i="5"/>
  <c r="L2645" i="5"/>
  <c r="L2644" i="5"/>
  <c r="L2643" i="5"/>
  <c r="L2642" i="5"/>
  <c r="L2641" i="5"/>
  <c r="L2640" i="5"/>
  <c r="L2639" i="5"/>
  <c r="L2638" i="5"/>
  <c r="L2637" i="5"/>
  <c r="L2636" i="5"/>
  <c r="L2635" i="5"/>
  <c r="L2634" i="5"/>
  <c r="L2633" i="5"/>
  <c r="L2632" i="5"/>
  <c r="L2631" i="5"/>
  <c r="L2630" i="5"/>
  <c r="L2629" i="5"/>
  <c r="L2628" i="5"/>
  <c r="L2627" i="5"/>
  <c r="L2626" i="5"/>
  <c r="L2625" i="5"/>
  <c r="L2624" i="5"/>
  <c r="L2623" i="5"/>
  <c r="L2622" i="5"/>
  <c r="L2621" i="5"/>
  <c r="L2620" i="5"/>
  <c r="L2619" i="5"/>
  <c r="L2618" i="5"/>
  <c r="L2617" i="5"/>
  <c r="L2616" i="5"/>
  <c r="L2615" i="5"/>
  <c r="L2614" i="5"/>
  <c r="L2613" i="5"/>
  <c r="L2612" i="5"/>
  <c r="L2611" i="5"/>
  <c r="L2610" i="5"/>
  <c r="L2609" i="5"/>
  <c r="L2608" i="5"/>
  <c r="L2607" i="5"/>
  <c r="L2606" i="5"/>
  <c r="L2605" i="5"/>
  <c r="L2604" i="5"/>
  <c r="L2603" i="5"/>
  <c r="L2602" i="5"/>
  <c r="L2601" i="5"/>
  <c r="L2600" i="5"/>
  <c r="L2599" i="5"/>
  <c r="L2598" i="5"/>
  <c r="L2597" i="5"/>
  <c r="L2596" i="5"/>
  <c r="L2595" i="5"/>
  <c r="L2594" i="5"/>
  <c r="L2593" i="5"/>
  <c r="L2592" i="5"/>
  <c r="L2591" i="5"/>
  <c r="L2590" i="5"/>
  <c r="L2589" i="5"/>
  <c r="L2588" i="5"/>
  <c r="L2587" i="5"/>
  <c r="L2586" i="5"/>
  <c r="L2585" i="5"/>
  <c r="L2584" i="5"/>
  <c r="L2583" i="5"/>
  <c r="L2582" i="5"/>
  <c r="L2581" i="5"/>
  <c r="L2580" i="5"/>
  <c r="L2579" i="5"/>
  <c r="L2578" i="5"/>
  <c r="L2577" i="5"/>
  <c r="L2576" i="5"/>
  <c r="L2575" i="5"/>
  <c r="L2574" i="5"/>
  <c r="L2573" i="5"/>
  <c r="L2572" i="5"/>
  <c r="L2571" i="5"/>
  <c r="L2570" i="5"/>
  <c r="L2569" i="5"/>
  <c r="L2568" i="5"/>
  <c r="L2567" i="5"/>
  <c r="L2566" i="5"/>
  <c r="L2565" i="5"/>
  <c r="L2564" i="5"/>
  <c r="L2563" i="5"/>
  <c r="L2562" i="5"/>
  <c r="L2561" i="5"/>
  <c r="L2560" i="5"/>
  <c r="L2559" i="5"/>
  <c r="L2558" i="5"/>
  <c r="L2557" i="5"/>
  <c r="L2556" i="5"/>
  <c r="L2555" i="5"/>
  <c r="L2554" i="5"/>
  <c r="L2553" i="5"/>
  <c r="L2552" i="5"/>
  <c r="L2551" i="5"/>
  <c r="L2550" i="5"/>
  <c r="L2549" i="5"/>
  <c r="L2548" i="5"/>
  <c r="L2547" i="5"/>
  <c r="L2546" i="5"/>
  <c r="L2545" i="5"/>
  <c r="L2544" i="5"/>
  <c r="L2543" i="5"/>
  <c r="L2542" i="5"/>
  <c r="L2541" i="5"/>
  <c r="L2540" i="5"/>
  <c r="L2539" i="5"/>
  <c r="L2538" i="5"/>
  <c r="L2537" i="5"/>
  <c r="L2536" i="5"/>
  <c r="L2535" i="5"/>
  <c r="L2534" i="5"/>
  <c r="L2533" i="5"/>
  <c r="L2532" i="5"/>
  <c r="L2531" i="5"/>
  <c r="L2530" i="5"/>
  <c r="L2529" i="5"/>
  <c r="L2528" i="5"/>
  <c r="L2527" i="5"/>
  <c r="L2526" i="5"/>
  <c r="L2525" i="5"/>
  <c r="L2524" i="5"/>
  <c r="L2523" i="5"/>
  <c r="L2522" i="5"/>
  <c r="L2521" i="5"/>
  <c r="L2520" i="5"/>
  <c r="L2519" i="5"/>
  <c r="L2518" i="5"/>
  <c r="L2517" i="5"/>
  <c r="L2516" i="5"/>
  <c r="L2515" i="5"/>
  <c r="L2514" i="5"/>
  <c r="L2513" i="5"/>
  <c r="L2512" i="5"/>
  <c r="L2511" i="5"/>
  <c r="L2510" i="5"/>
  <c r="L2509" i="5"/>
  <c r="L2508" i="5"/>
  <c r="L2507" i="5"/>
  <c r="L2506" i="5"/>
  <c r="L2505" i="5"/>
  <c r="L2504" i="5"/>
  <c r="L2503" i="5"/>
  <c r="L2502" i="5"/>
  <c r="L2501" i="5"/>
  <c r="L2500" i="5"/>
  <c r="L2499" i="5"/>
  <c r="L2498" i="5"/>
  <c r="L2497" i="5"/>
  <c r="L2496" i="5"/>
  <c r="L2495" i="5"/>
  <c r="L2494" i="5"/>
  <c r="L2493" i="5"/>
  <c r="L2492" i="5"/>
  <c r="L2491" i="5"/>
  <c r="L2490" i="5"/>
  <c r="L2489" i="5"/>
  <c r="L2488" i="5"/>
  <c r="L2487" i="5"/>
  <c r="L2486" i="5"/>
  <c r="L2485" i="5"/>
  <c r="L2484" i="5"/>
  <c r="L2483" i="5"/>
  <c r="L2482" i="5"/>
  <c r="L2481" i="5"/>
  <c r="L2480" i="5"/>
  <c r="L2479" i="5"/>
  <c r="L2478" i="5"/>
  <c r="L2477" i="5"/>
  <c r="L2476" i="5"/>
  <c r="L2475" i="5"/>
  <c r="L2474" i="5"/>
  <c r="L2473" i="5"/>
  <c r="L2472" i="5"/>
  <c r="L2471" i="5"/>
  <c r="L2470" i="5"/>
  <c r="L2469" i="5"/>
  <c r="L2468" i="5"/>
  <c r="L2467" i="5"/>
  <c r="L2466" i="5"/>
  <c r="L2465" i="5"/>
  <c r="L2464" i="5"/>
  <c r="L2463" i="5"/>
  <c r="L2462" i="5"/>
  <c r="L2461" i="5"/>
  <c r="L2460" i="5"/>
  <c r="L2459" i="5"/>
  <c r="L2458" i="5"/>
  <c r="L2457" i="5"/>
  <c r="L2456" i="5"/>
  <c r="L2455" i="5"/>
  <c r="L2454" i="5"/>
  <c r="L2453" i="5"/>
  <c r="L2452" i="5"/>
  <c r="L2451" i="5"/>
  <c r="L2450" i="5"/>
  <c r="L2449" i="5"/>
  <c r="L2448" i="5"/>
  <c r="L2447" i="5"/>
  <c r="L2446" i="5"/>
  <c r="L2445" i="5"/>
  <c r="L2444" i="5"/>
  <c r="L2443" i="5"/>
  <c r="L2442" i="5"/>
  <c r="L2441" i="5"/>
  <c r="L2440" i="5"/>
  <c r="L2439" i="5"/>
  <c r="L2438" i="5"/>
  <c r="L2437" i="5"/>
  <c r="L2436" i="5"/>
  <c r="L2435" i="5"/>
  <c r="L2434" i="5"/>
  <c r="L2433" i="5"/>
  <c r="L2432" i="5"/>
  <c r="L2431" i="5"/>
  <c r="L2430" i="5"/>
  <c r="L2429" i="5"/>
  <c r="L2428" i="5"/>
  <c r="L2427" i="5"/>
  <c r="L2426" i="5"/>
  <c r="L2425" i="5"/>
  <c r="L2424" i="5"/>
  <c r="L2423" i="5"/>
  <c r="L2422" i="5"/>
  <c r="L2421" i="5"/>
  <c r="L2420" i="5"/>
  <c r="L2419" i="5"/>
  <c r="L2418" i="5"/>
  <c r="L2417" i="5"/>
  <c r="L2416" i="5"/>
  <c r="L2415" i="5"/>
  <c r="L2414" i="5"/>
  <c r="L2413" i="5"/>
  <c r="L2412" i="5"/>
  <c r="L2411" i="5"/>
  <c r="L2410" i="5"/>
  <c r="L2409" i="5"/>
  <c r="L2408" i="5"/>
  <c r="L2407" i="5"/>
  <c r="L2406" i="5"/>
  <c r="L2405" i="5"/>
  <c r="L2404" i="5"/>
  <c r="L2403" i="5"/>
  <c r="L2402" i="5"/>
  <c r="L2401" i="5"/>
  <c r="L2400" i="5"/>
  <c r="L2399" i="5"/>
  <c r="L2398" i="5"/>
  <c r="L2397" i="5"/>
  <c r="L2396" i="5"/>
  <c r="L2395" i="5"/>
  <c r="L2394" i="5"/>
  <c r="L2393" i="5"/>
  <c r="L2392" i="5"/>
  <c r="L2391" i="5"/>
  <c r="L2390" i="5"/>
  <c r="L2389" i="5"/>
  <c r="L2388" i="5"/>
  <c r="L2387" i="5"/>
  <c r="L2386" i="5"/>
  <c r="L2385" i="5"/>
  <c r="L2384" i="5"/>
  <c r="L2383" i="5"/>
  <c r="L2382" i="5"/>
  <c r="L2381" i="5"/>
  <c r="L2380" i="5"/>
  <c r="L2379" i="5"/>
  <c r="L2378" i="5"/>
  <c r="L2377" i="5"/>
  <c r="L2376" i="5"/>
  <c r="L2375" i="5"/>
  <c r="L2374" i="5"/>
  <c r="L2373" i="5"/>
  <c r="L2372" i="5"/>
  <c r="L2371" i="5"/>
  <c r="L2370" i="5"/>
  <c r="L2369" i="5"/>
  <c r="L2368" i="5"/>
  <c r="L2367" i="5"/>
  <c r="L2366" i="5"/>
  <c r="L2365" i="5"/>
  <c r="L2364" i="5"/>
  <c r="L2363" i="5"/>
  <c r="L2362" i="5"/>
  <c r="L2361" i="5"/>
  <c r="L2360" i="5"/>
  <c r="L2359" i="5"/>
  <c r="L2358" i="5"/>
  <c r="L2357" i="5"/>
  <c r="L2356" i="5"/>
  <c r="L2355" i="5"/>
  <c r="L2354" i="5"/>
  <c r="L2353" i="5"/>
  <c r="L2352" i="5"/>
  <c r="L2351" i="5"/>
  <c r="L2350" i="5"/>
  <c r="L2349" i="5"/>
  <c r="L2348" i="5"/>
  <c r="L2347" i="5"/>
  <c r="L2346" i="5"/>
  <c r="L2345" i="5"/>
  <c r="L2344" i="5"/>
  <c r="L2343" i="5"/>
  <c r="L2342" i="5"/>
  <c r="L2341" i="5"/>
  <c r="L2340" i="5"/>
  <c r="L2339" i="5"/>
  <c r="L2338" i="5"/>
  <c r="L2337" i="5"/>
  <c r="L2336" i="5"/>
  <c r="L2335" i="5"/>
  <c r="L2334" i="5"/>
  <c r="L2333" i="5"/>
  <c r="L2332" i="5"/>
  <c r="L2331" i="5"/>
  <c r="L2330" i="5"/>
  <c r="L2329" i="5"/>
  <c r="L2328" i="5"/>
  <c r="L2327" i="5"/>
  <c r="L2326" i="5"/>
  <c r="L2325" i="5"/>
  <c r="L2324" i="5"/>
  <c r="L2323" i="5"/>
  <c r="L2322" i="5"/>
  <c r="L2321" i="5"/>
  <c r="L2320" i="5"/>
  <c r="L2319" i="5"/>
  <c r="L2318" i="5"/>
  <c r="L2317" i="5"/>
  <c r="L2316" i="5"/>
  <c r="L2315" i="5"/>
  <c r="L2314" i="5"/>
  <c r="L2313" i="5"/>
  <c r="L2312" i="5"/>
  <c r="L2311" i="5"/>
  <c r="L2310" i="5"/>
  <c r="L2309" i="5"/>
  <c r="L2308" i="5"/>
  <c r="L2307" i="5"/>
  <c r="L2306" i="5"/>
  <c r="L2305" i="5"/>
  <c r="L2304" i="5"/>
  <c r="L2303" i="5"/>
  <c r="L2302" i="5"/>
  <c r="L2301" i="5"/>
  <c r="L2300" i="5"/>
  <c r="L2299" i="5"/>
  <c r="L2298" i="5"/>
  <c r="L2297" i="5"/>
  <c r="L2296" i="5"/>
  <c r="L2295" i="5"/>
  <c r="L2294" i="5"/>
  <c r="L2293" i="5"/>
  <c r="L2292" i="5"/>
  <c r="L2291" i="5"/>
  <c r="L2290" i="5"/>
  <c r="L2289" i="5"/>
  <c r="L2288" i="5"/>
  <c r="L2287" i="5"/>
  <c r="L2286" i="5"/>
  <c r="L2285" i="5"/>
  <c r="L2284" i="5"/>
  <c r="L2283" i="5"/>
  <c r="L2282" i="5"/>
  <c r="L2281" i="5"/>
  <c r="L2280" i="5"/>
  <c r="L2279" i="5"/>
  <c r="L2278" i="5"/>
  <c r="L2277" i="5"/>
  <c r="L2276" i="5"/>
  <c r="L2275" i="5"/>
  <c r="L2274" i="5"/>
  <c r="L2273" i="5"/>
  <c r="L2272" i="5"/>
  <c r="L2271" i="5"/>
  <c r="L2270" i="5"/>
  <c r="L2269" i="5"/>
  <c r="L2268" i="5"/>
  <c r="L2267" i="5"/>
  <c r="L2266" i="5"/>
  <c r="L2265" i="5"/>
  <c r="L2264" i="5"/>
  <c r="L2263" i="5"/>
  <c r="L2262" i="5"/>
  <c r="L2261" i="5"/>
  <c r="L2260" i="5"/>
  <c r="L2259" i="5"/>
  <c r="L2258" i="5"/>
  <c r="L2257" i="5"/>
  <c r="L2256" i="5"/>
  <c r="L2255" i="5"/>
  <c r="L2254" i="5"/>
  <c r="L2253" i="5"/>
  <c r="L2252" i="5"/>
  <c r="L2251" i="5"/>
  <c r="L2250" i="5"/>
  <c r="L2249" i="5"/>
  <c r="L2248" i="5"/>
  <c r="L2247" i="5"/>
  <c r="L2246" i="5"/>
  <c r="L2245" i="5"/>
  <c r="L2244" i="5"/>
  <c r="L2243" i="5"/>
  <c r="L2242" i="5"/>
  <c r="L2241" i="5"/>
  <c r="L2240" i="5"/>
  <c r="L2239" i="5"/>
  <c r="L2238" i="5"/>
  <c r="L2237" i="5"/>
  <c r="L2236" i="5"/>
  <c r="L2235" i="5"/>
  <c r="L2234" i="5"/>
  <c r="L2233" i="5"/>
  <c r="L2232" i="5"/>
  <c r="L2231" i="5"/>
  <c r="L2230" i="5"/>
  <c r="L2229" i="5"/>
  <c r="L2228" i="5"/>
  <c r="L2227" i="5"/>
  <c r="L2226" i="5"/>
  <c r="L2225" i="5"/>
  <c r="L2224" i="5"/>
  <c r="L2223" i="5"/>
  <c r="L2222" i="5"/>
  <c r="L2221" i="5"/>
  <c r="L2220" i="5"/>
  <c r="L2219" i="5"/>
  <c r="L2218" i="5"/>
  <c r="L2217" i="5"/>
  <c r="L2216" i="5"/>
  <c r="L2215" i="5"/>
  <c r="L2214" i="5"/>
  <c r="L2213" i="5"/>
  <c r="L2212" i="5"/>
  <c r="L2211" i="5"/>
  <c r="L2210" i="5"/>
  <c r="L2209" i="5"/>
  <c r="L2208" i="5"/>
  <c r="L2207" i="5"/>
  <c r="L2206" i="5"/>
  <c r="L2205" i="5"/>
  <c r="L2204" i="5"/>
  <c r="L2203" i="5"/>
  <c r="L2202" i="5"/>
  <c r="L2201" i="5"/>
  <c r="L2200" i="5"/>
  <c r="L2199" i="5"/>
  <c r="L2198" i="5"/>
  <c r="L2197" i="5"/>
  <c r="L2196" i="5"/>
  <c r="L2195" i="5"/>
  <c r="L2194" i="5"/>
  <c r="L2193" i="5"/>
  <c r="L2192" i="5"/>
  <c r="L2191" i="5"/>
  <c r="L2190" i="5"/>
  <c r="L2189" i="5"/>
  <c r="L2188" i="5"/>
  <c r="L2187" i="5"/>
  <c r="L2186" i="5"/>
  <c r="L2185" i="5"/>
  <c r="L2184" i="5"/>
  <c r="L2183" i="5"/>
  <c r="L2182" i="5"/>
  <c r="L2181" i="5"/>
  <c r="L2180" i="5"/>
  <c r="L2179" i="5"/>
  <c r="L2178" i="5"/>
  <c r="L2177" i="5"/>
  <c r="L2176" i="5"/>
  <c r="L2175" i="5"/>
  <c r="L2174" i="5"/>
  <c r="L2173" i="5"/>
  <c r="L2172" i="5"/>
  <c r="L2171" i="5"/>
  <c r="L2170" i="5"/>
  <c r="L2169" i="5"/>
  <c r="L2168" i="5"/>
  <c r="L2167" i="5"/>
  <c r="L2166" i="5"/>
  <c r="L2165" i="5"/>
  <c r="L2164" i="5"/>
  <c r="L2163" i="5"/>
  <c r="L2162" i="5"/>
  <c r="L2161" i="5"/>
  <c r="L2160" i="5"/>
  <c r="L2159" i="5"/>
  <c r="L2158" i="5"/>
  <c r="L2157" i="5"/>
  <c r="L2156" i="5"/>
  <c r="L2155" i="5"/>
  <c r="L2154" i="5"/>
  <c r="L2153" i="5"/>
  <c r="L2152" i="5"/>
  <c r="L2151" i="5"/>
  <c r="L2150" i="5"/>
  <c r="L2149" i="5"/>
  <c r="L2148" i="5"/>
  <c r="L2147" i="5"/>
  <c r="L2146" i="5"/>
  <c r="L2145" i="5"/>
  <c r="L2144" i="5"/>
  <c r="L2143" i="5"/>
  <c r="L2142" i="5"/>
  <c r="L2141" i="5"/>
  <c r="L2140" i="5"/>
  <c r="L2139" i="5"/>
  <c r="L2138" i="5"/>
  <c r="L2137" i="5"/>
  <c r="L2136" i="5"/>
  <c r="L2135" i="5"/>
  <c r="L2134" i="5"/>
  <c r="L2133" i="5"/>
  <c r="L2132" i="5"/>
  <c r="L2131" i="5"/>
  <c r="L2130" i="5"/>
  <c r="L2129" i="5"/>
  <c r="L2128" i="5"/>
  <c r="L2127" i="5"/>
  <c r="L2126" i="5"/>
  <c r="L2125" i="5"/>
  <c r="L2124" i="5"/>
  <c r="L2123" i="5"/>
  <c r="L2122" i="5"/>
  <c r="L2121" i="5"/>
  <c r="L2120" i="5"/>
  <c r="L2119" i="5"/>
  <c r="L2118" i="5"/>
  <c r="L2117" i="5"/>
  <c r="L2116" i="5"/>
  <c r="L2115" i="5"/>
  <c r="L2114" i="5"/>
  <c r="L2113" i="5"/>
  <c r="L2112" i="5"/>
  <c r="L2111" i="5"/>
  <c r="L2110" i="5"/>
  <c r="L2109" i="5"/>
  <c r="L2108" i="5"/>
  <c r="L2107" i="5"/>
  <c r="L2106" i="5"/>
  <c r="L2105" i="5"/>
  <c r="L2104" i="5"/>
  <c r="L2103" i="5"/>
  <c r="L2102" i="5"/>
  <c r="L2101" i="5"/>
  <c r="L2100" i="5"/>
  <c r="L2099" i="5"/>
  <c r="L2098" i="5"/>
  <c r="L2097" i="5"/>
  <c r="L2096" i="5"/>
  <c r="L2095" i="5"/>
  <c r="L2094" i="5"/>
  <c r="L2093" i="5"/>
  <c r="L2092" i="5"/>
  <c r="L2091" i="5"/>
  <c r="L2090" i="5"/>
  <c r="L2089" i="5"/>
  <c r="L2088" i="5"/>
  <c r="L2087" i="5"/>
  <c r="L2086" i="5"/>
  <c r="L2085" i="5"/>
  <c r="L2084" i="5"/>
  <c r="L2083" i="5"/>
  <c r="L2082" i="5"/>
  <c r="L2081" i="5"/>
  <c r="L2080" i="5"/>
  <c r="L2079" i="5"/>
  <c r="L2078" i="5"/>
  <c r="L2077" i="5"/>
  <c r="L2076" i="5"/>
  <c r="L2075" i="5"/>
  <c r="L2074" i="5"/>
  <c r="L2073" i="5"/>
  <c r="L2072" i="5"/>
  <c r="L2071" i="5"/>
  <c r="L2070" i="5"/>
  <c r="L2069" i="5"/>
  <c r="L2068" i="5"/>
  <c r="L2067" i="5"/>
  <c r="L2066" i="5"/>
  <c r="L2065" i="5"/>
  <c r="L2064" i="5"/>
  <c r="L2063" i="5"/>
  <c r="L2062" i="5"/>
  <c r="L2061" i="5"/>
  <c r="L2060" i="5"/>
  <c r="L2059" i="5"/>
  <c r="L2058" i="5"/>
  <c r="L2057" i="5"/>
  <c r="L2056" i="5"/>
  <c r="L2055" i="5"/>
  <c r="L2054" i="5"/>
  <c r="L2053" i="5"/>
  <c r="L2052" i="5"/>
  <c r="L2051" i="5"/>
  <c r="L2050" i="5"/>
  <c r="L2049" i="5"/>
  <c r="L2048" i="5"/>
  <c r="L2047" i="5"/>
  <c r="L2046" i="5"/>
  <c r="L2045" i="5"/>
  <c r="L2044" i="5"/>
  <c r="L2043" i="5"/>
  <c r="L2042" i="5"/>
  <c r="L2041" i="5"/>
  <c r="L2040" i="5"/>
  <c r="L2039" i="5"/>
  <c r="L2038" i="5"/>
  <c r="L2037" i="5"/>
  <c r="L2036" i="5"/>
  <c r="L2035" i="5"/>
  <c r="L2034" i="5"/>
  <c r="L2033" i="5"/>
  <c r="L2032" i="5"/>
  <c r="L2031" i="5"/>
  <c r="L2030" i="5"/>
  <c r="L2029" i="5"/>
  <c r="L2028" i="5"/>
  <c r="L2027" i="5"/>
  <c r="L2026" i="5"/>
  <c r="L2025" i="5"/>
  <c r="L2024" i="5"/>
  <c r="L2023" i="5"/>
  <c r="L2022" i="5"/>
  <c r="L2021" i="5"/>
  <c r="L2020" i="5"/>
  <c r="L2019" i="5"/>
  <c r="L2018" i="5"/>
  <c r="L2017" i="5"/>
  <c r="L2016" i="5"/>
  <c r="L2015" i="5"/>
  <c r="L2014" i="5"/>
  <c r="L2013" i="5"/>
  <c r="L2012" i="5"/>
  <c r="L2011" i="5"/>
  <c r="L2010" i="5"/>
  <c r="L2009" i="5"/>
  <c r="L2008" i="5"/>
  <c r="L2007" i="5"/>
  <c r="L2006" i="5"/>
  <c r="L2005" i="5"/>
  <c r="L2004" i="5"/>
  <c r="L2003" i="5"/>
  <c r="L2002" i="5"/>
  <c r="L2001" i="5"/>
  <c r="L2000" i="5"/>
  <c r="L1999" i="5"/>
  <c r="L1998" i="5"/>
  <c r="L1997" i="5"/>
  <c r="L1996" i="5"/>
  <c r="L1995" i="5"/>
  <c r="L1994" i="5"/>
  <c r="L1993" i="5"/>
  <c r="L1992" i="5"/>
  <c r="L1991" i="5"/>
  <c r="L1990" i="5"/>
  <c r="L1989" i="5"/>
  <c r="L1988" i="5"/>
  <c r="L1987" i="5"/>
  <c r="L1986" i="5"/>
  <c r="L1985" i="5"/>
  <c r="L1984" i="5"/>
  <c r="L1983" i="5"/>
  <c r="L1982" i="5"/>
  <c r="L1981" i="5"/>
  <c r="L1980" i="5"/>
  <c r="L1979" i="5"/>
  <c r="L1978" i="5"/>
  <c r="L1977" i="5"/>
  <c r="L1976" i="5"/>
  <c r="L1975" i="5"/>
  <c r="L1974" i="5"/>
  <c r="L1973" i="5"/>
  <c r="L1972" i="5"/>
  <c r="L1971" i="5"/>
  <c r="L1970" i="5"/>
  <c r="L1969" i="5"/>
  <c r="L1968" i="5"/>
  <c r="L1967" i="5"/>
  <c r="L1966" i="5"/>
  <c r="L1965" i="5"/>
  <c r="L1964" i="5"/>
  <c r="L1963" i="5"/>
  <c r="L1962" i="5"/>
  <c r="L1961" i="5"/>
  <c r="L1960" i="5"/>
  <c r="L1959" i="5"/>
  <c r="L1958" i="5"/>
  <c r="L1957" i="5"/>
  <c r="L1956" i="5"/>
  <c r="L1955" i="5"/>
  <c r="L1954" i="5"/>
  <c r="L1953" i="5"/>
  <c r="L1952" i="5"/>
  <c r="L1951" i="5"/>
  <c r="L1950" i="5"/>
  <c r="L1949" i="5"/>
  <c r="L1948" i="5"/>
  <c r="L1947" i="5"/>
  <c r="L1946" i="5"/>
  <c r="L1945" i="5"/>
  <c r="L1944" i="5"/>
  <c r="L1943" i="5"/>
  <c r="L1942" i="5"/>
  <c r="L1941" i="5"/>
  <c r="L1940" i="5"/>
  <c r="L1939" i="5"/>
  <c r="L1938" i="5"/>
  <c r="L1937" i="5"/>
  <c r="L1936" i="5"/>
  <c r="L1935" i="5"/>
  <c r="L1934" i="5"/>
  <c r="L1933" i="5"/>
  <c r="L1932" i="5"/>
  <c r="L1931" i="5"/>
  <c r="L1930" i="5"/>
  <c r="L1929" i="5"/>
  <c r="L1928" i="5"/>
  <c r="L1927" i="5"/>
  <c r="L1926" i="5"/>
  <c r="L1925" i="5"/>
  <c r="L1924" i="5"/>
  <c r="L1923" i="5"/>
  <c r="L1922" i="5"/>
  <c r="L1921" i="5"/>
  <c r="L1920" i="5"/>
  <c r="L1919" i="5"/>
  <c r="L1918" i="5"/>
  <c r="L1917" i="5"/>
  <c r="L1916" i="5"/>
  <c r="L1915" i="5"/>
  <c r="L1914" i="5"/>
  <c r="L1913" i="5"/>
  <c r="L1912" i="5"/>
  <c r="L1911" i="5"/>
  <c r="L1910" i="5"/>
  <c r="L1909" i="5"/>
  <c r="L1908" i="5"/>
  <c r="L1907" i="5"/>
  <c r="L1906" i="5"/>
  <c r="L1905" i="5"/>
  <c r="L1904" i="5"/>
  <c r="L1903" i="5"/>
  <c r="L1902" i="5"/>
  <c r="L1901" i="5"/>
  <c r="L1900" i="5"/>
  <c r="L1899" i="5"/>
  <c r="L1898" i="5"/>
  <c r="L1897" i="5"/>
  <c r="L1896" i="5"/>
  <c r="L1895" i="5"/>
  <c r="L1894" i="5"/>
  <c r="L1893" i="5"/>
  <c r="L1892" i="5"/>
  <c r="L1891" i="5"/>
  <c r="L1890" i="5"/>
  <c r="L1889" i="5"/>
  <c r="L1888" i="5"/>
  <c r="L1887" i="5"/>
  <c r="L1886" i="5"/>
  <c r="L1885" i="5"/>
  <c r="L1884" i="5"/>
  <c r="L1883" i="5"/>
  <c r="L1882" i="5"/>
  <c r="L1881" i="5"/>
  <c r="L1880" i="5"/>
  <c r="L1879" i="5"/>
  <c r="L1878" i="5"/>
  <c r="L1877" i="5"/>
  <c r="L1876" i="5"/>
  <c r="L1875" i="5"/>
  <c r="L1874" i="5"/>
  <c r="L1873" i="5"/>
  <c r="L1872" i="5"/>
  <c r="L1871" i="5"/>
  <c r="L1870" i="5"/>
  <c r="L1869" i="5"/>
  <c r="L1868" i="5"/>
  <c r="L1867" i="5"/>
  <c r="L1866" i="5"/>
  <c r="L1865" i="5"/>
  <c r="L1864" i="5"/>
  <c r="L1863" i="5"/>
  <c r="L1862" i="5"/>
  <c r="L1861" i="5"/>
  <c r="L1860" i="5"/>
  <c r="L1859" i="5"/>
  <c r="L1858" i="5"/>
  <c r="L1857" i="5"/>
  <c r="L1856" i="5"/>
  <c r="L1855" i="5"/>
  <c r="L1854" i="5"/>
  <c r="L1853" i="5"/>
  <c r="L1852" i="5"/>
  <c r="L1851" i="5"/>
  <c r="L1850" i="5"/>
  <c r="L1849" i="5"/>
  <c r="L1848" i="5"/>
  <c r="L1847" i="5"/>
  <c r="L1846" i="5"/>
  <c r="L1845" i="5"/>
  <c r="L1844" i="5"/>
  <c r="L1843" i="5"/>
  <c r="L1842" i="5"/>
  <c r="L1841" i="5"/>
  <c r="L1840" i="5"/>
  <c r="L1839" i="5"/>
  <c r="L1838" i="5"/>
  <c r="L1837" i="5"/>
  <c r="L1836" i="5"/>
  <c r="L1835" i="5"/>
  <c r="L1834" i="5"/>
  <c r="L1833" i="5"/>
  <c r="L1832" i="5"/>
  <c r="L1831" i="5"/>
  <c r="L1830" i="5"/>
  <c r="L1829" i="5"/>
  <c r="L1828" i="5"/>
  <c r="L1827" i="5"/>
  <c r="L1826" i="5"/>
  <c r="L1825" i="5"/>
  <c r="L1824" i="5"/>
  <c r="L1823" i="5"/>
  <c r="L1822" i="5"/>
  <c r="L1821" i="5"/>
  <c r="L1820" i="5"/>
  <c r="L1819" i="5"/>
  <c r="L1818" i="5"/>
  <c r="L1817" i="5"/>
  <c r="L1816" i="5"/>
  <c r="L1815" i="5"/>
  <c r="L1814" i="5"/>
  <c r="L1813" i="5"/>
  <c r="L1812" i="5"/>
  <c r="L1811" i="5"/>
  <c r="L1810" i="5"/>
  <c r="L1809" i="5"/>
  <c r="L1808" i="5"/>
  <c r="L1807" i="5"/>
  <c r="L1806" i="5"/>
  <c r="L1805" i="5"/>
  <c r="L1804" i="5"/>
  <c r="L1803" i="5"/>
  <c r="L1802" i="5"/>
  <c r="L1801" i="5"/>
  <c r="L1800" i="5"/>
  <c r="L1799" i="5"/>
  <c r="L1798" i="5"/>
  <c r="L1797" i="5"/>
  <c r="L1796" i="5"/>
  <c r="L1795" i="5"/>
  <c r="L1794" i="5"/>
  <c r="L1793" i="5"/>
  <c r="L1792" i="5"/>
  <c r="L1791" i="5"/>
  <c r="L1790" i="5"/>
  <c r="L1789" i="5"/>
  <c r="L1788" i="5"/>
  <c r="L1787" i="5"/>
  <c r="L1786" i="5"/>
  <c r="L1785" i="5"/>
  <c r="L1784" i="5"/>
  <c r="L1783" i="5"/>
  <c r="L1782" i="5"/>
  <c r="L1781" i="5"/>
  <c r="L1780" i="5"/>
  <c r="L1779" i="5"/>
  <c r="L1778" i="5"/>
  <c r="L1777" i="5"/>
  <c r="L1776" i="5"/>
  <c r="L1775" i="5"/>
  <c r="L1774" i="5"/>
  <c r="L1773" i="5"/>
  <c r="L1772" i="5"/>
  <c r="L1771" i="5"/>
  <c r="L1770" i="5"/>
  <c r="L1769" i="5"/>
  <c r="L1768" i="5"/>
  <c r="L1767" i="5"/>
  <c r="L1766" i="5"/>
  <c r="L1765" i="5"/>
  <c r="L1764" i="5"/>
  <c r="L1763" i="5"/>
  <c r="L1762" i="5"/>
  <c r="L1761" i="5"/>
  <c r="L1760" i="5"/>
  <c r="L1759" i="5"/>
  <c r="L1758" i="5"/>
  <c r="L1757" i="5"/>
  <c r="L1756" i="5"/>
  <c r="L1755" i="5"/>
  <c r="L1754" i="5"/>
  <c r="L1753" i="5"/>
  <c r="L1752" i="5"/>
  <c r="L1751" i="5"/>
  <c r="L1750" i="5"/>
  <c r="L1749" i="5"/>
  <c r="L1748" i="5"/>
  <c r="L1747" i="5"/>
  <c r="L1746" i="5"/>
  <c r="L1745" i="5"/>
  <c r="L1744" i="5"/>
  <c r="L1743" i="5"/>
  <c r="L1742" i="5"/>
  <c r="L1741" i="5"/>
  <c r="L1740" i="5"/>
  <c r="L1739" i="5"/>
  <c r="L1738" i="5"/>
  <c r="L1737" i="5"/>
  <c r="L1736" i="5"/>
  <c r="L1735" i="5"/>
  <c r="L1734" i="5"/>
  <c r="L1733" i="5"/>
  <c r="L1732" i="5"/>
  <c r="L1731" i="5"/>
  <c r="L1730" i="5"/>
  <c r="L1729" i="5"/>
  <c r="L1728" i="5"/>
  <c r="L1727" i="5"/>
  <c r="L1726" i="5"/>
  <c r="L1725" i="5"/>
  <c r="L1724" i="5"/>
  <c r="L1723" i="5"/>
  <c r="L1722" i="5"/>
  <c r="L1721" i="5"/>
  <c r="L1720" i="5"/>
  <c r="L1719" i="5"/>
  <c r="L1718" i="5"/>
  <c r="L1717" i="5"/>
  <c r="L1716" i="5"/>
  <c r="L1715" i="5"/>
  <c r="L1714" i="5"/>
  <c r="L1713" i="5"/>
  <c r="L1712" i="5"/>
  <c r="L1711" i="5"/>
  <c r="L1710" i="5"/>
  <c r="L1709" i="5"/>
  <c r="L1708" i="5"/>
  <c r="L1707" i="5"/>
  <c r="L1706" i="5"/>
  <c r="L1705" i="5"/>
  <c r="L1704" i="5"/>
  <c r="L1703" i="5"/>
  <c r="L1702" i="5"/>
  <c r="L1701" i="5"/>
  <c r="L1700" i="5"/>
  <c r="L1699" i="5"/>
  <c r="L1698" i="5"/>
  <c r="L1697" i="5"/>
  <c r="L1696" i="5"/>
  <c r="L1695" i="5"/>
  <c r="L1694" i="5"/>
  <c r="L1693" i="5"/>
  <c r="L1692" i="5"/>
  <c r="L1691" i="5"/>
  <c r="L1690" i="5"/>
  <c r="L1689" i="5"/>
  <c r="L1688" i="5"/>
  <c r="L1687" i="5"/>
  <c r="L1686" i="5"/>
  <c r="L1685" i="5"/>
  <c r="L1684" i="5"/>
  <c r="L1683" i="5"/>
  <c r="L1682" i="5"/>
  <c r="L1681" i="5"/>
  <c r="L1680" i="5"/>
  <c r="L1679" i="5"/>
  <c r="L1678" i="5"/>
  <c r="L1677" i="5"/>
  <c r="L1676" i="5"/>
  <c r="L1675" i="5"/>
  <c r="L1674" i="5"/>
  <c r="L1673" i="5"/>
  <c r="L1672" i="5"/>
  <c r="L1671" i="5"/>
  <c r="L1670" i="5"/>
  <c r="L1669" i="5"/>
  <c r="L1668" i="5"/>
  <c r="L1667" i="5"/>
  <c r="L1666" i="5"/>
  <c r="L1665" i="5"/>
  <c r="L1664" i="5"/>
  <c r="L1663" i="5"/>
  <c r="L1662" i="5"/>
  <c r="L1661" i="5"/>
  <c r="L1660" i="5"/>
  <c r="L1659" i="5"/>
  <c r="L1658" i="5"/>
  <c r="L1657" i="5"/>
  <c r="L1656" i="5"/>
  <c r="L1655" i="5"/>
  <c r="L1654" i="5"/>
  <c r="L1653" i="5"/>
  <c r="L1652" i="5"/>
  <c r="L1651" i="5"/>
  <c r="L1650" i="5"/>
  <c r="L1649" i="5"/>
  <c r="L1648" i="5"/>
  <c r="L1647" i="5"/>
  <c r="L1646" i="5"/>
  <c r="L1645" i="5"/>
  <c r="L1644" i="5"/>
  <c r="L1643" i="5"/>
  <c r="L1642" i="5"/>
  <c r="L1641" i="5"/>
  <c r="L1640" i="5"/>
  <c r="L1639" i="5"/>
  <c r="L1638" i="5"/>
  <c r="L1637" i="5"/>
  <c r="L1636" i="5"/>
  <c r="L1635" i="5"/>
  <c r="L1634" i="5"/>
  <c r="L1633" i="5"/>
  <c r="L1632" i="5"/>
  <c r="L1631" i="5"/>
  <c r="L1630" i="5"/>
  <c r="L1629" i="5"/>
  <c r="L1628" i="5"/>
  <c r="L1627" i="5"/>
  <c r="L1626" i="5"/>
  <c r="L1625" i="5"/>
  <c r="L1624" i="5"/>
  <c r="L1623" i="5"/>
  <c r="L1622" i="5"/>
  <c r="L1621" i="5"/>
  <c r="L1620" i="5"/>
  <c r="L1619" i="5"/>
  <c r="L1618" i="5"/>
  <c r="L1617" i="5"/>
  <c r="L1616" i="5"/>
  <c r="L1615" i="5"/>
  <c r="L1614" i="5"/>
  <c r="L1613" i="5"/>
  <c r="L1612" i="5"/>
  <c r="L1611" i="5"/>
  <c r="L1610" i="5"/>
  <c r="L1609" i="5"/>
  <c r="L1608" i="5"/>
  <c r="L1607" i="5"/>
  <c r="L1606" i="5"/>
  <c r="L1605" i="5"/>
  <c r="L1604" i="5"/>
  <c r="L1603" i="5"/>
  <c r="L1602" i="5"/>
  <c r="L1601" i="5"/>
  <c r="L1600" i="5"/>
  <c r="L1599" i="5"/>
  <c r="L1598" i="5"/>
  <c r="L1597" i="5"/>
  <c r="L1596" i="5"/>
  <c r="L1595" i="5"/>
  <c r="L1594" i="5"/>
  <c r="L1593" i="5"/>
  <c r="L1592" i="5"/>
  <c r="L1591" i="5"/>
  <c r="L1590" i="5"/>
  <c r="L1589" i="5"/>
  <c r="L1588" i="5"/>
  <c r="L1587" i="5"/>
  <c r="L1586" i="5"/>
  <c r="L1585" i="5"/>
  <c r="L1584" i="5"/>
  <c r="L1583" i="5"/>
  <c r="L1582" i="5"/>
  <c r="L1581" i="5"/>
  <c r="L1580" i="5"/>
  <c r="L1579" i="5"/>
  <c r="L1578" i="5"/>
  <c r="L1577" i="5"/>
  <c r="L1576" i="5"/>
  <c r="L1575" i="5"/>
  <c r="L1574" i="5"/>
  <c r="L1573" i="5"/>
  <c r="L1572" i="5"/>
  <c r="L1571" i="5"/>
  <c r="L1570" i="5"/>
  <c r="L1569" i="5"/>
  <c r="L1568" i="5"/>
  <c r="L1567" i="5"/>
  <c r="L1566" i="5"/>
  <c r="L1565" i="5"/>
  <c r="L1564" i="5"/>
  <c r="L1563" i="5"/>
  <c r="L1562" i="5"/>
  <c r="L1561" i="5"/>
  <c r="L1560" i="5"/>
  <c r="L1559" i="5"/>
  <c r="L1558" i="5"/>
  <c r="L1557" i="5"/>
  <c r="L1556" i="5"/>
  <c r="L1555" i="5"/>
  <c r="L1554" i="5"/>
  <c r="L1553" i="5"/>
  <c r="L1552" i="5"/>
  <c r="L1551" i="5"/>
  <c r="L1550" i="5"/>
  <c r="L1549" i="5"/>
  <c r="L1548" i="5"/>
  <c r="L1547" i="5"/>
  <c r="L1546" i="5"/>
  <c r="L1545" i="5"/>
  <c r="L1544" i="5"/>
  <c r="L1543" i="5"/>
  <c r="L1542" i="5"/>
  <c r="L1541" i="5"/>
  <c r="L1540" i="5"/>
  <c r="L1539" i="5"/>
  <c r="L1538" i="5"/>
  <c r="L1537" i="5"/>
  <c r="L1536" i="5"/>
  <c r="L1535" i="5"/>
  <c r="L1534" i="5"/>
  <c r="L1533" i="5"/>
  <c r="L1532" i="5"/>
  <c r="L1531" i="5"/>
  <c r="L1530" i="5"/>
  <c r="L1529" i="5"/>
  <c r="L1528" i="5"/>
  <c r="L1527" i="5"/>
  <c r="L1526" i="5"/>
  <c r="L1525" i="5"/>
  <c r="L1524" i="5"/>
  <c r="L1523" i="5"/>
  <c r="L1522" i="5"/>
  <c r="L1521" i="5"/>
  <c r="L1520" i="5"/>
  <c r="L1519" i="5"/>
  <c r="L1518" i="5"/>
  <c r="L1517" i="5"/>
  <c r="L1516" i="5"/>
  <c r="L1515" i="5"/>
  <c r="L1514" i="5"/>
  <c r="L1513" i="5"/>
  <c r="L1512" i="5"/>
  <c r="L1511" i="5"/>
  <c r="L1510" i="5"/>
  <c r="L1509" i="5"/>
  <c r="L1508" i="5"/>
  <c r="L1507" i="5"/>
  <c r="L1506" i="5"/>
  <c r="L1505" i="5"/>
  <c r="L1504" i="5"/>
  <c r="L1503" i="5"/>
  <c r="L1502" i="5"/>
  <c r="L1501" i="5"/>
  <c r="L1500" i="5"/>
  <c r="L1499" i="5"/>
  <c r="L1498" i="5"/>
  <c r="L1497" i="5"/>
  <c r="L1496" i="5"/>
  <c r="L1495" i="5"/>
  <c r="L1494" i="5"/>
  <c r="L1493" i="5"/>
  <c r="L1492" i="5"/>
  <c r="L1491" i="5"/>
  <c r="L1490" i="5"/>
  <c r="L1489" i="5"/>
  <c r="L1488" i="5"/>
  <c r="L1487" i="5"/>
  <c r="L1486" i="5"/>
  <c r="L1485" i="5"/>
  <c r="L1484" i="5"/>
  <c r="L1483" i="5"/>
  <c r="L1482" i="5"/>
  <c r="L1481" i="5"/>
  <c r="L1480" i="5"/>
  <c r="L1479" i="5"/>
  <c r="L1478" i="5"/>
  <c r="L1477" i="5"/>
  <c r="L1476" i="5"/>
  <c r="L1475" i="5"/>
  <c r="L1474" i="5"/>
  <c r="L1473" i="5"/>
  <c r="L1472" i="5"/>
  <c r="L1471" i="5"/>
  <c r="L1470" i="5"/>
  <c r="L1469" i="5"/>
  <c r="L1468" i="5"/>
  <c r="L1467" i="5"/>
  <c r="L1466" i="5"/>
  <c r="L1465" i="5"/>
  <c r="L1464" i="5"/>
  <c r="L1463" i="5"/>
  <c r="L1462" i="5"/>
  <c r="L1461" i="5"/>
  <c r="L1460" i="5"/>
  <c r="L1459" i="5"/>
  <c r="L1458" i="5"/>
  <c r="L1457" i="5"/>
  <c r="L1456" i="5"/>
  <c r="L1455" i="5"/>
  <c r="L1454" i="5"/>
  <c r="L1453" i="5"/>
  <c r="L1452" i="5"/>
  <c r="L1451" i="5"/>
  <c r="L1450" i="5"/>
  <c r="L1449" i="5"/>
  <c r="L1448" i="5"/>
  <c r="L1447" i="5"/>
  <c r="L1446" i="5"/>
  <c r="L1445" i="5"/>
  <c r="L1444" i="5"/>
  <c r="L1443" i="5"/>
  <c r="L1442" i="5"/>
  <c r="L1441" i="5"/>
  <c r="L1440" i="5"/>
  <c r="L1439" i="5"/>
  <c r="L1438" i="5"/>
  <c r="L1437" i="5"/>
  <c r="L1436" i="5"/>
  <c r="L1435" i="5"/>
  <c r="L1434" i="5"/>
  <c r="L1433" i="5"/>
  <c r="L1432" i="5"/>
  <c r="L1431" i="5"/>
  <c r="L1430" i="5"/>
  <c r="L1429" i="5"/>
  <c r="L1428" i="5"/>
  <c r="L1427" i="5"/>
  <c r="L1426" i="5"/>
  <c r="L1425" i="5"/>
  <c r="L1424" i="5"/>
  <c r="L1423" i="5"/>
  <c r="L1422" i="5"/>
  <c r="L1421" i="5"/>
  <c r="L1420" i="5"/>
  <c r="L1419" i="5"/>
  <c r="L1418" i="5"/>
  <c r="L1417" i="5"/>
  <c r="L1416" i="5"/>
  <c r="L1415" i="5"/>
  <c r="L1414" i="5"/>
  <c r="L1413" i="5"/>
  <c r="L1412" i="5"/>
  <c r="L1411" i="5"/>
  <c r="L1410" i="5"/>
  <c r="L1409" i="5"/>
  <c r="L1408" i="5"/>
  <c r="L1407" i="5"/>
  <c r="L1406" i="5"/>
  <c r="L1405" i="5"/>
  <c r="L1404" i="5"/>
  <c r="L1403" i="5"/>
  <c r="L1402" i="5"/>
  <c r="L1401" i="5"/>
  <c r="L1400" i="5"/>
  <c r="L1399" i="5"/>
  <c r="L1398" i="5"/>
  <c r="L1397" i="5"/>
  <c r="L1396" i="5"/>
  <c r="L1395" i="5"/>
  <c r="L1394" i="5"/>
  <c r="L1393" i="5"/>
  <c r="L1392" i="5"/>
  <c r="L1391" i="5"/>
  <c r="L1390" i="5"/>
  <c r="L1389" i="5"/>
  <c r="L1388" i="5"/>
  <c r="L1387" i="5"/>
  <c r="L1386" i="5"/>
  <c r="L1385" i="5"/>
  <c r="L1384" i="5"/>
  <c r="L1383" i="5"/>
  <c r="L1382" i="5"/>
  <c r="L1381" i="5"/>
  <c r="L1380" i="5"/>
  <c r="L1379" i="5"/>
  <c r="L1378" i="5"/>
  <c r="L1377" i="5"/>
  <c r="L1376" i="5"/>
  <c r="L1375" i="5"/>
  <c r="L1374" i="5"/>
  <c r="L1373" i="5"/>
  <c r="L1372" i="5"/>
  <c r="L1371" i="5"/>
  <c r="L1370" i="5"/>
  <c r="L1369" i="5"/>
  <c r="L1368" i="5"/>
  <c r="L1367" i="5"/>
  <c r="L1366" i="5"/>
  <c r="L1365" i="5"/>
  <c r="L1364" i="5"/>
  <c r="L1363" i="5"/>
  <c r="L1362" i="5"/>
  <c r="L1361" i="5"/>
  <c r="L1360" i="5"/>
  <c r="L1359" i="5"/>
  <c r="L1358" i="5"/>
  <c r="L1357" i="5"/>
  <c r="L1356" i="5"/>
  <c r="L1355" i="5"/>
  <c r="L1354" i="5"/>
  <c r="L1353" i="5"/>
  <c r="L1352" i="5"/>
  <c r="L1351" i="5"/>
  <c r="L1350" i="5"/>
  <c r="L1349" i="5"/>
  <c r="L1348" i="5"/>
  <c r="L1347" i="5"/>
  <c r="L1346" i="5"/>
  <c r="L1345" i="5"/>
  <c r="L1344" i="5"/>
  <c r="L1343" i="5"/>
  <c r="L1342" i="5"/>
  <c r="L1341" i="5"/>
  <c r="L1340" i="5"/>
  <c r="L1339" i="5"/>
  <c r="L1338" i="5"/>
  <c r="L1337" i="5"/>
  <c r="L1336" i="5"/>
  <c r="L1335" i="5"/>
  <c r="L1334" i="5"/>
  <c r="L1333" i="5"/>
  <c r="L1332" i="5"/>
  <c r="L1331" i="5"/>
  <c r="L1330" i="5"/>
  <c r="L1329" i="5"/>
  <c r="L1328" i="5"/>
  <c r="L1327" i="5"/>
  <c r="L1326" i="5"/>
  <c r="L1325" i="5"/>
  <c r="L1324" i="5"/>
  <c r="L1323" i="5"/>
  <c r="L1322" i="5"/>
  <c r="L1321" i="5"/>
  <c r="L1320" i="5"/>
  <c r="L1319" i="5"/>
  <c r="L1318" i="5"/>
  <c r="L1317" i="5"/>
  <c r="L1316" i="5"/>
  <c r="L1315" i="5"/>
  <c r="L1314" i="5"/>
  <c r="L1313" i="5"/>
  <c r="L1312" i="5"/>
  <c r="L1311" i="5"/>
  <c r="L1310" i="5"/>
  <c r="L1309" i="5"/>
  <c r="L1308" i="5"/>
  <c r="L1307" i="5"/>
  <c r="L1306" i="5"/>
  <c r="L1305" i="5"/>
  <c r="L1304" i="5"/>
  <c r="L1303" i="5"/>
  <c r="L1302" i="5"/>
  <c r="L1301" i="5"/>
  <c r="L1300" i="5"/>
  <c r="L1299" i="5"/>
  <c r="L1298" i="5"/>
  <c r="L1297" i="5"/>
  <c r="L1296" i="5"/>
  <c r="L1295" i="5"/>
  <c r="L1294" i="5"/>
  <c r="L1293" i="5"/>
  <c r="L1292" i="5"/>
  <c r="L1291" i="5"/>
  <c r="L1290" i="5"/>
  <c r="L1289" i="5"/>
  <c r="L1288" i="5"/>
  <c r="L1287" i="5"/>
  <c r="L1286" i="5"/>
  <c r="L1285" i="5"/>
  <c r="L1284" i="5"/>
  <c r="L1283" i="5"/>
  <c r="L1282" i="5"/>
  <c r="L1281" i="5"/>
  <c r="L1280" i="5"/>
  <c r="L1279" i="5"/>
  <c r="L1278" i="5"/>
  <c r="L1277" i="5"/>
  <c r="L1276" i="5"/>
  <c r="L1275" i="5"/>
  <c r="L1274" i="5"/>
  <c r="L1273" i="5"/>
  <c r="L1272" i="5"/>
  <c r="L1271" i="5"/>
  <c r="L1270" i="5"/>
  <c r="L1269" i="5"/>
  <c r="L1268" i="5"/>
  <c r="L1267" i="5"/>
  <c r="L1266" i="5"/>
  <c r="L1265" i="5"/>
  <c r="L1264" i="5"/>
  <c r="L1263" i="5"/>
  <c r="L1262" i="5"/>
  <c r="L1261" i="5"/>
  <c r="L1260" i="5"/>
  <c r="L1259" i="5"/>
  <c r="L1258" i="5"/>
  <c r="L1257" i="5"/>
  <c r="L1256" i="5"/>
  <c r="L1255" i="5"/>
  <c r="L1254" i="5"/>
  <c r="L1253" i="5"/>
  <c r="L1252" i="5"/>
  <c r="L1251" i="5"/>
  <c r="L1250" i="5"/>
  <c r="L1249" i="5"/>
  <c r="L1248" i="5"/>
  <c r="L1247" i="5"/>
  <c r="L1246" i="5"/>
  <c r="L1245" i="5"/>
  <c r="L1244" i="5"/>
  <c r="L1243" i="5"/>
  <c r="L1242" i="5"/>
  <c r="L1241" i="5"/>
  <c r="L1240" i="5"/>
  <c r="L1239" i="5"/>
  <c r="L1238" i="5"/>
  <c r="L1237" i="5"/>
  <c r="L1236" i="5"/>
  <c r="L1235" i="5"/>
  <c r="L1234" i="5"/>
  <c r="L1233" i="5"/>
  <c r="L1232" i="5"/>
  <c r="L1231" i="5"/>
  <c r="L1230" i="5"/>
  <c r="L1229" i="5"/>
  <c r="L1228" i="5"/>
  <c r="L1227" i="5"/>
  <c r="L1226" i="5"/>
  <c r="L1225" i="5"/>
  <c r="L1224" i="5"/>
  <c r="L1223" i="5"/>
  <c r="L1222" i="5"/>
  <c r="L1221" i="5"/>
  <c r="L1220" i="5"/>
  <c r="L1219" i="5"/>
  <c r="L1218" i="5"/>
  <c r="L1217" i="5"/>
  <c r="L1216" i="5"/>
  <c r="L1215" i="5"/>
  <c r="L1214" i="5"/>
  <c r="L1213" i="5"/>
  <c r="L1212" i="5"/>
  <c r="L1211" i="5"/>
  <c r="L1210" i="5"/>
  <c r="L1209" i="5"/>
  <c r="L1208" i="5"/>
  <c r="L1207" i="5"/>
  <c r="L1206" i="5"/>
  <c r="L1205" i="5"/>
  <c r="L1204" i="5"/>
  <c r="L1203" i="5"/>
  <c r="L1202" i="5"/>
  <c r="L1201" i="5"/>
  <c r="L1200" i="5"/>
  <c r="L1199" i="5"/>
  <c r="L1198" i="5"/>
  <c r="L1197" i="5"/>
  <c r="L1196" i="5"/>
  <c r="L1195" i="5"/>
  <c r="L1194" i="5"/>
  <c r="L1193" i="5"/>
  <c r="L1192" i="5"/>
  <c r="L1191" i="5"/>
  <c r="L1190" i="5"/>
  <c r="L1189" i="5"/>
  <c r="L1188" i="5"/>
  <c r="L1187" i="5"/>
  <c r="L1186" i="5"/>
  <c r="L1185" i="5"/>
  <c r="L1184" i="5"/>
  <c r="L1183" i="5"/>
  <c r="L1182" i="5"/>
  <c r="L1181" i="5"/>
  <c r="L1180" i="5"/>
  <c r="L1179" i="5"/>
  <c r="L1178" i="5"/>
  <c r="L1177" i="5"/>
  <c r="L1176" i="5"/>
  <c r="L1175" i="5"/>
  <c r="L1174" i="5"/>
  <c r="L1173" i="5"/>
  <c r="L1172" i="5"/>
  <c r="L1171" i="5"/>
  <c r="L1170" i="5"/>
  <c r="L1169" i="5"/>
  <c r="L1168" i="5"/>
  <c r="L1167" i="5"/>
  <c r="L1166" i="5"/>
  <c r="L1165" i="5"/>
  <c r="L1164" i="5"/>
  <c r="L1163" i="5"/>
  <c r="L1162" i="5"/>
  <c r="L1161" i="5"/>
  <c r="L1160" i="5"/>
  <c r="L1159" i="5"/>
  <c r="L1158" i="5"/>
  <c r="L1157" i="5"/>
  <c r="L1156" i="5"/>
  <c r="L1155" i="5"/>
  <c r="L1154" i="5"/>
  <c r="L1153" i="5"/>
  <c r="L1152" i="5"/>
  <c r="L1151" i="5"/>
  <c r="L1150" i="5"/>
  <c r="L1149" i="5"/>
  <c r="L1148" i="5"/>
  <c r="L1147" i="5"/>
  <c r="L1146" i="5"/>
  <c r="L1145" i="5"/>
  <c r="L1144" i="5"/>
  <c r="L1143" i="5"/>
  <c r="L1142" i="5"/>
  <c r="L1141" i="5"/>
  <c r="L1140" i="5"/>
  <c r="L1139" i="5"/>
  <c r="L1138" i="5"/>
  <c r="L1137" i="5"/>
  <c r="L1136" i="5"/>
  <c r="L1135" i="5"/>
  <c r="L1134" i="5"/>
  <c r="L1133" i="5"/>
  <c r="L1132" i="5"/>
  <c r="L1131" i="5"/>
  <c r="L1130" i="5"/>
  <c r="L1129" i="5"/>
  <c r="L1128" i="5"/>
  <c r="L1127" i="5"/>
  <c r="L1126" i="5"/>
  <c r="L1125" i="5"/>
  <c r="L1124" i="5"/>
  <c r="L1123" i="5"/>
  <c r="L1122" i="5"/>
  <c r="L1121" i="5"/>
  <c r="L1120" i="5"/>
  <c r="L1119" i="5"/>
  <c r="L1118" i="5"/>
  <c r="L1117" i="5"/>
  <c r="L1116" i="5"/>
  <c r="L1115" i="5"/>
  <c r="L1114" i="5"/>
  <c r="L1113" i="5"/>
  <c r="L1112" i="5"/>
  <c r="L1111" i="5"/>
  <c r="L1110" i="5"/>
  <c r="L1109" i="5"/>
  <c r="L1108" i="5"/>
  <c r="L1107" i="5"/>
  <c r="L1106" i="5"/>
  <c r="L1105" i="5"/>
  <c r="L1104" i="5"/>
  <c r="L1103" i="5"/>
  <c r="L1102" i="5"/>
  <c r="L1101" i="5"/>
  <c r="L1100" i="5"/>
  <c r="L1099" i="5"/>
  <c r="L1098" i="5"/>
  <c r="L1097" i="5"/>
  <c r="L1096" i="5"/>
  <c r="L1095" i="5"/>
  <c r="L1094" i="5"/>
  <c r="L1093" i="5"/>
  <c r="L1092" i="5"/>
  <c r="L1091" i="5"/>
  <c r="L1090" i="5"/>
  <c r="L1089" i="5"/>
  <c r="L1088" i="5"/>
  <c r="L1087" i="5"/>
  <c r="L1086" i="5"/>
  <c r="L1085" i="5"/>
  <c r="L1084" i="5"/>
  <c r="L1083" i="5"/>
  <c r="L1082" i="5"/>
  <c r="L1081" i="5"/>
  <c r="L1080" i="5"/>
  <c r="L1079" i="5"/>
  <c r="L1078" i="5"/>
  <c r="L1077" i="5"/>
  <c r="L1076" i="5"/>
  <c r="L1075" i="5"/>
  <c r="L1074" i="5"/>
  <c r="L1073" i="5"/>
  <c r="L1072" i="5"/>
  <c r="L1071" i="5"/>
  <c r="L1070" i="5"/>
  <c r="L1069" i="5"/>
  <c r="L1068" i="5"/>
  <c r="L1067" i="5"/>
  <c r="L1066" i="5"/>
  <c r="L1065" i="5"/>
  <c r="L1064" i="5"/>
  <c r="L1063" i="5"/>
  <c r="L1062" i="5"/>
  <c r="L1061" i="5"/>
  <c r="L1060" i="5"/>
  <c r="L1059" i="5"/>
  <c r="L1058" i="5"/>
  <c r="L1057" i="5"/>
  <c r="L1056" i="5"/>
  <c r="L1055" i="5"/>
  <c r="L1054" i="5"/>
  <c r="L1053" i="5"/>
  <c r="L1052" i="5"/>
  <c r="L1051" i="5"/>
  <c r="L1050" i="5"/>
  <c r="L1049" i="5"/>
  <c r="L1048" i="5"/>
  <c r="L1047" i="5"/>
  <c r="L1046" i="5"/>
  <c r="L1045" i="5"/>
  <c r="L1044" i="5"/>
  <c r="L1043" i="5"/>
  <c r="L1042" i="5"/>
  <c r="L1041" i="5"/>
  <c r="L1040" i="5"/>
  <c r="L1039" i="5"/>
  <c r="L1038" i="5"/>
  <c r="L1037" i="5"/>
  <c r="L1036" i="5"/>
  <c r="L1035" i="5"/>
  <c r="L1034" i="5"/>
  <c r="L1033" i="5"/>
  <c r="L1032" i="5"/>
  <c r="L1031" i="5"/>
  <c r="L1030" i="5"/>
  <c r="L1029" i="5"/>
  <c r="L1028" i="5"/>
  <c r="L1027" i="5"/>
  <c r="L1026" i="5"/>
  <c r="L1025" i="5"/>
  <c r="L1024" i="5"/>
  <c r="L1023" i="5"/>
  <c r="L1022" i="5"/>
  <c r="L1021" i="5"/>
  <c r="L1020" i="5"/>
  <c r="L1019" i="5"/>
  <c r="L1018" i="5"/>
  <c r="L1017" i="5"/>
  <c r="L1016" i="5"/>
  <c r="L1015" i="5"/>
  <c r="L1014" i="5"/>
  <c r="L1013" i="5"/>
  <c r="L1012" i="5"/>
  <c r="L1011" i="5"/>
  <c r="L1010" i="5"/>
  <c r="L1009" i="5"/>
  <c r="L1008" i="5"/>
  <c r="L1007" i="5"/>
  <c r="L1006" i="5"/>
  <c r="L1005" i="5"/>
  <c r="L1004" i="5"/>
  <c r="L1003" i="5"/>
  <c r="L1002" i="5"/>
  <c r="L1001" i="5"/>
  <c r="L1000" i="5"/>
  <c r="L999" i="5"/>
  <c r="L998" i="5"/>
  <c r="L997" i="5"/>
  <c r="L996" i="5"/>
  <c r="L995" i="5"/>
  <c r="L994" i="5"/>
  <c r="L993" i="5"/>
  <c r="L992" i="5"/>
  <c r="L991" i="5"/>
  <c r="L990" i="5"/>
  <c r="L989" i="5"/>
  <c r="L988" i="5"/>
  <c r="L987" i="5"/>
  <c r="L986" i="5"/>
  <c r="L985" i="5"/>
  <c r="L984" i="5"/>
  <c r="L983" i="5"/>
  <c r="L982" i="5"/>
  <c r="L981" i="5"/>
  <c r="L980" i="5"/>
  <c r="L979" i="5"/>
  <c r="L978" i="5"/>
  <c r="L977" i="5"/>
  <c r="L976" i="5"/>
  <c r="L975" i="5"/>
  <c r="L974" i="5"/>
  <c r="L973" i="5"/>
  <c r="L972" i="5"/>
  <c r="L971" i="5"/>
  <c r="L970" i="5"/>
  <c r="L969" i="5"/>
  <c r="L968" i="5"/>
  <c r="L967" i="5"/>
  <c r="L966" i="5"/>
  <c r="L965" i="5"/>
  <c r="L964" i="5"/>
  <c r="L963" i="5"/>
  <c r="L962" i="5"/>
  <c r="L961" i="5"/>
  <c r="L960" i="5"/>
  <c r="L959" i="5"/>
  <c r="L958" i="5"/>
  <c r="L957" i="5"/>
  <c r="L956" i="5"/>
  <c r="L955" i="5"/>
  <c r="L954" i="5"/>
  <c r="L953" i="5"/>
  <c r="L952" i="5"/>
  <c r="L951" i="5"/>
  <c r="L950" i="5"/>
  <c r="L949" i="5"/>
  <c r="L948" i="5"/>
  <c r="L947" i="5"/>
  <c r="L946" i="5"/>
  <c r="L945" i="5"/>
  <c r="L944" i="5"/>
  <c r="L943" i="5"/>
  <c r="L942" i="5"/>
  <c r="L941" i="5"/>
  <c r="L940" i="5"/>
  <c r="L939" i="5"/>
  <c r="L938" i="5"/>
  <c r="L937" i="5"/>
  <c r="L936" i="5"/>
  <c r="L935" i="5"/>
  <c r="L934" i="5"/>
  <c r="L933" i="5"/>
  <c r="L932" i="5"/>
  <c r="L931" i="5"/>
  <c r="L930" i="5"/>
  <c r="L929" i="5"/>
  <c r="L928" i="5"/>
  <c r="L927" i="5"/>
  <c r="L926" i="5"/>
  <c r="L925" i="5"/>
  <c r="L924" i="5"/>
  <c r="L923" i="5"/>
  <c r="L922" i="5"/>
  <c r="L921" i="5"/>
  <c r="L920" i="5"/>
  <c r="L919" i="5"/>
  <c r="L918" i="5"/>
  <c r="L917" i="5"/>
  <c r="L916" i="5"/>
  <c r="L915" i="5"/>
  <c r="L914" i="5"/>
  <c r="L913" i="5"/>
  <c r="L912" i="5"/>
  <c r="L911" i="5"/>
  <c r="L910" i="5"/>
  <c r="L909" i="5"/>
  <c r="L908" i="5"/>
  <c r="L907" i="5"/>
  <c r="L906" i="5"/>
  <c r="L905" i="5"/>
  <c r="L904" i="5"/>
  <c r="L903" i="5"/>
  <c r="L902" i="5"/>
  <c r="L901" i="5"/>
  <c r="L900" i="5"/>
  <c r="L899" i="5"/>
  <c r="L898" i="5"/>
  <c r="L897" i="5"/>
  <c r="L896" i="5"/>
  <c r="L895" i="5"/>
  <c r="L894" i="5"/>
  <c r="L893" i="5"/>
  <c r="L892" i="5"/>
  <c r="L891" i="5"/>
  <c r="L890" i="5"/>
  <c r="L889" i="5"/>
  <c r="L888" i="5"/>
  <c r="L887" i="5"/>
  <c r="L886" i="5"/>
  <c r="L885" i="5"/>
  <c r="L884" i="5"/>
  <c r="L883" i="5"/>
  <c r="L882" i="5"/>
  <c r="L881" i="5"/>
  <c r="L880" i="5"/>
  <c r="L879" i="5"/>
  <c r="L878" i="5"/>
  <c r="L877" i="5"/>
  <c r="L876" i="5"/>
  <c r="L875" i="5"/>
  <c r="L874" i="5"/>
  <c r="L873" i="5"/>
  <c r="L872" i="5"/>
  <c r="L871" i="5"/>
  <c r="L870" i="5"/>
  <c r="L869" i="5"/>
  <c r="L868" i="5"/>
  <c r="L867" i="5"/>
  <c r="L866" i="5"/>
  <c r="L865" i="5"/>
  <c r="L864" i="5"/>
  <c r="L863" i="5"/>
  <c r="L862" i="5"/>
  <c r="L861" i="5"/>
  <c r="L860" i="5"/>
  <c r="L859" i="5"/>
  <c r="L858" i="5"/>
  <c r="L857" i="5"/>
  <c r="L856" i="5"/>
  <c r="L855" i="5"/>
  <c r="L854" i="5"/>
  <c r="L853" i="5"/>
  <c r="L852" i="5"/>
  <c r="L851" i="5"/>
  <c r="L850" i="5"/>
  <c r="L849" i="5"/>
  <c r="L848" i="5"/>
  <c r="L847" i="5"/>
  <c r="L846" i="5"/>
  <c r="L845" i="5"/>
  <c r="L844" i="5"/>
  <c r="L843" i="5"/>
  <c r="L842" i="5"/>
  <c r="L841" i="5"/>
  <c r="L840" i="5"/>
  <c r="L839" i="5"/>
  <c r="L838" i="5"/>
  <c r="L837" i="5"/>
  <c r="L836" i="5"/>
  <c r="L835" i="5"/>
  <c r="L834" i="5"/>
  <c r="L833" i="5"/>
  <c r="L832" i="5"/>
  <c r="L831" i="5"/>
  <c r="L830" i="5"/>
  <c r="L829" i="5"/>
  <c r="L828" i="5"/>
  <c r="L827" i="5"/>
  <c r="L826" i="5"/>
  <c r="L825" i="5"/>
  <c r="L824" i="5"/>
  <c r="L823" i="5"/>
  <c r="L822" i="5"/>
  <c r="L821" i="5"/>
  <c r="L820" i="5"/>
  <c r="L819" i="5"/>
  <c r="L818" i="5"/>
  <c r="L817" i="5"/>
  <c r="L816" i="5"/>
  <c r="L815" i="5"/>
  <c r="L814" i="5"/>
  <c r="L813" i="5"/>
  <c r="L812" i="5"/>
  <c r="L811" i="5"/>
  <c r="L810" i="5"/>
  <c r="L809" i="5"/>
  <c r="L808" i="5"/>
  <c r="L807" i="5"/>
  <c r="L806" i="5"/>
  <c r="L805" i="5"/>
  <c r="L804" i="5"/>
  <c r="L803" i="5"/>
  <c r="L802" i="5"/>
  <c r="L801" i="5"/>
  <c r="L800" i="5"/>
  <c r="L799" i="5"/>
  <c r="L798" i="5"/>
  <c r="L797" i="5"/>
  <c r="L796" i="5"/>
  <c r="L795" i="5"/>
  <c r="L794" i="5"/>
  <c r="L793" i="5"/>
  <c r="L792" i="5"/>
  <c r="L791" i="5"/>
  <c r="L790" i="5"/>
  <c r="L789" i="5"/>
  <c r="L788" i="5"/>
  <c r="L787" i="5"/>
  <c r="L786" i="5"/>
  <c r="L785" i="5"/>
  <c r="L784" i="5"/>
  <c r="L783" i="5"/>
  <c r="L782" i="5"/>
  <c r="L781" i="5"/>
  <c r="L780" i="5"/>
  <c r="L779" i="5"/>
  <c r="L778" i="5"/>
  <c r="L777" i="5"/>
  <c r="L776" i="5"/>
  <c r="L775" i="5"/>
  <c r="L774" i="5"/>
  <c r="L773" i="5"/>
  <c r="L772" i="5"/>
  <c r="L771" i="5"/>
  <c r="L770" i="5"/>
  <c r="L769" i="5"/>
  <c r="L768" i="5"/>
  <c r="L767" i="5"/>
  <c r="L766" i="5"/>
  <c r="L765" i="5"/>
  <c r="L764" i="5"/>
  <c r="L763" i="5"/>
  <c r="L762" i="5"/>
  <c r="L761" i="5"/>
  <c r="L760" i="5"/>
  <c r="L759" i="5"/>
  <c r="L758" i="5"/>
  <c r="L757" i="5"/>
  <c r="L756" i="5"/>
  <c r="L755" i="5"/>
  <c r="L754" i="5"/>
  <c r="L753" i="5"/>
  <c r="L752" i="5"/>
  <c r="L751" i="5"/>
  <c r="L750" i="5"/>
  <c r="L749" i="5"/>
  <c r="L748" i="5"/>
  <c r="L747" i="5"/>
  <c r="L746" i="5"/>
  <c r="L745" i="5"/>
  <c r="L744" i="5"/>
  <c r="L743" i="5"/>
  <c r="L742" i="5"/>
  <c r="L741" i="5"/>
  <c r="L740" i="5"/>
  <c r="L739" i="5"/>
  <c r="L738" i="5"/>
  <c r="L737" i="5"/>
  <c r="L736" i="5"/>
  <c r="L735" i="5"/>
  <c r="L734" i="5"/>
  <c r="L733" i="5"/>
  <c r="L732" i="5"/>
  <c r="L731" i="5"/>
  <c r="L730" i="5"/>
  <c r="L729" i="5"/>
  <c r="L728" i="5"/>
  <c r="L727" i="5"/>
  <c r="L726" i="5"/>
  <c r="L725" i="5"/>
  <c r="L724" i="5"/>
  <c r="L723" i="5"/>
  <c r="L722" i="5"/>
  <c r="L721" i="5"/>
  <c r="L720" i="5"/>
  <c r="L719" i="5"/>
  <c r="L718" i="5"/>
  <c r="L717" i="5"/>
  <c r="L716" i="5"/>
  <c r="L715" i="5"/>
  <c r="L714" i="5"/>
  <c r="L713" i="5"/>
  <c r="L712" i="5"/>
  <c r="L711" i="5"/>
  <c r="L710" i="5"/>
  <c r="L709" i="5"/>
  <c r="L708" i="5"/>
  <c r="L707" i="5"/>
  <c r="L706" i="5"/>
  <c r="L705" i="5"/>
  <c r="L704" i="5"/>
  <c r="L703" i="5"/>
  <c r="L702" i="5"/>
  <c r="L701" i="5"/>
  <c r="L700" i="5"/>
  <c r="L699" i="5"/>
  <c r="L698" i="5"/>
  <c r="L697" i="5"/>
  <c r="L696" i="5"/>
  <c r="L695" i="5"/>
  <c r="L694" i="5"/>
  <c r="L693" i="5"/>
  <c r="L692" i="5"/>
  <c r="L691" i="5"/>
  <c r="L690" i="5"/>
  <c r="L689" i="5"/>
  <c r="L688" i="5"/>
  <c r="L687" i="5"/>
  <c r="L686" i="5"/>
  <c r="L685" i="5"/>
  <c r="L684" i="5"/>
  <c r="L683" i="5"/>
  <c r="L682" i="5"/>
  <c r="L681" i="5"/>
  <c r="L680" i="5"/>
  <c r="L679" i="5"/>
  <c r="L678" i="5"/>
  <c r="L677" i="5"/>
  <c r="L676" i="5"/>
  <c r="L675" i="5"/>
  <c r="L674" i="5"/>
  <c r="L673" i="5"/>
  <c r="L672" i="5"/>
  <c r="L671" i="5"/>
  <c r="L670" i="5"/>
  <c r="L669" i="5"/>
  <c r="L668" i="5"/>
  <c r="L667" i="5"/>
  <c r="L666" i="5"/>
  <c r="L665" i="5"/>
  <c r="L664" i="5"/>
  <c r="L663" i="5"/>
  <c r="L662" i="5"/>
  <c r="L661" i="5"/>
  <c r="L660" i="5"/>
  <c r="L659" i="5"/>
  <c r="L658" i="5"/>
  <c r="L657" i="5"/>
  <c r="L656" i="5"/>
  <c r="L655" i="5"/>
  <c r="L654" i="5"/>
  <c r="L653" i="5"/>
  <c r="L652" i="5"/>
  <c r="L651" i="5"/>
  <c r="L650" i="5"/>
  <c r="L649" i="5"/>
  <c r="L648" i="5"/>
  <c r="L647" i="5"/>
  <c r="L646" i="5"/>
  <c r="L645" i="5"/>
  <c r="L644" i="5"/>
  <c r="L643" i="5"/>
  <c r="L642" i="5"/>
  <c r="L641" i="5"/>
  <c r="L640" i="5"/>
  <c r="L639" i="5"/>
  <c r="L638" i="5"/>
  <c r="L637" i="5"/>
  <c r="L636" i="5"/>
  <c r="L635" i="5"/>
  <c r="L634" i="5"/>
  <c r="L633" i="5"/>
  <c r="L632" i="5"/>
  <c r="L631" i="5"/>
  <c r="L630" i="5"/>
  <c r="L629" i="5"/>
  <c r="L628" i="5"/>
  <c r="L627" i="5"/>
  <c r="L626" i="5"/>
  <c r="L625" i="5"/>
  <c r="L624" i="5"/>
  <c r="L623" i="5"/>
  <c r="L622" i="5"/>
  <c r="L621" i="5"/>
  <c r="L620" i="5"/>
  <c r="L619" i="5"/>
  <c r="L618" i="5"/>
  <c r="L617" i="5"/>
  <c r="L616" i="5"/>
  <c r="L615" i="5"/>
  <c r="L614" i="5"/>
  <c r="L613" i="5"/>
  <c r="L612" i="5"/>
  <c r="L611" i="5"/>
  <c r="L610" i="5"/>
  <c r="L609" i="5"/>
  <c r="L608" i="5"/>
  <c r="L607" i="5"/>
  <c r="L606" i="5"/>
  <c r="L605" i="5"/>
  <c r="L604" i="5"/>
  <c r="L603" i="5"/>
  <c r="L602" i="5"/>
  <c r="L601" i="5"/>
  <c r="L600" i="5"/>
  <c r="L599" i="5"/>
  <c r="L598" i="5"/>
  <c r="L597" i="5"/>
  <c r="L596" i="5"/>
  <c r="L595" i="5"/>
  <c r="L594" i="5"/>
  <c r="L593" i="5"/>
  <c r="L592" i="5"/>
  <c r="L591" i="5"/>
  <c r="L590" i="5"/>
  <c r="L589" i="5"/>
  <c r="L588" i="5"/>
  <c r="L587" i="5"/>
  <c r="L586" i="5"/>
  <c r="L585" i="5"/>
  <c r="L584" i="5"/>
  <c r="L583" i="5"/>
  <c r="L582" i="5"/>
  <c r="L581" i="5"/>
  <c r="L580" i="5"/>
  <c r="L579" i="5"/>
  <c r="L578" i="5"/>
  <c r="L577" i="5"/>
  <c r="L576" i="5"/>
  <c r="L575" i="5"/>
  <c r="L574" i="5"/>
  <c r="L573" i="5"/>
  <c r="L572" i="5"/>
  <c r="L571" i="5"/>
  <c r="L570" i="5"/>
  <c r="L569" i="5"/>
  <c r="L568" i="5"/>
  <c r="L567" i="5"/>
  <c r="L566" i="5"/>
  <c r="L565" i="5"/>
  <c r="L564" i="5"/>
  <c r="L563" i="5"/>
  <c r="L562" i="5"/>
  <c r="L561" i="5"/>
  <c r="L560" i="5"/>
  <c r="L559" i="5"/>
  <c r="L558" i="5"/>
  <c r="L557" i="5"/>
  <c r="L556" i="5"/>
  <c r="L555" i="5"/>
  <c r="L554" i="5"/>
  <c r="L553" i="5"/>
  <c r="L552" i="5"/>
  <c r="L551" i="5"/>
  <c r="L550" i="5"/>
  <c r="L549" i="5"/>
  <c r="L548" i="5"/>
  <c r="L547" i="5"/>
  <c r="L546" i="5"/>
  <c r="L545" i="5"/>
  <c r="L544" i="5"/>
  <c r="L543" i="5"/>
  <c r="L542" i="5"/>
  <c r="L541" i="5"/>
  <c r="L540" i="5"/>
  <c r="L539" i="5"/>
  <c r="L538" i="5"/>
  <c r="L537" i="5"/>
  <c r="L536" i="5"/>
  <c r="L535" i="5"/>
  <c r="L534" i="5"/>
  <c r="L533" i="5"/>
  <c r="L532" i="5"/>
  <c r="L531" i="5"/>
  <c r="L530" i="5"/>
  <c r="L529" i="5"/>
  <c r="L528" i="5"/>
  <c r="L527" i="5"/>
  <c r="L526" i="5"/>
  <c r="L525" i="5"/>
  <c r="L524" i="5"/>
  <c r="L523" i="5"/>
  <c r="L522" i="5"/>
  <c r="L521" i="5"/>
  <c r="L520" i="5"/>
  <c r="L519" i="5"/>
  <c r="L518" i="5"/>
  <c r="L517" i="5"/>
  <c r="L516" i="5"/>
  <c r="L515" i="5"/>
  <c r="L514" i="5"/>
  <c r="L513" i="5"/>
  <c r="L512" i="5"/>
  <c r="L511" i="5"/>
  <c r="L510" i="5"/>
  <c r="L509" i="5"/>
  <c r="L508" i="5"/>
  <c r="L507" i="5"/>
  <c r="L506" i="5"/>
  <c r="L505" i="5"/>
  <c r="L504" i="5"/>
  <c r="L503" i="5"/>
  <c r="L502" i="5"/>
  <c r="L501" i="5"/>
  <c r="L500" i="5"/>
  <c r="L499" i="5"/>
  <c r="L498" i="5"/>
  <c r="L497" i="5"/>
  <c r="L496" i="5"/>
  <c r="L495" i="5"/>
  <c r="L494" i="5"/>
  <c r="L493" i="5"/>
  <c r="L492" i="5"/>
  <c r="L491" i="5"/>
  <c r="L490" i="5"/>
  <c r="L489" i="5"/>
  <c r="L488" i="5"/>
  <c r="L487" i="5"/>
  <c r="L486" i="5"/>
  <c r="L485" i="5"/>
  <c r="L484" i="5"/>
  <c r="L483" i="5"/>
  <c r="L482" i="5"/>
  <c r="L481" i="5"/>
  <c r="L480" i="5"/>
  <c r="L479" i="5"/>
  <c r="L478" i="5"/>
  <c r="L477" i="5"/>
  <c r="L476" i="5"/>
  <c r="L475" i="5"/>
  <c r="L474" i="5"/>
  <c r="L473" i="5"/>
  <c r="L472" i="5"/>
  <c r="L471" i="5"/>
  <c r="L470" i="5"/>
  <c r="L469" i="5"/>
  <c r="L468" i="5"/>
  <c r="L467" i="5"/>
  <c r="L466" i="5"/>
  <c r="L465" i="5"/>
  <c r="L464" i="5"/>
  <c r="L463" i="5"/>
  <c r="L462" i="5"/>
  <c r="L461" i="5"/>
  <c r="L460" i="5"/>
  <c r="L459" i="5"/>
  <c r="L458" i="5"/>
  <c r="L457" i="5"/>
  <c r="L456" i="5"/>
  <c r="L455" i="5"/>
  <c r="L454" i="5"/>
  <c r="L453" i="5"/>
  <c r="L452" i="5"/>
  <c r="L451" i="5"/>
  <c r="L450" i="5"/>
  <c r="L449" i="5"/>
  <c r="L448" i="5"/>
  <c r="L447" i="5"/>
  <c r="L446" i="5"/>
  <c r="L445" i="5"/>
  <c r="L444" i="5"/>
  <c r="L443" i="5"/>
  <c r="L442" i="5"/>
  <c r="L441" i="5"/>
  <c r="L440" i="5"/>
  <c r="L439" i="5"/>
  <c r="L438" i="5"/>
  <c r="L437" i="5"/>
  <c r="L436" i="5"/>
  <c r="L435" i="5"/>
  <c r="L434" i="5"/>
  <c r="L433" i="5"/>
  <c r="L432" i="5"/>
  <c r="L431" i="5"/>
  <c r="L430" i="5"/>
  <c r="L429" i="5"/>
  <c r="L428" i="5"/>
  <c r="L427" i="5"/>
  <c r="L426" i="5"/>
  <c r="L425" i="5"/>
  <c r="L424" i="5"/>
  <c r="L423" i="5"/>
  <c r="L422" i="5"/>
  <c r="L421" i="5"/>
  <c r="L420" i="5"/>
  <c r="L419" i="5"/>
  <c r="L418" i="5"/>
  <c r="L417" i="5"/>
  <c r="L416" i="5"/>
  <c r="L415" i="5"/>
  <c r="L414" i="5"/>
  <c r="L413" i="5"/>
  <c r="L412" i="5"/>
  <c r="L411" i="5"/>
  <c r="L410" i="5"/>
  <c r="L409" i="5"/>
  <c r="L408" i="5"/>
  <c r="L407" i="5"/>
  <c r="L406" i="5"/>
  <c r="L405" i="5"/>
  <c r="L404" i="5"/>
  <c r="L403" i="5"/>
  <c r="L402" i="5"/>
  <c r="L401" i="5"/>
  <c r="L400" i="5"/>
  <c r="L399" i="5"/>
  <c r="L398" i="5"/>
  <c r="L397" i="5"/>
  <c r="L396" i="5"/>
  <c r="L395" i="5"/>
  <c r="L394" i="5"/>
  <c r="L393" i="5"/>
  <c r="L392" i="5"/>
  <c r="L391" i="5"/>
  <c r="L390" i="5"/>
  <c r="L389" i="5"/>
  <c r="L388" i="5"/>
  <c r="L387" i="5"/>
  <c r="L386" i="5"/>
  <c r="L385" i="5"/>
  <c r="L384" i="5"/>
  <c r="L383" i="5"/>
  <c r="L382" i="5"/>
  <c r="L381" i="5"/>
  <c r="L380" i="5"/>
  <c r="L379" i="5"/>
  <c r="L378" i="5"/>
  <c r="L377" i="5"/>
  <c r="L376" i="5"/>
  <c r="L375" i="5"/>
  <c r="L374" i="5"/>
  <c r="L373" i="5"/>
  <c r="L372" i="5"/>
  <c r="L371" i="5"/>
  <c r="L370" i="5"/>
  <c r="L369" i="5"/>
  <c r="L368" i="5"/>
  <c r="L367" i="5"/>
  <c r="L366" i="5"/>
  <c r="L365" i="5"/>
  <c r="L364" i="5"/>
  <c r="L363" i="5"/>
  <c r="L362" i="5"/>
  <c r="L361" i="5"/>
  <c r="L360" i="5"/>
  <c r="L359" i="5"/>
  <c r="L358" i="5"/>
  <c r="L357" i="5"/>
  <c r="L356" i="5"/>
  <c r="L355" i="5"/>
  <c r="L354" i="5"/>
  <c r="L353" i="5"/>
  <c r="L352" i="5"/>
  <c r="L351" i="5"/>
  <c r="L350" i="5"/>
  <c r="L349" i="5"/>
  <c r="L348" i="5"/>
  <c r="L347" i="5"/>
  <c r="L346" i="5"/>
  <c r="L345" i="5"/>
  <c r="L344" i="5"/>
  <c r="L343" i="5"/>
  <c r="L342" i="5"/>
  <c r="L341" i="5"/>
  <c r="L340" i="5"/>
  <c r="L339" i="5"/>
  <c r="L338" i="5"/>
  <c r="L337" i="5"/>
  <c r="L336" i="5"/>
  <c r="L335" i="5"/>
  <c r="L334" i="5"/>
  <c r="L333" i="5"/>
  <c r="L332" i="5"/>
  <c r="L331" i="5"/>
  <c r="L330" i="5"/>
  <c r="L329" i="5"/>
  <c r="L328" i="5"/>
  <c r="L327" i="5"/>
  <c r="L326" i="5"/>
  <c r="L325" i="5"/>
  <c r="L324" i="5"/>
  <c r="L323" i="5"/>
  <c r="L322" i="5"/>
  <c r="L321" i="5"/>
  <c r="L320" i="5"/>
  <c r="L319" i="5"/>
  <c r="L318" i="5"/>
  <c r="L317" i="5"/>
  <c r="L316" i="5"/>
  <c r="L315" i="5"/>
  <c r="L314" i="5"/>
  <c r="L313" i="5"/>
  <c r="L312" i="5"/>
  <c r="L311" i="5"/>
  <c r="L310" i="5"/>
  <c r="L309" i="5"/>
  <c r="L308" i="5"/>
  <c r="L307" i="5"/>
  <c r="L306" i="5"/>
  <c r="L305" i="5"/>
  <c r="L304" i="5"/>
  <c r="L303" i="5"/>
  <c r="L302" i="5"/>
  <c r="L301" i="5"/>
  <c r="L300" i="5"/>
  <c r="L299" i="5"/>
  <c r="L298" i="5"/>
  <c r="L297" i="5"/>
  <c r="L296" i="5"/>
  <c r="L295" i="5"/>
  <c r="L294" i="5"/>
  <c r="L293" i="5"/>
  <c r="L292" i="5"/>
  <c r="L291" i="5"/>
  <c r="L290" i="5"/>
  <c r="L289" i="5"/>
  <c r="L288" i="5"/>
  <c r="L287" i="5"/>
  <c r="L286" i="5"/>
  <c r="L285" i="5"/>
  <c r="L284" i="5"/>
  <c r="L283" i="5"/>
  <c r="L282" i="5"/>
  <c r="L281" i="5"/>
  <c r="L280" i="5"/>
  <c r="L279" i="5"/>
  <c r="L278" i="5"/>
  <c r="L277" i="5"/>
  <c r="L276" i="5"/>
  <c r="L275" i="5"/>
  <c r="L274" i="5"/>
  <c r="L273" i="5"/>
  <c r="L272" i="5"/>
  <c r="L271" i="5"/>
  <c r="L270" i="5"/>
  <c r="L269" i="5"/>
  <c r="L268" i="5"/>
  <c r="L267" i="5"/>
  <c r="L266" i="5"/>
  <c r="L265" i="5"/>
  <c r="L264" i="5"/>
  <c r="L263" i="5"/>
  <c r="L262" i="5"/>
  <c r="L261" i="5"/>
  <c r="L260" i="5"/>
  <c r="L259" i="5"/>
  <c r="L258" i="5"/>
  <c r="L257" i="5"/>
  <c r="L256" i="5"/>
  <c r="L255" i="5"/>
  <c r="L254" i="5"/>
  <c r="L253" i="5"/>
  <c r="L252" i="5"/>
  <c r="L251" i="5"/>
  <c r="L250" i="5"/>
  <c r="L249" i="5"/>
  <c r="L248" i="5"/>
  <c r="L247" i="5"/>
  <c r="L246" i="5"/>
  <c r="L245" i="5"/>
  <c r="L244" i="5"/>
  <c r="L243" i="5"/>
  <c r="L242" i="5"/>
  <c r="L241" i="5"/>
  <c r="L240" i="5"/>
  <c r="L239" i="5"/>
  <c r="L238" i="5"/>
  <c r="L237" i="5"/>
  <c r="L236" i="5"/>
  <c r="L235" i="5"/>
  <c r="L234" i="5"/>
  <c r="L233" i="5"/>
  <c r="L232" i="5"/>
  <c r="L231" i="5"/>
  <c r="L230" i="5"/>
  <c r="L229" i="5"/>
  <c r="L228" i="5"/>
  <c r="L227" i="5"/>
  <c r="L226" i="5"/>
  <c r="L225" i="5"/>
  <c r="L224" i="5"/>
  <c r="L223" i="5"/>
  <c r="L222" i="5"/>
  <c r="L221" i="5"/>
  <c r="L220" i="5"/>
  <c r="L219" i="5"/>
  <c r="L218" i="5"/>
  <c r="L217" i="5"/>
  <c r="L216" i="5"/>
  <c r="L215" i="5"/>
  <c r="L214" i="5"/>
  <c r="L213" i="5"/>
  <c r="L212" i="5"/>
  <c r="L211" i="5"/>
  <c r="L210" i="5"/>
  <c r="L209" i="5"/>
  <c r="L208" i="5"/>
  <c r="L207" i="5"/>
  <c r="L206" i="5"/>
  <c r="L205" i="5"/>
  <c r="L204" i="5"/>
  <c r="L203" i="5"/>
  <c r="L202" i="5"/>
  <c r="L201" i="5"/>
  <c r="L200" i="5"/>
  <c r="L199" i="5"/>
  <c r="L198" i="5"/>
  <c r="L197" i="5"/>
  <c r="L196" i="5"/>
  <c r="L195" i="5"/>
  <c r="L194" i="5"/>
  <c r="L193" i="5"/>
  <c r="L192" i="5"/>
  <c r="L191" i="5"/>
  <c r="L190" i="5"/>
  <c r="L189" i="5"/>
  <c r="L188" i="5"/>
  <c r="L187" i="5"/>
  <c r="L186" i="5"/>
  <c r="L185" i="5"/>
  <c r="L184" i="5"/>
  <c r="L183" i="5"/>
  <c r="L182" i="5"/>
  <c r="L181" i="5"/>
  <c r="L180" i="5"/>
  <c r="L179" i="5"/>
  <c r="L178" i="5"/>
  <c r="L177" i="5"/>
  <c r="L176" i="5"/>
  <c r="L175" i="5"/>
  <c r="L174" i="5"/>
  <c r="L173" i="5"/>
  <c r="L172" i="5"/>
  <c r="L171" i="5"/>
  <c r="L170" i="5"/>
  <c r="L169" i="5"/>
  <c r="L168" i="5"/>
  <c r="L167" i="5"/>
  <c r="L166" i="5"/>
  <c r="L165" i="5"/>
  <c r="L164" i="5"/>
  <c r="L163" i="5"/>
  <c r="L162" i="5"/>
  <c r="L161" i="5"/>
  <c r="L160" i="5"/>
  <c r="L159" i="5"/>
  <c r="L158" i="5"/>
  <c r="L157" i="5"/>
  <c r="L156" i="5"/>
  <c r="L155" i="5"/>
  <c r="L154" i="5"/>
  <c r="L153" i="5"/>
  <c r="L152" i="5"/>
  <c r="L151" i="5"/>
  <c r="L150" i="5"/>
  <c r="L149" i="5"/>
  <c r="L148" i="5"/>
  <c r="L147" i="5"/>
  <c r="L146" i="5"/>
  <c r="L145" i="5"/>
  <c r="L144" i="5"/>
  <c r="L143" i="5"/>
  <c r="L142" i="5"/>
  <c r="L141" i="5"/>
  <c r="L140" i="5"/>
  <c r="L139" i="5"/>
  <c r="L138" i="5"/>
  <c r="L137" i="5"/>
  <c r="L136" i="5"/>
  <c r="L135" i="5"/>
  <c r="L134" i="5"/>
  <c r="L133" i="5"/>
  <c r="L132" i="5"/>
  <c r="L131" i="5"/>
  <c r="L130" i="5"/>
  <c r="L129" i="5"/>
  <c r="L128" i="5"/>
  <c r="L127" i="5"/>
  <c r="L126" i="5"/>
  <c r="L125" i="5"/>
  <c r="L124" i="5"/>
  <c r="L123" i="5"/>
  <c r="L122" i="5"/>
  <c r="L121" i="5"/>
  <c r="L120" i="5"/>
  <c r="L119" i="5"/>
  <c r="L118" i="5"/>
  <c r="L117" i="5"/>
  <c r="L116" i="5"/>
  <c r="L115" i="5"/>
  <c r="L114" i="5"/>
  <c r="L113" i="5"/>
  <c r="L112" i="5"/>
  <c r="L111" i="5"/>
  <c r="L110" i="5"/>
  <c r="L109" i="5"/>
  <c r="L108" i="5"/>
  <c r="L107" i="5"/>
  <c r="L106" i="5"/>
  <c r="L105" i="5"/>
  <c r="L104" i="5"/>
  <c r="L103" i="5"/>
  <c r="L102" i="5"/>
  <c r="L101" i="5"/>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 r="L4" i="5"/>
  <c r="L3" i="5"/>
  <c r="L2" i="5"/>
  <c r="H2" i="2"/>
  <c r="L2" i="2"/>
  <c r="I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C8E2A4-FB47-454A-862B-F5EC1D763169}" keepAlive="1" name="Query - maintable" description="Connection to the 'maintable' query in the workbook." type="5" refreshedVersion="0" background="1">
    <dbPr connection="Provider=Microsoft.Mashup.OleDb.1;Data Source=$Workbook$;Location=maintable;Extended Properties=&quot;&quot;" command="SELECT * FROM [maintable]"/>
  </connection>
  <connection id="2" xr16:uid="{B1766BC6-AFD7-4312-A67A-895785E79E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00EB5ED-24DD-4E97-A419-DE4FD638751A}" name="WorksheetConnection_amazon dataset.xlsx!maintable_2" type="102" refreshedVersion="8" minRefreshableVersion="5">
    <extLst>
      <ext xmlns:x15="http://schemas.microsoft.com/office/spreadsheetml/2010/11/main" uri="{DE250136-89BD-433C-8126-D09CA5730AF9}">
        <x15:connection id="maintable_2" autoDelete="1">
          <x15:rangePr sourceName="_xlcn.WorksheetConnection_amazondataset.xlsxmaintable_2"/>
        </x15:connection>
      </ext>
    </extLst>
  </connection>
</connections>
</file>

<file path=xl/sharedStrings.xml><?xml version="1.0" encoding="utf-8"?>
<sst xmlns="http://schemas.openxmlformats.org/spreadsheetml/2006/main" count="12996" uniqueCount="2243">
  <si>
    <t>EmailID</t>
  </si>
  <si>
    <t>Category</t>
  </si>
  <si>
    <t>Product Name</t>
  </si>
  <si>
    <t>Sales</t>
  </si>
  <si>
    <t>Quantity</t>
  </si>
  <si>
    <t>Profit</t>
  </si>
  <si>
    <t>no of Days to delivery</t>
  </si>
  <si>
    <t>DarrinVanHuff@gmail.com</t>
  </si>
  <si>
    <t>Labels</t>
  </si>
  <si>
    <t>Self-Adhesive Address Labels for Typewriters by Universal</t>
  </si>
  <si>
    <t>BrosinaHoffman@gmail.com</t>
  </si>
  <si>
    <t>Furnishings</t>
  </si>
  <si>
    <t>Eldon Expressions Wood and Plastic Desk Accessories, Cherry Wood</t>
  </si>
  <si>
    <t>Art</t>
  </si>
  <si>
    <t>Newell 322</t>
  </si>
  <si>
    <t>Phones</t>
  </si>
  <si>
    <t>Mitel 5320 IP Phone VoIP phone</t>
  </si>
  <si>
    <t>Binders</t>
  </si>
  <si>
    <t>DXL Angle-View Binders with Locking Rings by Samsill</t>
  </si>
  <si>
    <t>Appliances</t>
  </si>
  <si>
    <t>Belkin F5C206VTEL 6 Outlet Surge</t>
  </si>
  <si>
    <t>Tables</t>
  </si>
  <si>
    <t>Chromcraft Rectangular Conference Tables</t>
  </si>
  <si>
    <t>Konftel 250 ConferenceÂ phoneÂ - Charcoal black</t>
  </si>
  <si>
    <t>IreneMaddox@gmail.com</t>
  </si>
  <si>
    <t>Fellowes PB200 Plastic Comb Binding Machine</t>
  </si>
  <si>
    <t>AlejandroGrove@gmail.com</t>
  </si>
  <si>
    <t>Storage</t>
  </si>
  <si>
    <t>Fellowes Super Stor/Drawer</t>
  </si>
  <si>
    <t>ZuschussDonatelli@gmail.com</t>
  </si>
  <si>
    <t>Newell 341</t>
  </si>
  <si>
    <t>Cisco SPA 501G IP Phone</t>
  </si>
  <si>
    <t>Wilson Jones Hanging View Binder, White, 1"</t>
  </si>
  <si>
    <t>EmilyBurns@gmail.com</t>
  </si>
  <si>
    <t>Bretford CR4500 Series Slim Rectangular Table</t>
  </si>
  <si>
    <t>EricHoffmann@gmail.com</t>
  </si>
  <si>
    <t>Wilson Jones Active Use Binders</t>
  </si>
  <si>
    <t>Accessories</t>
  </si>
  <si>
    <t>ImationÂ 8GB Mini TravelDrive USB 2.0Â Flash Drive</t>
  </si>
  <si>
    <t>RubenAusman@gmail.com</t>
  </si>
  <si>
    <t>Eldon Base for stackable storage shelf, platinum</t>
  </si>
  <si>
    <t>KunstMiller@gmail.com</t>
  </si>
  <si>
    <t>Verbatim 25 GB 6x Blu-ray Single Layer Recordable Disc, 3/Pack</t>
  </si>
  <si>
    <t>Acco PRESSTEX Data Binder with Storage Hooks, Dark Blue, 14 7/8" X 11"</t>
  </si>
  <si>
    <t>Paper</t>
  </si>
  <si>
    <t>Xerox 1943</t>
  </si>
  <si>
    <t>Luxo Economy Swing Arm Lamp</t>
  </si>
  <si>
    <t>BrendanSweed@gmail.com</t>
  </si>
  <si>
    <t>Hunt BOSTON Model 1606 High-Volume Electric Pencil Sharpener, Beige</t>
  </si>
  <si>
    <t>netTALK DUO VoIP Telephone Service</t>
  </si>
  <si>
    <t>DuaneNoonan@gmail.com</t>
  </si>
  <si>
    <t>Premium Writing Pencils, Soft, #2 by Central Association for the Blind</t>
  </si>
  <si>
    <t>Sortfiler Multipurpose Personal File Organizer, Black</t>
  </si>
  <si>
    <t>JimSink@gmail.com</t>
  </si>
  <si>
    <t>Turquoise Lead Holder with Pocket Clip</t>
  </si>
  <si>
    <t>Panasonic Kx-TS550</t>
  </si>
  <si>
    <t>Xerox 1995</t>
  </si>
  <si>
    <t>RogerBarcio@gmail.com</t>
  </si>
  <si>
    <t>Flexible Leather- Look Classic Collection Ring Binder</t>
  </si>
  <si>
    <t>KatherineDucich@gmail.com</t>
  </si>
  <si>
    <t>Trimflex Flexible Post Binders</t>
  </si>
  <si>
    <t>LenaCacioppo@gmail.com</t>
  </si>
  <si>
    <t>Logitech K350 2.4Ghz Wireless Keyboard</t>
  </si>
  <si>
    <t>Deflect-o DuraMat Lighweight, Studded, Beveled Mat for Low Pile Carpeting</t>
  </si>
  <si>
    <t>Avery Trapezoid Ring Binder, 3" Capacity, Black, 1040 sheets</t>
  </si>
  <si>
    <t>DaveKipp@gmail.com</t>
  </si>
  <si>
    <t>Hon Racetrack Conference Tables</t>
  </si>
  <si>
    <t>TroyStaebel@gmail.com</t>
  </si>
  <si>
    <t>Avery Durable Slant Ring Binders, No Labels</t>
  </si>
  <si>
    <t>Trav-L-File Heavy-Duty Shuttle II, Black</t>
  </si>
  <si>
    <t>LindsayShagiari@gmail.com</t>
  </si>
  <si>
    <t>Chairs</t>
  </si>
  <si>
    <t>Global Task Chair, Black</t>
  </si>
  <si>
    <t>Eldon Cleatmat Plus Chair Mats for High Pile Carpets</t>
  </si>
  <si>
    <t>LenaCreighton@gmail.com</t>
  </si>
  <si>
    <t>Xerox 195</t>
  </si>
  <si>
    <t>Xerox 1880</t>
  </si>
  <si>
    <t>Sanford Colorific Colored Pencils, 12/Box</t>
  </si>
  <si>
    <t>Fasteners</t>
  </si>
  <si>
    <t>Ideal Clamps</t>
  </si>
  <si>
    <t>GBC Wire Binding Strips</t>
  </si>
  <si>
    <t>Supplies</t>
  </si>
  <si>
    <t>Fiskars Softgrip Scissors</t>
  </si>
  <si>
    <t>Longer-Life Soft White Bulbs</t>
  </si>
  <si>
    <t>SallyHughsby@gmail.com</t>
  </si>
  <si>
    <t>Newell 343</t>
  </si>
  <si>
    <t>Envelopes</t>
  </si>
  <si>
    <t>Convenience Packs of Business Envelopes</t>
  </si>
  <si>
    <t>Xerox 1911</t>
  </si>
  <si>
    <t>HelenAndreada@gmail.com</t>
  </si>
  <si>
    <t>Safco Industrial Wire Shelving</t>
  </si>
  <si>
    <t>TamaraWillingham@gmail.com</t>
  </si>
  <si>
    <t>Belkin 7 Outlet SurgeMaster Surge Protector with Phone Protection</t>
  </si>
  <si>
    <t>Jabra BIZ 2300 Duo QD Duo CordedÂ Headset</t>
  </si>
  <si>
    <t>StephaniePhelps@gmail.com</t>
  </si>
  <si>
    <t>Southworth 25% Cotton Antique Laid Paper &amp; Envelopes</t>
  </si>
  <si>
    <t>Xerox 1883</t>
  </si>
  <si>
    <t>Tenex Personal Project File with Scoop Front Design, Black</t>
  </si>
  <si>
    <t>NeilKnudson@gmail.com</t>
  </si>
  <si>
    <t>Newell 311</t>
  </si>
  <si>
    <t>DaveBrooks@gmail.com</t>
  </si>
  <si>
    <t>Global Deluxe High-Back Manager's Chair</t>
  </si>
  <si>
    <t>TedTrevino@gmail.com</t>
  </si>
  <si>
    <t>Xerox 1920</t>
  </si>
  <si>
    <t>RubenDartt@gmail.com</t>
  </si>
  <si>
    <t>Staples</t>
  </si>
  <si>
    <t>MaxJones@gmail.com</t>
  </si>
  <si>
    <t>Wilson Jones International Size A4 Ring Binders</t>
  </si>
  <si>
    <t>ChadSievert@gmail.com</t>
  </si>
  <si>
    <t>Adams Phone Message Book, Professional, 400 Message Capacity, 5 3/6Â” x 11Â”</t>
  </si>
  <si>
    <t>Xerox 1913</t>
  </si>
  <si>
    <t>Global Value Steno Chair, Gray</t>
  </si>
  <si>
    <t>FrankMerwin@gmail.com</t>
  </si>
  <si>
    <t>SanDisk Ultra 32 GB MicroSDHC Class 10 Memory Card</t>
  </si>
  <si>
    <t>MaryZewe@gmail.com</t>
  </si>
  <si>
    <t>Poly String Tie Envelopes</t>
  </si>
  <si>
    <t>BruceStewart@gmail.com</t>
  </si>
  <si>
    <t>BoxOffice By Design Rectangular and Half-Moon Meeting Room Tables</t>
  </si>
  <si>
    <t>Bravo II Megaboss 12-Amp Hard Body Upright, Replacement Belts, 2 Belts per Pack</t>
  </si>
  <si>
    <t>LaurelElliston@gmail.com</t>
  </si>
  <si>
    <t>Nortel Business Series Terminal T7208 Digital phone</t>
  </si>
  <si>
    <t>JonathanHowell@gmail.com</t>
  </si>
  <si>
    <t>Personal Filing Tote with Lid, Black/Gray</t>
  </si>
  <si>
    <t>Adtran 1202752G1</t>
  </si>
  <si>
    <t>DavidBremer@gmail.com</t>
  </si>
  <si>
    <t>Xerox 4200 Series MultiUse Premium Copy Paper (20Lb. and 84 Bright)</t>
  </si>
  <si>
    <t>LoganHaushalter@gmail.com</t>
  </si>
  <si>
    <t>Global Leather Highback Executive Chair with Pneumatic Height Adjustment, Black</t>
  </si>
  <si>
    <t>KellyCollister@gmail.com</t>
  </si>
  <si>
    <t>Wirebound Message Books, Two 4 1/4" x 5" Forms per Page</t>
  </si>
  <si>
    <t>LogitechÂ P710e Mobile Speakerphone</t>
  </si>
  <si>
    <t>AlanHwang@gmail.com</t>
  </si>
  <si>
    <t>Microsoft Sculpt Comfort Mouse</t>
  </si>
  <si>
    <t>KristenHastings@gmail.com</t>
  </si>
  <si>
    <t>Adjustable Depth Letter/Legal Cart</t>
  </si>
  <si>
    <t>Logitech 910-002974 M325 Wireless Mouse for Web Scrolling</t>
  </si>
  <si>
    <t>Regeneration Desk Collection</t>
  </si>
  <si>
    <t>Presstex Flexible Ring Binders</t>
  </si>
  <si>
    <t>BarryBlumstein@gmail.com</t>
  </si>
  <si>
    <t>Ampad Gold Fibre Wirebound Steno Books, 6" x 9", Gregg Ruled</t>
  </si>
  <si>
    <t>Newell 330</t>
  </si>
  <si>
    <t>JasO'Carroll@gmail.com</t>
  </si>
  <si>
    <t>Bevis Round Bullnose 29" High Table Top</t>
  </si>
  <si>
    <t>TracyBlumstein@gmail.com</t>
  </si>
  <si>
    <t>Microsoft Arc Touch Mouse</t>
  </si>
  <si>
    <t>Xerox 216</t>
  </si>
  <si>
    <t>KellyLampkin@gmail.com</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</si>
  <si>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</si>
  <si>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</si>
  <si>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</si>
  <si>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</si>
  <si>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</si>
  <si>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BenPeterman@gmail.com</t>
  </si>
  <si>
    <t>C-Line Cubicle Keepers Polyproplyene Holder With Velcro Backings</t>
  </si>
  <si>
    <t>Hon 4070 Series Pagoda Armless Upholstered Stacking Chairs</t>
  </si>
  <si>
    <t>Eldon Expressions Desk Accessory, Wood Photo Frame, Mahogany</t>
  </si>
  <si>
    <t>Avery 509</t>
  </si>
  <si>
    <t>FrankAtkinson@gmail.com</t>
  </si>
  <si>
    <t>OIC Binder Clips</t>
  </si>
  <si>
    <t>GraceKelly@gmail.com</t>
  </si>
  <si>
    <t>Logitech Wireless Headset h800</t>
  </si>
  <si>
    <t>DougBickford@gmail.com</t>
  </si>
  <si>
    <t>Storex Dura Pro Binders</t>
  </si>
  <si>
    <t>Copiers</t>
  </si>
  <si>
    <t>Hewlett Packard LaserJet 3310 Copier</t>
  </si>
  <si>
    <t>Avery Non-Stick Binders</t>
  </si>
  <si>
    <t>AlyssaCrouse@gmail.com</t>
  </si>
  <si>
    <t>Tuff Stuff Recycled Round Ring Binders</t>
  </si>
  <si>
    <t>Hon 5100 Series Wood Tables</t>
  </si>
  <si>
    <t>KenLonsdale@gmail.com</t>
  </si>
  <si>
    <t>OIC Binder Clips, Mini, 1/4" Capacity, Black</t>
  </si>
  <si>
    <t>ClayCheatham@gmail.com</t>
  </si>
  <si>
    <t>Anker 36W 4-Port USB Wall Charger Travel Power Adapter for iPhone 5s 5c 5</t>
  </si>
  <si>
    <t>JuliaDunbar@gmail.com</t>
  </si>
  <si>
    <t>Gould Plastics 9-Pocket Panel Bin, 18-3/8w x 5-1/4d x 20-1/2h, Black</t>
  </si>
  <si>
    <t>ArthurGainer@gmail.com</t>
  </si>
  <si>
    <t>Wilson Jones Custom Binder Spines &amp; Labels</t>
  </si>
  <si>
    <t>NETGEAR AC1750 Dual Band GigabitÂ Smart WiFi Router</t>
  </si>
  <si>
    <t>Newell 324</t>
  </si>
  <si>
    <t>Microsoft Natural Keyboard Elite</t>
  </si>
  <si>
    <t>AlejandroSavely@gmail.com</t>
  </si>
  <si>
    <t>Southworth Structures Collection</t>
  </si>
  <si>
    <t>Square Ring Data Binders, Rigid 75 Pt. Covers, 11" x 14-7/8"</t>
  </si>
  <si>
    <t>JackGarza@gmail.com</t>
  </si>
  <si>
    <t>Nortel Meridian M3904 Professional Digital phone</t>
  </si>
  <si>
    <t>Canon PC1080F Personal Copier</t>
  </si>
  <si>
    <t>VictorPreis@gmail.com</t>
  </si>
  <si>
    <t>Tuf-Vin Binders</t>
  </si>
  <si>
    <t>KeithHerrera@gmail.com</t>
  </si>
  <si>
    <t>Sony 64GB Class 10 Micro SDHC R40 Memory Card</t>
  </si>
  <si>
    <t>Sharp AL-1530CS Digital Copier</t>
  </si>
  <si>
    <t>Wirebound Message Book, 4 per Page</t>
  </si>
  <si>
    <t>Bevis Round Conference Table Top, X-Base</t>
  </si>
  <si>
    <t>Wirebound Service Call Books, 5 1/2" x 4"</t>
  </si>
  <si>
    <t>Self-Adhesive Removable Labels</t>
  </si>
  <si>
    <t>Xerox 1908</t>
  </si>
  <si>
    <t>Bookcases</t>
  </si>
  <si>
    <t>O'Sullivan 4-Shelf Bookcase in Odessa Pine</t>
  </si>
  <si>
    <t>Novimex High-Tech Fabric Mesh Task Chair</t>
  </si>
  <si>
    <t>KimberlyCarter@gmail.com</t>
  </si>
  <si>
    <t>Xerox 191</t>
  </si>
  <si>
    <t>CarolineJumper@gmail.com</t>
  </si>
  <si>
    <t>Bulldog Vacuum Base Pencil Sharpener</t>
  </si>
  <si>
    <t>PhilipBrown@gmail.com</t>
  </si>
  <si>
    <t>Bevis Steel Folding Chairs</t>
  </si>
  <si>
    <t>SungPak@gmail.com</t>
  </si>
  <si>
    <t>American Pencil</t>
  </si>
  <si>
    <t>White Envelopes, White Envelopes with Clear Poly Window</t>
  </si>
  <si>
    <t>JoelEaton@gmail.com</t>
  </si>
  <si>
    <t>KeyTronicÂ 6101 Series -Â KeyboardÂ - Black</t>
  </si>
  <si>
    <t>SanjitChand@gmail.com</t>
  </si>
  <si>
    <t>Global Geo Office Task Chair, Gray</t>
  </si>
  <si>
    <t>JosephHolt@gmail.com</t>
  </si>
  <si>
    <t>3M Office Air Cleaner</t>
  </si>
  <si>
    <t>Logitech G700s Rechargeable Gaming Mouse</t>
  </si>
  <si>
    <t>Acco D-Ring Binder w/DublLock</t>
  </si>
  <si>
    <t>TanjaNorvell@gmail.com</t>
  </si>
  <si>
    <t>Eldon Wave Desk Accessories</t>
  </si>
  <si>
    <t>Bush Advantage Collection Racetrack Conference Table</t>
  </si>
  <si>
    <t>Poly Designer Cover &amp; Back</t>
  </si>
  <si>
    <t>Premier Electric Letter Opener</t>
  </si>
  <si>
    <t>Fellowes Premier Superior Surge Suppressor, 10-Outlet, With Phone and Remote</t>
  </si>
  <si>
    <t>JeremyPistek@gmail.com</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</si>
  <si>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</si>
  <si>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</si>
  <si>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</si>
  <si>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</si>
  <si>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</si>
  <si>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</si>
  <si>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</si>
  <si>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XylonaPreis@gmail.com</t>
  </si>
  <si>
    <t>ImationÂ USB 2.0 SwivelÂ Flash DriveÂ USBÂ flash driveÂ - 4 GB - Pink</t>
  </si>
  <si>
    <t>MichelleTran@gmail.com</t>
  </si>
  <si>
    <t>Alphabetical Labels for Top Tab Filing</t>
  </si>
  <si>
    <t>O'Sullivan Living Dimensions 2-Shelf Bookcases</t>
  </si>
  <si>
    <t>iHome FM Clock Radio with Lightning Dock</t>
  </si>
  <si>
    <t>SoniaSunley@gmail.com</t>
  </si>
  <si>
    <t>Sony Micro Vault Click 8 GB USB 2.0 Flash Drive</t>
  </si>
  <si>
    <t>Clear Mylar Reinforcing Strips</t>
  </si>
  <si>
    <t>Howard Miller 14-1/2" Diameter Chrome Round Wall Clock</t>
  </si>
  <si>
    <t>DMI Arturo Collection Mission-style Design Wood Chair</t>
  </si>
  <si>
    <t>Deflect-O Glasstique Clear Desk Accessories</t>
  </si>
  <si>
    <t>MaribethYedwab@gmail.com</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</si>
  <si>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</si>
  <si>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</si>
  <si>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</si>
  <si>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</si>
  <si>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</si>
  <si>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BradleyNguyen@gmail.com</t>
  </si>
  <si>
    <t>Newell 327</t>
  </si>
  <si>
    <t>Newell 317</t>
  </si>
  <si>
    <t>AlanDominguez@gmail.com</t>
  </si>
  <si>
    <t>Canon Image Class D660 Copier</t>
  </si>
  <si>
    <t>Advantus Rolling Storage Box</t>
  </si>
  <si>
    <t>Great White Multi-Use Recycled Paper (20Lb. and 84 Bright)</t>
  </si>
  <si>
    <t>Tennsco Single-Tier Lockers</t>
  </si>
  <si>
    <t>Motorola HK250 Universal Bluetooth Headset</t>
  </si>
  <si>
    <t>ImationÂ 16GB Mini TravelDrive USB 2.0Â Flash Drive</t>
  </si>
  <si>
    <t>KarenBern@gmail.com</t>
  </si>
  <si>
    <t>Safco Contoured Stacking Chairs</t>
  </si>
  <si>
    <t>JasperCacioppo@gmail.com</t>
  </si>
  <si>
    <t>Tenex Chairmats For Use With Carpeted Floors</t>
  </si>
  <si>
    <t>AllenArmold@gmail.com</t>
  </si>
  <si>
    <t>Sterilite Officeware Hinged File Box</t>
  </si>
  <si>
    <t>ErinSmith@gmail.com</t>
  </si>
  <si>
    <t>LG Electronics Tone+ HBS-730 Bluetooth Headset</t>
  </si>
  <si>
    <t>BillDonatelli@gmail.com</t>
  </si>
  <si>
    <t>HON 5400 Series Task Chairs for Big and Tall</t>
  </si>
  <si>
    <t>DeanKatz@gmail.com</t>
  </si>
  <si>
    <t>Tennsco 16-Compartment Lockers with Coat Rack</t>
  </si>
  <si>
    <t>OlveraToch@gmail.com</t>
  </si>
  <si>
    <t>Avery 473</t>
  </si>
  <si>
    <t>Bretford Â“Just In TimeÂ” Height-Adjustable Multi-Task Work Tables</t>
  </si>
  <si>
    <t>Xerox 226</t>
  </si>
  <si>
    <t>LizPelletier@gmail.com</t>
  </si>
  <si>
    <t>Coloredge Poster Frame</t>
  </si>
  <si>
    <t>GBC Prepunched Paper, 19-Hole, for Binding Systems, 24-lb</t>
  </si>
  <si>
    <t>JeremyFarry@gmail.com</t>
  </si>
  <si>
    <t>Alliance Big Bands Rubber Bands, 12/Pack</t>
  </si>
  <si>
    <t>FrankPreis@gmail.com</t>
  </si>
  <si>
    <t>Cisco SPA301</t>
  </si>
  <si>
    <t>EllisBallard@gmail.com</t>
  </si>
  <si>
    <t>Personal Creations Ink Jet Cards and Labels</t>
  </si>
  <si>
    <t>GBC White Gloss Covers, Plain Front</t>
  </si>
  <si>
    <t>Xerox 222</t>
  </si>
  <si>
    <t>Hon Every-Day Series Multi-Task Chairs</t>
  </si>
  <si>
    <t>SarahFoster@gmail.com</t>
  </si>
  <si>
    <t>Newell 332</t>
  </si>
  <si>
    <t>TrudyGlocke@gmail.com</t>
  </si>
  <si>
    <t>Rediform S.O.S. Phone Message Books</t>
  </si>
  <si>
    <t>Acme Value Line Scissors</t>
  </si>
  <si>
    <t>CharlesCrestani@gmail.com</t>
  </si>
  <si>
    <t>Martin-Yale Premier Letter Opener</t>
  </si>
  <si>
    <t>DiannaVittorini@gmail.com</t>
  </si>
  <si>
    <t>GE 30524EE4</t>
  </si>
  <si>
    <t>AT&amp;T SB67148 SynJ</t>
  </si>
  <si>
    <t>Fellowes Basic Home/Office Series Surge Protectors</t>
  </si>
  <si>
    <t>Recycled Pressboard Report Cover with Reinforced Top Hinge</t>
  </si>
  <si>
    <t>ZuschussCarroll@gmail.com</t>
  </si>
  <si>
    <t>i.Sound Portable Power - 8000 mAh</t>
  </si>
  <si>
    <t>Xerox 225</t>
  </si>
  <si>
    <t>Xerox 1894</t>
  </si>
  <si>
    <t>LenaRadford@gmail.com</t>
  </si>
  <si>
    <t>Fellowes Superior 10 Outlet Split Surge Protector</t>
  </si>
  <si>
    <t>AT&amp;T 1070 Corded Phone</t>
  </si>
  <si>
    <t>Dana Halogen Swing-Arm Architect Lamp</t>
  </si>
  <si>
    <t>AnnieThurman@gmail.com</t>
  </si>
  <si>
    <t>Belkin Premiere Surge Master II 8-outlet surge protector</t>
  </si>
  <si>
    <t>LoganCurrie@gmail.com</t>
  </si>
  <si>
    <t>Acco Pressboard Covers with Storage Hooks, 9 1/2" x 11", Executive Red</t>
  </si>
  <si>
    <t>FredMcMath@gmail.com</t>
  </si>
  <si>
    <t>Tennsco Regal Shelving Units</t>
  </si>
  <si>
    <t>ImationÂ 32GB Pocket Pro USB 3.0Â Flash DriveÂ - 32 GB - Black - 1 P ...</t>
  </si>
  <si>
    <t>Jabra SPEAK 410</t>
  </si>
  <si>
    <t>MaxEngle@gmail.com</t>
  </si>
  <si>
    <t>Premium Transparent Presentation Covers by GBC</t>
  </si>
  <si>
    <t>Tripp Lite TLP810NET Broadband Surge for Modem/Fax</t>
  </si>
  <si>
    <t>RickBensley@gmail.com</t>
  </si>
  <si>
    <t>Luxo Professional Fluorescent Magnifier Lamp with Clamp-Mount Base</t>
  </si>
  <si>
    <t>Wilson Jones Turn Tabs Binder Tool for Ring Binders</t>
  </si>
  <si>
    <t>JohnLee@gmail.com</t>
  </si>
  <si>
    <t>Economy Rollaway Files</t>
  </si>
  <si>
    <t>Avery 480</t>
  </si>
  <si>
    <t>Belkin F9H710-06 7 Outlet SurgeMaster Surge Protector</t>
  </si>
  <si>
    <t>AnthonyRawles@gmail.com</t>
  </si>
  <si>
    <t>3M Hangers With Command Adhesive</t>
  </si>
  <si>
    <t>AT&amp;T TR1909W</t>
  </si>
  <si>
    <t>First Data FD10 PIN Pad</t>
  </si>
  <si>
    <t>AlanBarnes@gmail.com</t>
  </si>
  <si>
    <t>Imation Bio 8GB USBÂ Flash Drive ImationÂ Corp</t>
  </si>
  <si>
    <t>Xerox 1977</t>
  </si>
  <si>
    <t>Tenex "The Solids" Textured Chair Mats</t>
  </si>
  <si>
    <t>JayKimmel@gmail.com</t>
  </si>
  <si>
    <t>Laminate Occasional Tables</t>
  </si>
  <si>
    <t>Dorrisliebe@gmail.com</t>
  </si>
  <si>
    <t>Cardinal Holdit Business Card Pockets</t>
  </si>
  <si>
    <t>ChristineKargatis@gmail.com</t>
  </si>
  <si>
    <t>Aluminum Document Frame</t>
  </si>
  <si>
    <t>RossDeVincentis@gmail.com</t>
  </si>
  <si>
    <t>Tops Green Bar Computer Printout Paper</t>
  </si>
  <si>
    <t>DarrinSayre@gmail.com</t>
  </si>
  <si>
    <t>Carina Double Wide Media Storage Towers in Natural &amp; Black</t>
  </si>
  <si>
    <t>LogitechÂ Illuminated - Keyboard</t>
  </si>
  <si>
    <t>Wilson Jones Century Plastic Molded Ring Binders</t>
  </si>
  <si>
    <t>Wilson Jones Leather-Like Binders with DublLock Round Rings</t>
  </si>
  <si>
    <t>O'Sullivan Cherrywood Estates Traditional Bookcase</t>
  </si>
  <si>
    <t>Acco Translucent Poly Ring Binders</t>
  </si>
  <si>
    <t>GaryZandusky@gmail.com</t>
  </si>
  <si>
    <t>Logitech Wireless Touch Keyboard K400</t>
  </si>
  <si>
    <t>MayaHerman@gmail.com</t>
  </si>
  <si>
    <t>KI Conference Tables</t>
  </si>
  <si>
    <t>Fellowes Officeware Wire Shelving</t>
  </si>
  <si>
    <t>YosephCarroll@gmail.com</t>
  </si>
  <si>
    <t>Hewlett Packard 610 Color Digital Copier / Printer</t>
  </si>
  <si>
    <t>MelanieSeite@gmail.com</t>
  </si>
  <si>
    <t>12-1/2 Diameter Round Wall Clock</t>
  </si>
  <si>
    <t>AndrewRoberts@gmail.com</t>
  </si>
  <si>
    <t>NickZandusky@gmail.com</t>
  </si>
  <si>
    <t>Hon GuestStacker Chair</t>
  </si>
  <si>
    <t>Xerox 1974</t>
  </si>
  <si>
    <t>Xerox 1927</t>
  </si>
  <si>
    <t>ClayLudtke@gmail.com</t>
  </si>
  <si>
    <t>Heavy-Duty E-Z-D Binders</t>
  </si>
  <si>
    <t>LizThompson@gmail.com</t>
  </si>
  <si>
    <t>Lifetime Advantage Folding Chairs, 4/Carton</t>
  </si>
  <si>
    <t>EricaSmith@gmail.com</t>
  </si>
  <si>
    <t>Avery 499</t>
  </si>
  <si>
    <t>CarlosDaly@gmail.com</t>
  </si>
  <si>
    <t>Situations Contoured Folding Chairs, 4/Set</t>
  </si>
  <si>
    <t>HelenWasserman@gmail.com</t>
  </si>
  <si>
    <t>Executive Impressions 14" Contract Wall Clock</t>
  </si>
  <si>
    <t>Logitech Mobile Speakerphone P710e -Â speaker phone</t>
  </si>
  <si>
    <t>GaryMcGarr@gmail.com</t>
  </si>
  <si>
    <t>Eldon Stackable Tray, Side-Load, Legal, Smoke</t>
  </si>
  <si>
    <t>RussellApplegate@gmail.com</t>
  </si>
  <si>
    <t>Model L Table or Wall-Mount Pencil Sharpener</t>
  </si>
  <si>
    <t>ClearOne CHATAttach 160 -Â speaker phone</t>
  </si>
  <si>
    <t>Newell 32</t>
  </si>
  <si>
    <t>Belkin F9G930V10-GRY 9 Outlet Surge</t>
  </si>
  <si>
    <t>Sony 16GB Class 10 Micro SDHC R40 Memory Card</t>
  </si>
  <si>
    <t>PaulineJohnson@gmail.com</t>
  </si>
  <si>
    <t>Razer Tiamat Over Ear 7.1 Surround Sound PC Gaming Headset</t>
  </si>
  <si>
    <t>PatrickGardner@gmail.com</t>
  </si>
  <si>
    <t>Kingston Digital DataTraveler 32GB USB 2.0</t>
  </si>
  <si>
    <t>Sony Micro Vault Click 16 GB USB 2.0 Flash Drive</t>
  </si>
  <si>
    <t>EudokiaMartin@gmail.com</t>
  </si>
  <si>
    <t>Fellowes Binding Cases</t>
  </si>
  <si>
    <t>Ibico Plastic and Wire Spiral Binding Combs</t>
  </si>
  <si>
    <t>Acme Preferred Stainless Steel Scissors</t>
  </si>
  <si>
    <t>Avery 486</t>
  </si>
  <si>
    <t>DavePoirier@gmail.com</t>
  </si>
  <si>
    <t>DIXON Oriole Pencils</t>
  </si>
  <si>
    <t>Xerox 202</t>
  </si>
  <si>
    <t>ChuckMagee@gmail.com</t>
  </si>
  <si>
    <t>Deluxe Chalkboard Eraser Cleaner</t>
  </si>
  <si>
    <t>Binney &amp; Smith Crayola Metallic Crayons, 16-Color Pack</t>
  </si>
  <si>
    <t>JillStevenson@gmail.com</t>
  </si>
  <si>
    <t>Fellowes Black Plastic Comb Bindings</t>
  </si>
  <si>
    <t>Eldon Shelf Savers Cubes and Bins</t>
  </si>
  <si>
    <t>CymaKinney@gmail.com</t>
  </si>
  <si>
    <t>Xerox 1987</t>
  </si>
  <si>
    <t>PamelaCoakley@gmail.com</t>
  </si>
  <si>
    <t>File Shuttle I and Handi-File</t>
  </si>
  <si>
    <t>Binding Machine Supplies</t>
  </si>
  <si>
    <t>Xerox 1923</t>
  </si>
  <si>
    <t>Fellowes Neat Ideas Storage Cubes</t>
  </si>
  <si>
    <t>Xerox 1931</t>
  </si>
  <si>
    <t>RachelPayne@gmail.com</t>
  </si>
  <si>
    <t>Xerox 213</t>
  </si>
  <si>
    <t>Fellowes 8 Outlet Superior Workstation Surge Protector w/o Phone/Fax/Modem Protection</t>
  </si>
  <si>
    <t>KarenCarlisle@gmail.com</t>
  </si>
  <si>
    <t>Message Book, Standard Line "While You Were Out", 5 1/2" X 4", 200 Sets/Book</t>
  </si>
  <si>
    <t>RobWilliams@gmail.com</t>
  </si>
  <si>
    <t>Acco Pressboard Covers with Storage Hooks, 14 7/8" x 11", Dark Blue</t>
  </si>
  <si>
    <t>JohnLucas@gmail.com</t>
  </si>
  <si>
    <t>Standard Rollaway File with Lock</t>
  </si>
  <si>
    <t>Avery Trapezoid Extra Heavy Duty 4" Binders</t>
  </si>
  <si>
    <t>CynthiaArntzen@gmail.com</t>
  </si>
  <si>
    <t>Bevis Boat-Shaped Conference Table</t>
  </si>
  <si>
    <t>JosephAirdo@gmail.com</t>
  </si>
  <si>
    <t>Logitech B530 USBÂ HeadsetÂ -Â headsetÂ - Full size, Binaural</t>
  </si>
  <si>
    <t>Avery Durable Slant Ring Binders</t>
  </si>
  <si>
    <t>Universal Ultra Bright White Copier/Laser Paper, 8 1/2" x 11", Ream</t>
  </si>
  <si>
    <t>DanielLacy@gmail.com</t>
  </si>
  <si>
    <t>Luxo Professional Combination Clamp-On Lamps</t>
  </si>
  <si>
    <t>LindsayWilliams@gmail.com</t>
  </si>
  <si>
    <t>CynthiaVoltz@gmail.com</t>
  </si>
  <si>
    <t>White Business Envelopes with Contemporary Seam, Recycled White Business Envelopes</t>
  </si>
  <si>
    <t>TamaraDahlen@gmail.com</t>
  </si>
  <si>
    <t>Wilson Jones Easy Flow II Sheet Lifters</t>
  </si>
  <si>
    <t>TracyZic@gmail.com</t>
  </si>
  <si>
    <t>BIC Brite Liner Grip Highlighters, Assorted, 5/Pack</t>
  </si>
  <si>
    <t>Samsung Galaxy S III - 16GB - pebble blue (T-Mobile)</t>
  </si>
  <si>
    <t>Global Airflow Leather Mesh Back Chair, Black</t>
  </si>
  <si>
    <t>RolandFjeld@gmail.com</t>
  </si>
  <si>
    <t>Advantus SlideClip Paper Clips</t>
  </si>
  <si>
    <t>Xerox 1979</t>
  </si>
  <si>
    <t>Boston 16801 Nautilus Battery Pencil Sharpener</t>
  </si>
  <si>
    <t>RyanAkin@gmail.com</t>
  </si>
  <si>
    <t>Fellowes Super Stor/Drawer Files</t>
  </si>
  <si>
    <t>MegTillman@gmail.com</t>
  </si>
  <si>
    <t>Redi-Strip #10 Envelopes, 4 1/8 x 9 1/2</t>
  </si>
  <si>
    <t>UniKeep View Case Binders</t>
  </si>
  <si>
    <t>VivekGonzalez@gmail.com</t>
  </si>
  <si>
    <t>Eldon Delta Triangular Chair Mat, 52" x 58", Clear</t>
  </si>
  <si>
    <t>PhilipFox@gmail.com</t>
  </si>
  <si>
    <t>Howard Miller 13-3/4" Diameter Brushed Chrome Round Wall Clock</t>
  </si>
  <si>
    <t>Project Tote Personal File</t>
  </si>
  <si>
    <t>JohnStevenson@gmail.com</t>
  </si>
  <si>
    <t>Bevis 36 x 72 Conference Tables</t>
  </si>
  <si>
    <t>Enermax Acrylux Wireless Keyboard</t>
  </si>
  <si>
    <t>MegO'Connel@gmail.com</t>
  </si>
  <si>
    <t>HallieRedmond@gmail.com</t>
  </si>
  <si>
    <t>GBC Plastic Binding Combs</t>
  </si>
  <si>
    <t>JenniferJackson@gmail.com</t>
  </si>
  <si>
    <t>Aluminum Screw Posts</t>
  </si>
  <si>
    <t>Plantronics HL10 Handset Lifter</t>
  </si>
  <si>
    <t>Logitech Wireless Performance Mouse MX for PC and Mac</t>
  </si>
  <si>
    <t>Avery Hole Reinforcements</t>
  </si>
  <si>
    <t>Wilson Jones Ledger-Size, Piano-Hinge Binder, 2", Blue</t>
  </si>
  <si>
    <t>BrianDeCherney@gmail.com</t>
  </si>
  <si>
    <t>Global Value Mid-Back Manager's Chair, Gray</t>
  </si>
  <si>
    <t>SkyeNorling@gmail.com</t>
  </si>
  <si>
    <t>Newell 333</t>
  </si>
  <si>
    <t>EricaHernandez@gmail.com</t>
  </si>
  <si>
    <t>Xerox 1881</t>
  </si>
  <si>
    <t>MauriceSatty@gmail.com</t>
  </si>
  <si>
    <t>Avery Durable Slant Ring Binders With Label Holder</t>
  </si>
  <si>
    <t>Round Ring Binders</t>
  </si>
  <si>
    <t>Micropad Numeric Keypads</t>
  </si>
  <si>
    <t>DonWeiss@gmail.com</t>
  </si>
  <si>
    <t>Belkin 8 Outlet SurgeMaster II Gold Surge Protector</t>
  </si>
  <si>
    <t>Avery Printable Repositionable Plastic Tabs</t>
  </si>
  <si>
    <t>CraigYedwab@gmail.com</t>
  </si>
  <si>
    <t>Nokia Lumia 521 (T-Mobile)</t>
  </si>
  <si>
    <t>Avery 488</t>
  </si>
  <si>
    <t>NaresjPatel@gmail.com</t>
  </si>
  <si>
    <t>Stanley Contemporary Battery Pencil Sharpeners</t>
  </si>
  <si>
    <t>AT&amp;T 1080 Corded phone</t>
  </si>
  <si>
    <t>NoelStaavos@gmail.com</t>
  </si>
  <si>
    <t>Hon 4060 Series Tables</t>
  </si>
  <si>
    <t>PaulVanHugh@gmail.com</t>
  </si>
  <si>
    <t>Newell 326</t>
  </si>
  <si>
    <t>GE General Purpose, Extra Long Life, Showcase &amp; Floodlight Incandescent Bulbs</t>
  </si>
  <si>
    <t>Logitech ClearChat Comfort/USB Headset H390</t>
  </si>
  <si>
    <t>Newell 346</t>
  </si>
  <si>
    <t>NeomaMurray@gmail.com</t>
  </si>
  <si>
    <t>Rediform Wirebound "Phone Memo" Message Book, 11 x 5-3/4</t>
  </si>
  <si>
    <t>Bush Saratoga Collection 5-Shelf Bookcase, Hanover Cherry, *Special Order</t>
  </si>
  <si>
    <t>DionisLloyd@gmail.com</t>
  </si>
  <si>
    <t>GregGuthrie@gmail.com</t>
  </si>
  <si>
    <t>ArthurPrichep@gmail.com</t>
  </si>
  <si>
    <t>Stockwell Push Pins</t>
  </si>
  <si>
    <t>Xerox 223</t>
  </si>
  <si>
    <t>Machines</t>
  </si>
  <si>
    <t>Star Micronics TSP800 TSP847IIU Receipt Printer</t>
  </si>
  <si>
    <t>Fellowes Mobile File Cart, Black</t>
  </si>
  <si>
    <t>Crayola Anti Dust Chalk, 12/Pack</t>
  </si>
  <si>
    <t>Lock-Up Easel 'Spel-Binder'</t>
  </si>
  <si>
    <t>GeorgeBell@gmail.com</t>
  </si>
  <si>
    <t>Hon Deluxe Fabric Upholstered Stacking Chairs</t>
  </si>
  <si>
    <t>LarryTron@gmail.com</t>
  </si>
  <si>
    <t>BOSTON Model 1800 Electric Pencil Sharpeners, Putty/Woodgrain</t>
  </si>
  <si>
    <t>ACCOHIDE Binder by Acco</t>
  </si>
  <si>
    <t>AlyssaTate@gmail.com</t>
  </si>
  <si>
    <t>HaroldRyan@gmail.com</t>
  </si>
  <si>
    <t>Peel &amp; Stick Add-On Corner Pockets</t>
  </si>
  <si>
    <t>Carina 42"Hx23 3/4"W Media Storage Unit</t>
  </si>
  <si>
    <t>Xerox 220</t>
  </si>
  <si>
    <t>Recycled Data-Pak for Archival Bound Computer Printouts, 12-1/2 x 12-1/2 x 16</t>
  </si>
  <si>
    <t>BradleyTalbott@gmail.com</t>
  </si>
  <si>
    <t>Kensington 6 Outlet Guardian Standard Surge Protector</t>
  </si>
  <si>
    <t>Toshiba IPT2010-SD IPÂ Telephone</t>
  </si>
  <si>
    <t>GuestStacker Chair with Chrome Finish Legs</t>
  </si>
  <si>
    <t>Xerox 1924</t>
  </si>
  <si>
    <t>LindaSouthworth@gmail.com</t>
  </si>
  <si>
    <t>Hon 4700 Series Mobuis Mid-Back Task Chairs with Adjustable Arms</t>
  </si>
  <si>
    <t>Sauder Facets Collection Locker/File Cabinet, Sky Alder Finish</t>
  </si>
  <si>
    <t>Fellowes Strictly Business Drawer File, Letter/Legal Size</t>
  </si>
  <si>
    <t>BenFerrer@gmail.com</t>
  </si>
  <si>
    <t>GE DSL Phone Line Filter</t>
  </si>
  <si>
    <t>#10- 4 1/8" x 9 1/2" Security-Tint Envelopes</t>
  </si>
  <si>
    <t>Dax Clear Box Frame</t>
  </si>
  <si>
    <t>SANFORD Liquid Accent Tank-Style Highlighters</t>
  </si>
  <si>
    <t>GregMatthias@gmail.com</t>
  </si>
  <si>
    <t>Eldon Image Series Desk Accessories, Ebony</t>
  </si>
  <si>
    <t>Sanford 52201 APSCO Electric Pencil Sharpener</t>
  </si>
  <si>
    <t>NoraPreis@gmail.com</t>
  </si>
  <si>
    <t>Hon Non-Folding Utility Tables</t>
  </si>
  <si>
    <t>Bretford Rectangular Conference Table Tops</t>
  </si>
  <si>
    <t>Bestar Classic Bookcase</t>
  </si>
  <si>
    <t>PhillipFlathmann@gmail.com</t>
  </si>
  <si>
    <t>Pencil and Crayon Sharpener</t>
  </si>
  <si>
    <t>JulieCreighton@gmail.com</t>
  </si>
  <si>
    <t>Letter Size Cart</t>
  </si>
  <si>
    <t>BrookeGillingham@gmail.com</t>
  </si>
  <si>
    <t>ChuckClark@gmail.com</t>
  </si>
  <si>
    <t>ACCOHIDE 3-Ring Binder, Blue, 1"</t>
  </si>
  <si>
    <t>Xerox 1996</t>
  </si>
  <si>
    <t>Xerox 1973</t>
  </si>
  <si>
    <t>Avery 511</t>
  </si>
  <si>
    <t>JustinHirsh@gmail.com</t>
  </si>
  <si>
    <t>Kensington 4 Outlet MasterPiece Compact Power Control Center</t>
  </si>
  <si>
    <t>EricaBern@gmail.com</t>
  </si>
  <si>
    <t>Cardinal Slant-D Ring Binder, Heavy Gauge Vinyl</t>
  </si>
  <si>
    <t>GBC Binding covers</t>
  </si>
  <si>
    <t>AlexAvila@gmail.com</t>
  </si>
  <si>
    <t>RoyCollins@gmail.com</t>
  </si>
  <si>
    <t>Xerox 1898</t>
  </si>
  <si>
    <t>Belkin 6 Outlet Metallic Surge Strip</t>
  </si>
  <si>
    <t>Fellowes Bankers Box Recycled Super Stor/Drawer</t>
  </si>
  <si>
    <t>Hon Valutask Swivel Chairs</t>
  </si>
  <si>
    <t>HenryGoldwyn@gmail.com</t>
  </si>
  <si>
    <t>Eureka Recycled Copy Paper 8 1/2" x 11", Ream</t>
  </si>
  <si>
    <t>Seth Thomas 12" Clock w/ Goldtone Case</t>
  </si>
  <si>
    <t>FrankGastineau@gmail.com</t>
  </si>
  <si>
    <t>Panasonic KP-310 Heavy-Duty Electric Pencil Sharpener</t>
  </si>
  <si>
    <t>LisaDeCherney@gmail.com</t>
  </si>
  <si>
    <t>HaroldPawlan@gmail.com</t>
  </si>
  <si>
    <t>Wilson Jones Legal Size Ring Binders</t>
  </si>
  <si>
    <t>JamieFrazer@gmail.com</t>
  </si>
  <si>
    <t>Westinghouse Clip-On Gooseneck Lamps</t>
  </si>
  <si>
    <t>Motorola L804</t>
  </si>
  <si>
    <t>Things To Do Today Pad</t>
  </si>
  <si>
    <t>KeanTakahito@gmail.com</t>
  </si>
  <si>
    <t>Leather Task Chair, Black</t>
  </si>
  <si>
    <t>AnnBlume@gmail.com</t>
  </si>
  <si>
    <t>Cardinal EasyOpen D-Ring Binders</t>
  </si>
  <si>
    <t>DYMO CardScan Personal V9 Business Card Scanner</t>
  </si>
  <si>
    <t>Case Logic 2.4GHz Wireless Keyboard</t>
  </si>
  <si>
    <t>Hon 2090 Â“Pillow SoftÂ” Series Mid Back Swivel/Tilt Chairs</t>
  </si>
  <si>
    <t>SamZeldin@gmail.com</t>
  </si>
  <si>
    <t>Deflect-o SuperTray Unbreakable Stackable Tray, Letter, Black</t>
  </si>
  <si>
    <t>JimRadford@gmail.com</t>
  </si>
  <si>
    <t>Atlantic Metals Mobile 4-Shelf Bookcases, Custom Colors</t>
  </si>
  <si>
    <t>Dixon My First Ticonderoga Pencil, #2</t>
  </si>
  <si>
    <t>Avery 490</t>
  </si>
  <si>
    <t>Pressboard Data Binder, Crimson, 12" X 8 1/2"</t>
  </si>
  <si>
    <t>ChristinaAnderson@gmail.com</t>
  </si>
  <si>
    <t>Lesro Round Back Collection Coffee Table, End Table</t>
  </si>
  <si>
    <t>ValerieDominguez@gmail.com</t>
  </si>
  <si>
    <t>Hoover WindTunnel Plus Canister Vacuum</t>
  </si>
  <si>
    <t>Xerox 1934</t>
  </si>
  <si>
    <t>Newell 329</t>
  </si>
  <si>
    <t>Panasonic KX T7731-B Digital phone</t>
  </si>
  <si>
    <t>Safco Wire Cube Shelving System, For Use as 4 or 5 14" Cubes, Black</t>
  </si>
  <si>
    <t>Ibico Standard Transparent Covers</t>
  </si>
  <si>
    <t>AdrianBarton@gmail.com</t>
  </si>
  <si>
    <t>BethThompson@gmail.com</t>
  </si>
  <si>
    <t>Logitech G13 Programmable Gameboard with LCD Display</t>
  </si>
  <si>
    <t>DAX Executive Solid Wood Document Frame, Desktop or Hang, Mahogany, 5 x 7</t>
  </si>
  <si>
    <t>RickWilson@gmail.com</t>
  </si>
  <si>
    <t>Petty Cash Envelope</t>
  </si>
  <si>
    <t>GBC VeloBinder Electric Binding Machine</t>
  </si>
  <si>
    <t>3M Replacement Filter for Office Air Cleaner for 20' x 33' Room</t>
  </si>
  <si>
    <t>2300 Heavy-Duty Transfer File Systems by Perma</t>
  </si>
  <si>
    <t>Samsung Rugby III</t>
  </si>
  <si>
    <t>DamalaKotsonis@gmail.com</t>
  </si>
  <si>
    <t>Prestige Round Ring Binders</t>
  </si>
  <si>
    <t>Acco Four Pocket Poly Ring Binder with Label Holder, Smoke, 1"</t>
  </si>
  <si>
    <t>Avery 4027 File Folder Labels for Dot Matrix Printers, 5000 Labels per Box, White</t>
  </si>
  <si>
    <t>Strathmore Photo Mount Cards</t>
  </si>
  <si>
    <t>MichaelMoore@gmail.com</t>
  </si>
  <si>
    <t>Deluxe Heavy-Duty Vinyl Round Ring Binder</t>
  </si>
  <si>
    <t>ShaunChance@gmail.com</t>
  </si>
  <si>
    <t>JenniferBraxton@gmail.com</t>
  </si>
  <si>
    <t>OtterBox Defender Series Case - iPhone 5c</t>
  </si>
  <si>
    <t>ThaisSissman@gmail.com</t>
  </si>
  <si>
    <t>Wilson Jones DublLock D-Ring Binders</t>
  </si>
  <si>
    <t>Wilson Jones Heavy-Duty Casebound Ring Binders with Metal Hinges</t>
  </si>
  <si>
    <t>MariaBertelson@gmail.com</t>
  </si>
  <si>
    <t>SanDisk Ultra 64 GB MicroSDHC Class 10 Memory Card</t>
  </si>
  <si>
    <t>KatherineNockton@gmail.com</t>
  </si>
  <si>
    <t>Avery 482</t>
  </si>
  <si>
    <t>Square Credit Card Reader</t>
  </si>
  <si>
    <t>MikeKennedy@gmail.com</t>
  </si>
  <si>
    <t>Xerox 192</t>
  </si>
  <si>
    <t>HP Office Recycled Paper (20Lb. and 87 Bright)</t>
  </si>
  <si>
    <t>X-Rack File for Hanging Folders</t>
  </si>
  <si>
    <t>ChristinePhan@gmail.com</t>
  </si>
  <si>
    <t>WD My Passport Ultra 500GB Portable External Hard Drive</t>
  </si>
  <si>
    <t>CorinnaMitchell@gmail.com</t>
  </si>
  <si>
    <t>Cisco IP Phone 7961G-GE VoIP phone</t>
  </si>
  <si>
    <t>Logitech Trackman Marble Mouse</t>
  </si>
  <si>
    <t>JaneWaco@gmail.com</t>
  </si>
  <si>
    <t>Magna Visual Magnetic Picture Hangers</t>
  </si>
  <si>
    <t>Avery Durable Plastic 1" Binders</t>
  </si>
  <si>
    <t>iKross Bluetooth Portable Keyboard + Cell Phone Stand Holder + Brush for Apple iPhone 5S 5C 5, 4S 4</t>
  </si>
  <si>
    <t>DAX Value U-Channel Document Frames, Easel Back</t>
  </si>
  <si>
    <t>PaulineChand@gmail.com</t>
  </si>
  <si>
    <t>Prang Dustless Chalk Sticks</t>
  </si>
  <si>
    <t>Hon 2111 Invitation Series Corner Table</t>
  </si>
  <si>
    <t>JessicaMyrick@gmail.com</t>
  </si>
  <si>
    <t>Eldon Image Series Desk Accessories, Burgundy</t>
  </si>
  <si>
    <t>NicoleHansen@gmail.com</t>
  </si>
  <si>
    <t>Boston Heavy-Duty Trimline Electric Pencil Sharpeners</t>
  </si>
  <si>
    <t>4009 Highlighters by Sanford</t>
  </si>
  <si>
    <t>MichaelChen@gmail.com</t>
  </si>
  <si>
    <t>TomBoeckenhauer@gmail.com</t>
  </si>
  <si>
    <t>Avery Durable Poly Binders</t>
  </si>
  <si>
    <t>VictoriaWilson@gmail.com</t>
  </si>
  <si>
    <t>GaryHwang@gmail.com</t>
  </si>
  <si>
    <t>Howard Miller 13" Diameter Pewter Finish Round Wall Clock</t>
  </si>
  <si>
    <t>Xerox 1970</t>
  </si>
  <si>
    <t>Xerox 1960</t>
  </si>
  <si>
    <t>Belkin 19" Vented Equipment Shelf, Black</t>
  </si>
  <si>
    <t>Neat Ideas Personal Hanging Folder Files, Black</t>
  </si>
  <si>
    <t>OIC Bulk Pack Metal Binder Clips</t>
  </si>
  <si>
    <t>MikePelletier@gmail.com</t>
  </si>
  <si>
    <t>Bush Andora Bookcase, Maple/Graphite Gray Finish</t>
  </si>
  <si>
    <t>DeborahBrumfield@gmail.com</t>
  </si>
  <si>
    <t>GBC Recycled Grain Textured Covers</t>
  </si>
  <si>
    <t>IvanGibson@gmail.com</t>
  </si>
  <si>
    <t>Newell 310</t>
  </si>
  <si>
    <t>JeremyEllison@gmail.com</t>
  </si>
  <si>
    <t>KI Adjustable-Height Table</t>
  </si>
  <si>
    <t>EdwardBecker@gmail.com</t>
  </si>
  <si>
    <t>Acco Pressboard Covers with Storage Hooks, 14 7/8" x 11", Light Blue</t>
  </si>
  <si>
    <t>PaulKnutson@gmail.com</t>
  </si>
  <si>
    <t>Avery 518</t>
  </si>
  <si>
    <t>ChristopherSchild@gmail.com</t>
  </si>
  <si>
    <t>JesusOcampo@gmail.com</t>
  </si>
  <si>
    <t>Wireless Extenders zBoost YX545 SOHO Signal Booster</t>
  </si>
  <si>
    <t>Novimex Swivel Fabric Task Chair</t>
  </si>
  <si>
    <t>Pastel Pink Envelopes</t>
  </si>
  <si>
    <t>Belkin F8E887 USB Wired Ergonomic Keyboard</t>
  </si>
  <si>
    <t>RickDuston@gmail.com</t>
  </si>
  <si>
    <t>Pyle PRT45 Retro HomeÂ Telephone</t>
  </si>
  <si>
    <t>Spiral Phone Message Books with Labels by Adams</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</si>
  <si>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</si>
  <si>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</si>
  <si>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</si>
  <si>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</si>
  <si>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</si>
  <si>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</si>
  <si>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MarinaLichtenstein@gmail.com</t>
  </si>
  <si>
    <t>Sauder Inglewood Library Bookcases</t>
  </si>
  <si>
    <t>VTech DS6151</t>
  </si>
  <si>
    <t>YanaSorensen@gmail.com</t>
  </si>
  <si>
    <t>JennaCaffey@gmail.com</t>
  </si>
  <si>
    <t>GE 48" Fluorescent Tube, Cool White Energy Saver, 34 Watts, 30/Box</t>
  </si>
  <si>
    <t>Dot Matrix Printer Tape Reel Labels, White, 5000/Box</t>
  </si>
  <si>
    <t>Micro Innovations USB RF Wireless Keyboard with Mouse</t>
  </si>
  <si>
    <t>JamesGalang@gmail.com</t>
  </si>
  <si>
    <t>ShoreTel ShorePhone IP 230 VoIP phone</t>
  </si>
  <si>
    <t>Plantronics Savi W720 Multi-Device Wireless Headset System</t>
  </si>
  <si>
    <t>NatalieWebber@gmail.com</t>
  </si>
  <si>
    <t>Xerox 2</t>
  </si>
  <si>
    <t>Office Impressions Heavy Duty Welded Shelving &amp; Multimedia Storage Drawers</t>
  </si>
  <si>
    <t>Jawbone MINI JAMBOX Wireless Bluetooth Speaker</t>
  </si>
  <si>
    <t>FredHopkins@gmail.com</t>
  </si>
  <si>
    <t>Deluxe Rollaway Locking File with Drawer</t>
  </si>
  <si>
    <t>Canon PC940 Copier</t>
  </si>
  <si>
    <t>Multicolor Computer Printout Paper</t>
  </si>
  <si>
    <t>HilaryHolden@gmail.com</t>
  </si>
  <si>
    <t>Xerox 1940</t>
  </si>
  <si>
    <t>Xerox 1986</t>
  </si>
  <si>
    <t>ChristinaDeMoss@gmail.com</t>
  </si>
  <si>
    <t>Eldon Portable Mobile Manager</t>
  </si>
  <si>
    <t>Binder Clips by OIC</t>
  </si>
  <si>
    <t>Wilson Jones 1" Hanging DublLock Ring Binders</t>
  </si>
  <si>
    <t>Fellowes Bankers Box Stor/Drawer Steel Plus</t>
  </si>
  <si>
    <t>TheaHendricks@gmail.com</t>
  </si>
  <si>
    <t>RCA Visys Integrated PBX 8-Line Router</t>
  </si>
  <si>
    <t>MichelleMoray@gmail.com</t>
  </si>
  <si>
    <t>GBC Velobind Prepunched Cover Sets, Regency Series</t>
  </si>
  <si>
    <t>Cardinal Slant-D Ring Binders</t>
  </si>
  <si>
    <t>RobertBarroso@gmail.com</t>
  </si>
  <si>
    <t>EricBarreto@gmail.com</t>
  </si>
  <si>
    <t>Home/Office Personal File Carts</t>
  </si>
  <si>
    <t>Universal Premium White Copier/Laser Paper (20Lb. and 87 Bright)</t>
  </si>
  <si>
    <t>PamelaStobb@gmail.com</t>
  </si>
  <si>
    <t>Xerox 1887</t>
  </si>
  <si>
    <t>ClaudiaBergmann@gmail.com</t>
  </si>
  <si>
    <t>C-Line Magnetic Cubicle Keepers, Clear Polypropylene</t>
  </si>
  <si>
    <t>Avery 497</t>
  </si>
  <si>
    <t>StevenCartwright@gmail.com</t>
  </si>
  <si>
    <t>CynthiaDelaney@gmail.com</t>
  </si>
  <si>
    <t>GBC Standard Recycled Report Covers, Clear Plastic Sheets</t>
  </si>
  <si>
    <t>JamieKunitz@gmail.com</t>
  </si>
  <si>
    <t>Avery 500</t>
  </si>
  <si>
    <t>Geemarc AmpliPOWER60</t>
  </si>
  <si>
    <t>While you Were Out Message Book, One Form per Page</t>
  </si>
  <si>
    <t>Global Leather Task Chair, Black</t>
  </si>
  <si>
    <t>Acco 7-Outlet Masterpiece Power Center, Wihtout Fax/Phone Line Protection</t>
  </si>
  <si>
    <t>DebraCatini@gmail.com</t>
  </si>
  <si>
    <t>O'Sullivan Manor Hill 2-Door Library in Brianna Oak</t>
  </si>
  <si>
    <t>Kingston Digital DataTraveler 16GB USB 2.0</t>
  </si>
  <si>
    <t>TRENDnet 56K USB 2.0 Phone, Internet and Fax Modem</t>
  </si>
  <si>
    <t>EmilyDucich@gmail.com</t>
  </si>
  <si>
    <t>Avery 494</t>
  </si>
  <si>
    <t>JoniWasserman@gmail.com</t>
  </si>
  <si>
    <t>Xerox 1962</t>
  </si>
  <si>
    <t>Sauder Camden County Barrister Bookcase, Planked Cherry Finish</t>
  </si>
  <si>
    <t>DXL Angle-View Binders with Locking Rings, Black</t>
  </si>
  <si>
    <t>Sauder Camden County Collection Libraries, Planked Cherry Finish</t>
  </si>
  <si>
    <t>DarrenPowers@gmail.com</t>
  </si>
  <si>
    <t>Xerox 1919</t>
  </si>
  <si>
    <t>Prang Colored Pencils</t>
  </si>
  <si>
    <t>RaymondMesse@gmail.com</t>
  </si>
  <si>
    <t>Howard Miller 11-1/2" Diameter Grantwood Wall Clock</t>
  </si>
  <si>
    <t>AdrianShami@gmail.com</t>
  </si>
  <si>
    <t>Samsung Galaxy Note 2</t>
  </si>
  <si>
    <t>SanDisk Cruzer 64 GB USB Flash Drive</t>
  </si>
  <si>
    <t>StefaniaPerrino@gmail.com</t>
  </si>
  <si>
    <t>LaurenLeatherbury@gmail.com</t>
  </si>
  <si>
    <t>Avery 501</t>
  </si>
  <si>
    <t>Binney &amp; Smith Crayola Metallic Colored Pencils, 8-Color Set</t>
  </si>
  <si>
    <t>MattCollins@gmail.com</t>
  </si>
  <si>
    <t>Avery 513</t>
  </si>
  <si>
    <t>SueAnnReed@gmail.com</t>
  </si>
  <si>
    <t>Avery 3 1/2" Diskette Storage Pages, 10/Pack</t>
  </si>
  <si>
    <t>Seth Thomas 14" Day/Date Wall Clock</t>
  </si>
  <si>
    <t>GiuliettaWeimer@gmail.com</t>
  </si>
  <si>
    <t>FrankHawley@gmail.com</t>
  </si>
  <si>
    <t>FiliaMcAdams@gmail.com</t>
  </si>
  <si>
    <t>NoahChilds@gmail.com</t>
  </si>
  <si>
    <t>Executive Impressions 8-1/2" Career Panel/Partition Cubicle Clock</t>
  </si>
  <si>
    <t>AdamHart@gmail.com</t>
  </si>
  <si>
    <t>Howard Miller 12" Round Wall Clock</t>
  </si>
  <si>
    <t>MichelleEllison@gmail.com</t>
  </si>
  <si>
    <t>Newell 334</t>
  </si>
  <si>
    <t>Hon 30" x 60" Table with Locking Drawer</t>
  </si>
  <si>
    <t>BenjaminPatterson@gmail.com</t>
  </si>
  <si>
    <t>Safco Drafting Table</t>
  </si>
  <si>
    <t>Global High-Back Leather Tilter, Burgundy</t>
  </si>
  <si>
    <t>PaulGonzalez@gmail.com</t>
  </si>
  <si>
    <t>Ultra Door Pull Handle</t>
  </si>
  <si>
    <t>Xerox 1972</t>
  </si>
  <si>
    <t>Avery Hi-Liter Fluorescent Desk Style Markers</t>
  </si>
  <si>
    <t>CarolDarley@gmail.com</t>
  </si>
  <si>
    <t>IBM Multi-Purpose Copy Paper, 8 1/2 x 11", Case</t>
  </si>
  <si>
    <t>Ibico Hi-Tech Manual Binding System</t>
  </si>
  <si>
    <t>Xerox 218</t>
  </si>
  <si>
    <t>Global Comet Stacking Armless Chair</t>
  </si>
  <si>
    <t>Memorex Froggy Flash Drive 8 GB</t>
  </si>
  <si>
    <t>Hand-Finished Solid Wood Document Frame</t>
  </si>
  <si>
    <t>StewartCarmichael@gmail.com</t>
  </si>
  <si>
    <t>Avaya 4621SW VoIP phone</t>
  </si>
  <si>
    <t>RickHansen@gmail.com</t>
  </si>
  <si>
    <t>Eaton Premium Continuous-Feed Paper, 25% Cotton, Letter Size, White, 1000 Shts/Box</t>
  </si>
  <si>
    <t>ValerieMitchum@gmail.com</t>
  </si>
  <si>
    <t>Xerox 214</t>
  </si>
  <si>
    <t>Safco Commercial Shelving</t>
  </si>
  <si>
    <t>Mitel MiVoice 5330e IP Phone</t>
  </si>
  <si>
    <t>CraigCarreira@gmail.com</t>
  </si>
  <si>
    <t>Motorola Moto X</t>
  </si>
  <si>
    <t>Tops White Computer Printout Paper</t>
  </si>
  <si>
    <t>Enermax Briskie RF Wireless Keyboard and Mouse Combo</t>
  </si>
  <si>
    <t>NoraPelletier@gmail.com</t>
  </si>
  <si>
    <t>Ultra Door Push Plate</t>
  </si>
  <si>
    <t>JoeElijah@gmail.com</t>
  </si>
  <si>
    <t>GBC Twin Loop Wire Binding Elements</t>
  </si>
  <si>
    <t>Perma STOR-ALL Hanging File Box, 13 1/8"W x 12 1/4"D x 10 1/2"H</t>
  </si>
  <si>
    <t>SAFCO Arco Folding Chair</t>
  </si>
  <si>
    <t>Newell 321</t>
  </si>
  <si>
    <t>Fellowes Personal Hanging Folder Files, Navy</t>
  </si>
  <si>
    <t>LaurelWorkman@gmail.com</t>
  </si>
  <si>
    <t>Wirebound Message Books, Four 2 3/4 x 5 White Forms per Page</t>
  </si>
  <si>
    <t>MaxLudwig@gmail.com</t>
  </si>
  <si>
    <t>Eldon Spacemaker Box, Quick-Snap Lid, Clear</t>
  </si>
  <si>
    <t>Plymouth Boxed Rubber Bands by Plymouth</t>
  </si>
  <si>
    <t>LukeWeiss@gmail.com</t>
  </si>
  <si>
    <t>Dixon Ticonderoga Erasable Colored Pencil Set, 12-Color</t>
  </si>
  <si>
    <t>BerenikeKampe@gmail.com</t>
  </si>
  <si>
    <t>GBC Imprintable Covers</t>
  </si>
  <si>
    <t>Acme Elite Stainless Steel Scissors</t>
  </si>
  <si>
    <t>Wirebound Message Books, 5-1/2 x 4 Forms, 2 or 4 Forms per Page</t>
  </si>
  <si>
    <t>GeneMcClure@gmail.com</t>
  </si>
  <si>
    <t>GBC Recycled Regency Composition Covers</t>
  </si>
  <si>
    <t>MarcCrier@gmail.com</t>
  </si>
  <si>
    <t>Safco Value Mate Series Steel Bookcases, Baked Enamel Finish on Steel, Gray</t>
  </si>
  <si>
    <t>CarlWeiss@gmail.com</t>
  </si>
  <si>
    <t>Xerox 1922</t>
  </si>
  <si>
    <t>Flat Face Poster Frame</t>
  </si>
  <si>
    <t>EdBraxton@gmail.com</t>
  </si>
  <si>
    <t>GBC Personal VeloBind Strips</t>
  </si>
  <si>
    <t>Letter/Legal File Tote with Clear Snap-On Lid, Black Granite</t>
  </si>
  <si>
    <t>Avery Framed View Binder, EZD Ring (Locking), Navy, 1 1/2"</t>
  </si>
  <si>
    <t>Xerox 1952</t>
  </si>
  <si>
    <t>Fellowes Twister Kit, Gray/Clear, 3/pkg</t>
  </si>
  <si>
    <t>Novimex Fabric Task Chair</t>
  </si>
  <si>
    <t>MaxellÂ LTO Ultrium - 800 GB</t>
  </si>
  <si>
    <t>Newell 325</t>
  </si>
  <si>
    <t>Plantronics Audio 478 Stereo USB Headset</t>
  </si>
  <si>
    <t>Hon 94000 Series Round Tables</t>
  </si>
  <si>
    <t>KellyAndreada@gmail.com</t>
  </si>
  <si>
    <t>TamaraChand@gmail.com</t>
  </si>
  <si>
    <t>Newell 3-Hole Punched Plastic Slotted Magazine Holders for Binders</t>
  </si>
  <si>
    <t>Anker Ultra-Slim Mini Bluetooth 3.0 Wireless Keyboard</t>
  </si>
  <si>
    <t>Plantronics CS 50-USB -Â headsetÂ - Convertible, Monaural</t>
  </si>
  <si>
    <t>TobyRitter@gmail.com</t>
  </si>
  <si>
    <t>Floodlight Indoor Halogen Bulbs, 1 Bulb per Pack, 60 Watts</t>
  </si>
  <si>
    <t>MaribethSchnelling@gmail.com</t>
  </si>
  <si>
    <t>Computer Printout Paper with Letter-Trim Perforations</t>
  </si>
  <si>
    <t>ClearSounds CSC500 Amplified Spirit Phone Corded phone</t>
  </si>
  <si>
    <t>ClytieKelty@gmail.com</t>
  </si>
  <si>
    <t>Ampad Phone Message Book, Recycled, 400 Message Capacity, 5 Â¾Â” x 11Â”</t>
  </si>
  <si>
    <t>Avery 507</t>
  </si>
  <si>
    <t>AnthonyWitt@gmail.com</t>
  </si>
  <si>
    <t>Hanging Personal Folder File</t>
  </si>
  <si>
    <t>Logitech Wireless Marathon Mouse M705</t>
  </si>
  <si>
    <t>KeanThornton@gmail.com</t>
  </si>
  <si>
    <t>Tennsco 6- and 18-Compartment Lockers</t>
  </si>
  <si>
    <t>BOSTON Ranger #55 Pencil Sharpener, Black</t>
  </si>
  <si>
    <t>AdrianHane@gmail.com</t>
  </si>
  <si>
    <t>Office Star - Ergonomically Designed Knee Chair</t>
  </si>
  <si>
    <t>SandraGlassco@gmail.com</t>
  </si>
  <si>
    <t>GBC DocuBind P100 Manual Binding Machine</t>
  </si>
  <si>
    <t>Newell 308</t>
  </si>
  <si>
    <t>Global Fabric Manager's Chair, Dark Gray</t>
  </si>
  <si>
    <t>Acme Tagit Stainless Steel Antibacterial Scissors</t>
  </si>
  <si>
    <t>Polycom SoundStation2 EX ConferenceÂ phone</t>
  </si>
  <si>
    <t>Mobile Personal File Cube</t>
  </si>
  <si>
    <t>DMI Eclipse Executive Suite Bookcases</t>
  </si>
  <si>
    <t>ScotWooten@gmail.com</t>
  </si>
  <si>
    <t>Xerox Color Copier Paper, 11" x 17", Ream</t>
  </si>
  <si>
    <t>GBC DocuBind TL200 Manual Binding Machine</t>
  </si>
  <si>
    <t>WilliamBrown@gmail.com</t>
  </si>
  <si>
    <t>Eldon Advantage Chair Mats for Low to Medium Pile Carpets</t>
  </si>
  <si>
    <t>LarryBlacks@gmail.com</t>
  </si>
  <si>
    <t>DiannaWilson@gmail.com</t>
  </si>
  <si>
    <t>Panasonic KP-350BK Electric Pencil Sharpener with Auto Stop</t>
  </si>
  <si>
    <t>KarenFerguson@gmail.com</t>
  </si>
  <si>
    <t>IvanListon@gmail.com</t>
  </si>
  <si>
    <t>Wilson Jones data.warehouse D-Ring Binders with DublLock</t>
  </si>
  <si>
    <t>PatrickBzostek@gmail.com</t>
  </si>
  <si>
    <t>Xerox 1982</t>
  </si>
  <si>
    <t>Acco Data Flex Cable Posts For Top &amp; Bottom Load Binders, 6" Capacity</t>
  </si>
  <si>
    <t>HeatherKirkland@gmail.com</t>
  </si>
  <si>
    <t>GBC Prestige Therm-A-Bind Covers</t>
  </si>
  <si>
    <t>AlanShonely@gmail.com</t>
  </si>
  <si>
    <t>Fellowes Mighty 8 Compact Surge Protector</t>
  </si>
  <si>
    <t>GBC DocuBind P50 Personal Binding Machine</t>
  </si>
  <si>
    <t>Holmes HEPA Air Purifier</t>
  </si>
  <si>
    <t>Xerox 1988</t>
  </si>
  <si>
    <t>Harmony HEPA Quiet Air Purifiers</t>
  </si>
  <si>
    <t>Acco Hanging Data Binders</t>
  </si>
  <si>
    <t>Howard Miller 16" Diameter Gallery Wall Clock</t>
  </si>
  <si>
    <t>NeolaSchneider@gmail.com</t>
  </si>
  <si>
    <t>Belkin 325VA UPS Surge Protector, 6'</t>
  </si>
  <si>
    <t>Metal Folding Chairs, Beige, 4/Carton</t>
  </si>
  <si>
    <t>MattHagelstein@gmail.com</t>
  </si>
  <si>
    <t>Zipper Ring Binder Pockets</t>
  </si>
  <si>
    <t>Super Decoflex Portable Personal File</t>
  </si>
  <si>
    <t>Wilson Electronics DB Pro Signal Booster</t>
  </si>
  <si>
    <t>BobbyTrafton@gmail.com</t>
  </si>
  <si>
    <t>Atlantic Metals Mobile 2-Shelf Bookcases, Custom Colors</t>
  </si>
  <si>
    <t>GBC DocuBind 200 Manual Binding Machine</t>
  </si>
  <si>
    <t>Fellowes Advanced Computer Series Surge Protectors</t>
  </si>
  <si>
    <t>DougJacobs@gmail.com</t>
  </si>
  <si>
    <t>HTC One</t>
  </si>
  <si>
    <t>RickHuthwaite@gmail.com</t>
  </si>
  <si>
    <t>Fiskars Home &amp; Office Scissors</t>
  </si>
  <si>
    <t>TobyGnade@gmail.com</t>
  </si>
  <si>
    <t>Fellowes PB500 Electric Punch Plastic Comb Binding Machine with Manual Bind</t>
  </si>
  <si>
    <t>Avery Self-Adhesive Photo Pockets for Polaroid Photos</t>
  </si>
  <si>
    <t>BarryFranz@gmail.com</t>
  </si>
  <si>
    <t>Newell 344</t>
  </si>
  <si>
    <t>Advantus T-Pin Paper Clips</t>
  </si>
  <si>
    <t>Acco Six-Outlet Power Strip, 4' Cord Length</t>
  </si>
  <si>
    <t>JustinMacKendrick@gmail.com</t>
  </si>
  <si>
    <t>Xerox 1959</t>
  </si>
  <si>
    <t>Avery Durable Binders</t>
  </si>
  <si>
    <t>Kensington 6 Outlet MasterPiece HOMEOFFICE Power Control Center</t>
  </si>
  <si>
    <t>Xerox 22</t>
  </si>
  <si>
    <t>JulieKriz@gmail.com</t>
  </si>
  <si>
    <t>Holmes Odor Grabber</t>
  </si>
  <si>
    <t>Hon Multipurpose Stacking Arm Chairs</t>
  </si>
  <si>
    <t>Wirebound Message Books, Four 2 3/4" x 5" Forms per Page, 600 Sets per Book</t>
  </si>
  <si>
    <t>MariaZettner@gmail.com</t>
  </si>
  <si>
    <t>Advantus Plastic Paper Clips</t>
  </si>
  <si>
    <t>Logitech G19 Programmable Gaming Keyboard</t>
  </si>
  <si>
    <t>TomPrescott@gmail.com</t>
  </si>
  <si>
    <t>Xerox 1984</t>
  </si>
  <si>
    <t>Fellowes Bases and Tops For Staxonsteel/High-Stak Systems</t>
  </si>
  <si>
    <t>Deflect-o Glass Clear Studded Chair Mats</t>
  </si>
  <si>
    <t>Canon PC1060 Personal Laser Copier</t>
  </si>
  <si>
    <t>AllenRosenblatt@gmail.com</t>
  </si>
  <si>
    <t>Bevis Round Conference Room Tables and Bases</t>
  </si>
  <si>
    <t>Global Deluxe Stacking Chair, Gray</t>
  </si>
  <si>
    <t>JimKarlsson@gmail.com</t>
  </si>
  <si>
    <t>Global Super Steno Chair</t>
  </si>
  <si>
    <t>BenWallace@gmail.com</t>
  </si>
  <si>
    <t>Newell 351</t>
  </si>
  <si>
    <t>RicardoSperren@gmail.com</t>
  </si>
  <si>
    <t>Balt Solid Wood Round Tables</t>
  </si>
  <si>
    <t>BeckyCastell@gmail.com</t>
  </si>
  <si>
    <t>Global Leather Executive Chair</t>
  </si>
  <si>
    <t>Newell 319</t>
  </si>
  <si>
    <t>ImationÂ SecureÂ DriveÂ + Hardware Encrypted USBÂ flash driveÂ - 16 GB</t>
  </si>
  <si>
    <t>KristinaNunn@gmail.com</t>
  </si>
  <si>
    <t>Wausau Papers Astrobrights Colored Envelopes</t>
  </si>
  <si>
    <t>LauraArmstrong@gmail.com</t>
  </si>
  <si>
    <t>Tennsco Lockers, Gray</t>
  </si>
  <si>
    <t>REDIFORM Incoming/Outgoing Call Register, 11" X 8 1/2", 100 Messages</t>
  </si>
  <si>
    <t>AliceMcCarthy@gmail.com</t>
  </si>
  <si>
    <t>Satellite Sectional Post Binders</t>
  </si>
  <si>
    <t>ScottCohen@gmail.com</t>
  </si>
  <si>
    <t>Atlantic Metals Mobile 3-Shelf Bookcases, Custom Colors</t>
  </si>
  <si>
    <t>Memorex Micro Travel Drive 32 GB</t>
  </si>
  <si>
    <t>Lexmark S315 Color Inkjet Printer</t>
  </si>
  <si>
    <t>EricaHackney@gmail.com</t>
  </si>
  <si>
    <t>Global Leather &amp; Oak Executive Chair, Burgundy</t>
  </si>
  <si>
    <t>KatherineMurray@gmail.com</t>
  </si>
  <si>
    <t>Message Book, Phone, Wirebound Standard Line Memo, 2 3/4" X 5"</t>
  </si>
  <si>
    <t>ChristinaVanderZanden@gmail.com</t>
  </si>
  <si>
    <t>Acco Smartsocket Color-Coded Six-Outlet AC Adapter Model Surge Protectors</t>
  </si>
  <si>
    <t>Avery Arch Ring Binders</t>
  </si>
  <si>
    <t>Clearsounds A400</t>
  </si>
  <si>
    <t>Hewlett Packard 310 Color Digital Copier</t>
  </si>
  <si>
    <t>DennisKane@gmail.com</t>
  </si>
  <si>
    <t>Recycled Premium Regency Composition Covers</t>
  </si>
  <si>
    <t>Avery File Folder Labels</t>
  </si>
  <si>
    <t>Newell 318</t>
  </si>
  <si>
    <t>MikeGockenbach@gmail.com</t>
  </si>
  <si>
    <t>Square Credit Card Reader, 4 1/2" x 4 1/2" x 1", White</t>
  </si>
  <si>
    <t>TamaraManning@gmail.com</t>
  </si>
  <si>
    <t>Panasonic KX-TG9541B DECT 6.0 Digital 2-Line Expandable Cordless Phone With Digital Answering System</t>
  </si>
  <si>
    <t>BillEplett@gmail.com</t>
  </si>
  <si>
    <t>DAX Natural Wood-Tone Poster Frame</t>
  </si>
  <si>
    <t>EleniMcCrary@gmail.com</t>
  </si>
  <si>
    <t>MichelleLonsdale@gmail.com</t>
  </si>
  <si>
    <t>WD My Passport Ultra 2TB Portable External Hard Drive</t>
  </si>
  <si>
    <t>LindaCazamias@gmail.com</t>
  </si>
  <si>
    <t>Panasonic KX MB2061 Multifunction Printer</t>
  </si>
  <si>
    <t>MattCollister@gmail.com</t>
  </si>
  <si>
    <t>Razer Kraken 7.1 Surround Sound Over Ear USB Gaming Headset</t>
  </si>
  <si>
    <t>RossBaird@gmail.com</t>
  </si>
  <si>
    <t>HarryMarie@gmail.com</t>
  </si>
  <si>
    <t>Tenex Traditional Chairmats for Medium Pile Carpet, Standard Lip, 36" x 48"</t>
  </si>
  <si>
    <t>PierreWener@gmail.com</t>
  </si>
  <si>
    <t>Bevis Rectangular Conference Tables</t>
  </si>
  <si>
    <t>Geographics Note Cards, Blank, White, 8 1/2" x 11"</t>
  </si>
  <si>
    <t>AnneMcFarland@gmail.com</t>
  </si>
  <si>
    <t>#10- 4 1/8" x 9 1/2" Recycled Envelopes</t>
  </si>
  <si>
    <t>Cardinal Holdit Data Disk Pockets</t>
  </si>
  <si>
    <t>ShahidCollister@gmail.com</t>
  </si>
  <si>
    <t>Xerox 1896</t>
  </si>
  <si>
    <t>Global Deluxe High-Back Office Chair in Storm</t>
  </si>
  <si>
    <t>Kensington K72356US Mouse-in-a-Box USB Desktop Mouse</t>
  </si>
  <si>
    <t>Avery 50</t>
  </si>
  <si>
    <t>Honeywell Enviracaire Portable HEPA Air Cleaner for 16' x 20' Room</t>
  </si>
  <si>
    <t>GregMaxwell@gmail.com</t>
  </si>
  <si>
    <t>Chromcraft Bull-Nose Wood Oval Conference Tables &amp; Bases</t>
  </si>
  <si>
    <t>Anker 24W Portable Micro USB Car Charger</t>
  </si>
  <si>
    <t>Hon Practical Foundations 30 x 60 Training Table, Light Gray/Charcoal</t>
  </si>
  <si>
    <t>White GlueTop Scratch Pads</t>
  </si>
  <si>
    <t>BryanSpruell@gmail.com</t>
  </si>
  <si>
    <t>Cameo Buff Policy Envelopes</t>
  </si>
  <si>
    <t>BillTyler@gmail.com</t>
  </si>
  <si>
    <t>RalphRitter@gmail.com</t>
  </si>
  <si>
    <t>Avery 52</t>
  </si>
  <si>
    <t>High Speed Automatic Electric Letter Opener</t>
  </si>
  <si>
    <t>Panasonic KX TS3282B Corded phone</t>
  </si>
  <si>
    <t>LoriOlson@gmail.com</t>
  </si>
  <si>
    <t>Memorex Mini Travel Drive 8 GB USB 2.0 Flash Drive</t>
  </si>
  <si>
    <t>KenDana@gmail.com</t>
  </si>
  <si>
    <t>JohnMurray@gmail.com</t>
  </si>
  <si>
    <t>Samsung Galaxy S4 Mini</t>
  </si>
  <si>
    <t>Xerox 1891</t>
  </si>
  <si>
    <t>O'Sullivan Living Dimensions 3-Shelf Bookcases</t>
  </si>
  <si>
    <t>GBC Standard Plastic Binding Systems' Combs</t>
  </si>
  <si>
    <t>Cisco Small Business SPA 502G VoIP phone</t>
  </si>
  <si>
    <t>MichaelGranlund@gmail.com</t>
  </si>
  <si>
    <t>Berol Giant Pencil Sharpener</t>
  </si>
  <si>
    <t>BillOverfelt@gmail.com</t>
  </si>
  <si>
    <t>Global Stack Chair without Arms, Black</t>
  </si>
  <si>
    <t>AleksandraGannaway@gmail.com</t>
  </si>
  <si>
    <t>Acco Pressboard Covers with Storage Hooks, 14 7/8" x 11", Executive Red</t>
  </si>
  <si>
    <t>Avery 498</t>
  </si>
  <si>
    <t>JimMitchum@gmail.com</t>
  </si>
  <si>
    <t>Design Ebony Sketching Pencil</t>
  </si>
  <si>
    <t>Eldon Simplefile Box Office</t>
  </si>
  <si>
    <t>Avery 517</t>
  </si>
  <si>
    <t>JasonFortune-@gmail.com</t>
  </si>
  <si>
    <t>24-Hour Round Wall Clock</t>
  </si>
  <si>
    <t>SAFCO Optional Arm Kit for Workspace Cribbage Stacking Chair</t>
  </si>
  <si>
    <t>TimTaslimi@gmail.com</t>
  </si>
  <si>
    <t>AlanSchoenberger@gmail.com</t>
  </si>
  <si>
    <t>Green Bar Computer Printout Paper</t>
  </si>
  <si>
    <t>Global Adaptabilites Bookcase, Cherry/Storm Gray Finish</t>
  </si>
  <si>
    <t>GBC Pre-Punched Binding Paper, Plastic, White, 8-1/2" x 11"</t>
  </si>
  <si>
    <t>Mini 13-1/2 Capacity Data Binder Rack, Pearl</t>
  </si>
  <si>
    <t>Avery 514</t>
  </si>
  <si>
    <t>PeteKriz@gmail.com</t>
  </si>
  <si>
    <t>NancyLomonaco@gmail.com</t>
  </si>
  <si>
    <t>TobyCarlisle@gmail.com</t>
  </si>
  <si>
    <t>Xerox 1888</t>
  </si>
  <si>
    <t>StewartVisinsky@gmail.com</t>
  </si>
  <si>
    <t>CarolTriggs@gmail.com</t>
  </si>
  <si>
    <t>Adams "While You Were Out" Message Pads</t>
  </si>
  <si>
    <t>Wirebound Four 2-3/4 x 5 Forms per Page, 400 Sets per Book</t>
  </si>
  <si>
    <t>AT&amp;T 17929 Lendline Telephone</t>
  </si>
  <si>
    <t>AnthonyJohnson@gmail.com</t>
  </si>
  <si>
    <t>Contract Clock, 14", Brown</t>
  </si>
  <si>
    <t>AlejandroBallentine@gmail.com</t>
  </si>
  <si>
    <t>Xerox 215</t>
  </si>
  <si>
    <t>Xerox 1885</t>
  </si>
  <si>
    <t>Computer Room Manger, 14"</t>
  </si>
  <si>
    <t>Bady BDG101FRU Card Printer</t>
  </si>
  <si>
    <t>Prang Drawing Pencil Set</t>
  </si>
  <si>
    <t>SanjitEngle@gmail.com</t>
  </si>
  <si>
    <t>DavidFlashing@gmail.com</t>
  </si>
  <si>
    <t>Avery 512</t>
  </si>
  <si>
    <t>FredHarton@gmail.com</t>
  </si>
  <si>
    <t>Tenex Contemporary Contur Chairmats for Low and Medium Pile Carpet, Computer, 39" x 49"</t>
  </si>
  <si>
    <t>MaryBethSkach@gmail.com</t>
  </si>
  <si>
    <t>Executive Impressions 12" Wall Clock</t>
  </si>
  <si>
    <t>CarlosSoltero@gmail.com</t>
  </si>
  <si>
    <t>Hon Deluxe Fabric Upholstered Stacking Chairs, Squared Back</t>
  </si>
  <si>
    <t>Advantus Rolling Drawer Organizers</t>
  </si>
  <si>
    <t>HerbertFlentye@gmail.com</t>
  </si>
  <si>
    <t>Hon Olson Stacker Stools</t>
  </si>
  <si>
    <t>GeorgeAshbrook@gmail.com</t>
  </si>
  <si>
    <t>Plantronics S12 Corded Telephone Headset System</t>
  </si>
  <si>
    <t>Plantronics Calisto P620-M USB Wireless Speakerphone System</t>
  </si>
  <si>
    <t>Hoover Upright Vacuum With Dirt Cup</t>
  </si>
  <si>
    <t>Xerox 1903</t>
  </si>
  <si>
    <t>Deanpercer@gmail.com</t>
  </si>
  <si>
    <t>Maxell 4.7GB DVD-R 5/Pack</t>
  </si>
  <si>
    <t>Canvas Sectional Post Binders</t>
  </si>
  <si>
    <t>ElpidaRittenbach@gmail.com</t>
  </si>
  <si>
    <t>Advantus Map Pennant Flags and Round Head Tacks</t>
  </si>
  <si>
    <t>KeanNguyen@gmail.com</t>
  </si>
  <si>
    <t>Pyle PMP37LED</t>
  </si>
  <si>
    <t>GuyArmstrong@gmail.com</t>
  </si>
  <si>
    <t>Lumber Crayons</t>
  </si>
  <si>
    <t>DeniseLeinenbach@gmail.com</t>
  </si>
  <si>
    <t>9-3/4 Diameter Round Wall Clock</t>
  </si>
  <si>
    <t>CindyStewart@gmail.com</t>
  </si>
  <si>
    <t>Xerox 1953</t>
  </si>
  <si>
    <t>MichelleHuthwaite@gmail.com</t>
  </si>
  <si>
    <t>Xerox 228</t>
  </si>
  <si>
    <t>Sauder Forest Hills Library, Woodland Oak Finish</t>
  </si>
  <si>
    <t>Office Star - Professional Matrix Back Chair with 2-to-1 Synchro Tilt and Mesh Fabric Seat</t>
  </si>
  <si>
    <t>DarrinMartin@gmail.com</t>
  </si>
  <si>
    <t>Computer Printout Index Tabs</t>
  </si>
  <si>
    <t>NatalieDeCherney@gmail.com</t>
  </si>
  <si>
    <t>Carina Mini System Audio Rack, Model AR050B</t>
  </si>
  <si>
    <t>Plantronics Voyager Pro HD - Bluetooth Headset</t>
  </si>
  <si>
    <t>Xerox 201</t>
  </si>
  <si>
    <t>Ibico Plastic Spiral Binding Combs</t>
  </si>
  <si>
    <t>DonJones@gmail.com</t>
  </si>
  <si>
    <t>Newell 345</t>
  </si>
  <si>
    <t>BethFritzler@gmail.com</t>
  </si>
  <si>
    <t>Xerox 1951</t>
  </si>
  <si>
    <t>Office Star - Mesh Screen back chair with Vinyl seat</t>
  </si>
  <si>
    <t>StuartCalhoun@gmail.com</t>
  </si>
  <si>
    <t>Dixon Prang Watercolor Pencils, 10-Color Set with Brush</t>
  </si>
  <si>
    <t>ScottWilliamson@gmail.com</t>
  </si>
  <si>
    <t>Global Ergonomic Managers Chair</t>
  </si>
  <si>
    <t>Eldon Regeneration Recycled Desk Accessories, Smoke</t>
  </si>
  <si>
    <t>EmilyPhan@gmail.com</t>
  </si>
  <si>
    <t>Global Deluxe Steno Chair</t>
  </si>
  <si>
    <t>KenHeidel@gmail.com</t>
  </si>
  <si>
    <t>Wirebound Message Books, Four 2 3/4 x 5 Forms per Page, 200 Sets per Book</t>
  </si>
  <si>
    <t>Dual Level, Single-Width Filing Carts</t>
  </si>
  <si>
    <t>Rubber Band Ball</t>
  </si>
  <si>
    <t>Space Solutions Commercial Steel Shelving</t>
  </si>
  <si>
    <t>ThomasThornton@gmail.com</t>
  </si>
  <si>
    <t>GregTran@gmail.com</t>
  </si>
  <si>
    <t>Google Nexus 5</t>
  </si>
  <si>
    <t>Jet-Pak Recycled Peel 'N' Seal Padded Mailers</t>
  </si>
  <si>
    <t>Snap-A-Way Black Print Carbonless Ruled Speed Letter, Triplicate</t>
  </si>
  <si>
    <t>MickCrebagga@gmail.com</t>
  </si>
  <si>
    <t>File Shuttle II and Handi-File, Black</t>
  </si>
  <si>
    <t>Executive Impressions 13-1/2" Indoor/Outdoor Wall Clock</t>
  </si>
  <si>
    <t>LisaHazard@gmail.com</t>
  </si>
  <si>
    <t>Advantus Panel Wall Acrylic Frame</t>
  </si>
  <si>
    <t>Eldon 400 Class Desk Accessories, Black Carbon</t>
  </si>
  <si>
    <t>Wilson Jones Clip &amp; Carry Folder Binder Tool for Ring Binders, Clear</t>
  </si>
  <si>
    <t>EugeneMoren@gmail.com</t>
  </si>
  <si>
    <t>Memorex Micro Travel Drive 8 GB</t>
  </si>
  <si>
    <t>Xerox 1978</t>
  </si>
  <si>
    <t>Harbour Creations 67200 Series Stacking Chairs</t>
  </si>
  <si>
    <t>Tenex V2T-RE Standard Weight Series Chair Mat, 45" x 53", Lip 25" x 12"</t>
  </si>
  <si>
    <t>Cush Cases Heavy Duty Rugged Cover Case for Samsung Galaxy S5 - Purple</t>
  </si>
  <si>
    <t>Samsung Galaxy Mega 6.3</t>
  </si>
  <si>
    <t>PhilisseOvercash@gmail.com</t>
  </si>
  <si>
    <t>Avery 478</t>
  </si>
  <si>
    <t>AndyYotov@gmail.com</t>
  </si>
  <si>
    <t>DAX Two-Tone Rosewood/Black Document Frame, Desktop, 5 x 7</t>
  </si>
  <si>
    <t>Safco Chair Connectors, 6/Carton</t>
  </si>
  <si>
    <t>Self-Adhesive Ring Binder Labels</t>
  </si>
  <si>
    <t>RyanCrowe@gmail.com</t>
  </si>
  <si>
    <t>Chromcraft Bull-Nose Wood 48" x 96" Rectangular Conference Tables</t>
  </si>
  <si>
    <t>MatthewClasen@gmail.com</t>
  </si>
  <si>
    <t>SanDisk Ultra 16 GB MicroSDHC Class 10 Memory Card</t>
  </si>
  <si>
    <t>Avery Heavy-Duty EZD  Binder With Locking Rings</t>
  </si>
  <si>
    <t>VariCap6 Expandable Binder</t>
  </si>
  <si>
    <t>Eldon Fold 'N Roll Cart System</t>
  </si>
  <si>
    <t>Avery Premier Heavy-Duty Binder with Round Locking Rings</t>
  </si>
  <si>
    <t>SharelleRoach@gmail.com</t>
  </si>
  <si>
    <t>Insertable Tab Post Binder Dividers</t>
  </si>
  <si>
    <t>Lexmark MX611dhe Monochrome Laser Printer</t>
  </si>
  <si>
    <t>GBC VeloBinder Manual Binding System</t>
  </si>
  <si>
    <t>Alliance Rubber Bands</t>
  </si>
  <si>
    <t>SlimView Poly Binder, 3/8"</t>
  </si>
  <si>
    <t>DanReichenbach@gmail.com</t>
  </si>
  <si>
    <t>BlackBerry Q10</t>
  </si>
  <si>
    <t>AaronSmayling@gmail.com</t>
  </si>
  <si>
    <t>Lesro Sheffield Collection Coffee Table, End Table, Center Table, Corner Table</t>
  </si>
  <si>
    <t>#10 Self-Seal White Envelopes</t>
  </si>
  <si>
    <t>Hon Pagoda Stacking Chairs</t>
  </si>
  <si>
    <t>36X48 HARDFLOOR CHAIRMAT</t>
  </si>
  <si>
    <t>Conquest 14 Commercial Heavy-Duty Upright Vacuum, Collection System, Accessory Kit</t>
  </si>
  <si>
    <t>Ampad #10 Peel &amp; Seel Holiday Envelopes</t>
  </si>
  <si>
    <t>Linden 10" Round Wall Clock, Black</t>
  </si>
  <si>
    <t>Anderson Hickey Conga Table Tops &amp; Accessories</t>
  </si>
  <si>
    <t>BenjaminFarhat@gmail.com</t>
  </si>
  <si>
    <t>SimpliFile Personal File, Black Granite, 15w x 6-15/16d x 11-1/4h</t>
  </si>
  <si>
    <t>OtterBox Commuter Series Case - iPhone 5 &amp; 5s</t>
  </si>
  <si>
    <t>Logitech Wireless Headset H600 Over-The-Head Design</t>
  </si>
  <si>
    <t>Xerox 230</t>
  </si>
  <si>
    <t>Recycled Steel Personal File for Hanging File Folders</t>
  </si>
  <si>
    <t>KatrinaBavinger@gmail.com</t>
  </si>
  <si>
    <t>invisibleSHIELD by ZAGG Smudge-Free Screen Protector</t>
  </si>
  <si>
    <t>MaxwellSchwartz@gmail.com</t>
  </si>
  <si>
    <t>Okidata C331dn Printer</t>
  </si>
  <si>
    <t>Tyvek  Top-Opening Peel &amp; Seel Envelopes, Plain White</t>
  </si>
  <si>
    <t>Office Star Flex Back Scooter Chair with White Frame</t>
  </si>
  <si>
    <t>Acme Rosewood Handle Letter Opener</t>
  </si>
  <si>
    <t>ChadCunningham@gmail.com</t>
  </si>
  <si>
    <t>CariSayre@gmail.com</t>
  </si>
  <si>
    <t>Global Leather and Oak Executive Chair, Black</t>
  </si>
  <si>
    <t>BIC Brite Liner Highlighters, Chisel Tip</t>
  </si>
  <si>
    <t>Avery 489</t>
  </si>
  <si>
    <t>GaryHansen@gmail.com</t>
  </si>
  <si>
    <t>White Computer Printout Paper by Universal</t>
  </si>
  <si>
    <t>#10 White Business Envelopes,4 1/8 x 9 1/2</t>
  </si>
  <si>
    <t>Newell 34</t>
  </si>
  <si>
    <t>Xerox 1971</t>
  </si>
  <si>
    <t>Polycom CX300 Desktop Phone USB VoIP phone</t>
  </si>
  <si>
    <t>Atlantic Metals Mobile 5-Shelf Bookcases, Custom Colors</t>
  </si>
  <si>
    <t>JustinEllison@gmail.com</t>
  </si>
  <si>
    <t>Avery 510</t>
  </si>
  <si>
    <t>Wilson Jones Four-Pocket Poly Binders</t>
  </si>
  <si>
    <t>Accohide Poly Flexible Ring Binders</t>
  </si>
  <si>
    <t>Memorex Froggy Flash Drive 4 GB</t>
  </si>
  <si>
    <t>Southworth 100% RÃ©sumÃ© Paper, 24lb.</t>
  </si>
  <si>
    <t>Eldon Expressions Punched Metal &amp; Wood Desk Accessories, Pewter &amp; Cherry</t>
  </si>
  <si>
    <t>Avery White Multi-Purpose Labels</t>
  </si>
  <si>
    <t>Logitech G500s Laser Gaming Mouse with Adjustable Weight Tuning</t>
  </si>
  <si>
    <t>Avery 485</t>
  </si>
  <si>
    <t>Adams Telephone Message Book W/Dividers/Space For Phone Numbers, 5 1/4"X8 1/2", 300/Messages</t>
  </si>
  <si>
    <t>Bose SoundLink Bluetooth Speaker</t>
  </si>
  <si>
    <t>Letter or Legal Size Expandable Poly String Tie Envelopes</t>
  </si>
  <si>
    <t>Stiletto Hand Letter Openers</t>
  </si>
  <si>
    <t>JackLebron@gmail.com</t>
  </si>
  <si>
    <t>Logitech Desktop MK120 Mouse and keyboard Combo</t>
  </si>
  <si>
    <t>Fellowes Bankers Box Staxonsteel Drawer File/Stacking System</t>
  </si>
  <si>
    <t>Col-Erase Pencils with Erasers</t>
  </si>
  <si>
    <t>SanjitJacobs@gmail.com</t>
  </si>
  <si>
    <t>Clarity 53712</t>
  </si>
  <si>
    <t>ChrisCortes@gmail.com</t>
  </si>
  <si>
    <t>ThomasSeio@gmail.com</t>
  </si>
  <si>
    <t>Xerox 1941</t>
  </si>
  <si>
    <t>APC 7 Outlet Network SurgeArrest Surge Protector</t>
  </si>
  <si>
    <t>SarahJordon@gmail.com</t>
  </si>
  <si>
    <t>PenelopeSewall@gmail.com</t>
  </si>
  <si>
    <t>Canon Imageclass D680 Copier / Fax</t>
  </si>
  <si>
    <t>RobDowd@gmail.com</t>
  </si>
  <si>
    <t>Plantronics Voyager Pro Legend</t>
  </si>
  <si>
    <t>Memorex Mini Travel Drive 64 GB USB 2.0 Flash Drive</t>
  </si>
  <si>
    <t>MitchWillingham@gmail.com</t>
  </si>
  <si>
    <t>Boston 19500 Mighty Mite Electric Pencil Sharpener</t>
  </si>
  <si>
    <t>Avery 474</t>
  </si>
  <si>
    <t>PatrickRyan@gmail.com</t>
  </si>
  <si>
    <t>Newell 336</t>
  </si>
  <si>
    <t>Cisco 8x8 Inc. 6753i IP Business Phone System</t>
  </si>
  <si>
    <t>Tenex Chairmats For Use with Hard Floors</t>
  </si>
  <si>
    <t>Acco Flexible ACCOHIDE Square Ring Data Binder, Dark Blue, 11 1/2" X 14" 7/8"</t>
  </si>
  <si>
    <t>Fellowes Command Center 5-outlet power strip</t>
  </si>
  <si>
    <t>Avery Address/Shipping Labels for Typewriters, 4" x 2"</t>
  </si>
  <si>
    <t>OdellaNelson@gmail.com</t>
  </si>
  <si>
    <t>50 Colored Long Pencils</t>
  </si>
  <si>
    <t>BrianMoss@gmail.com</t>
  </si>
  <si>
    <t>Rush Hierlooms Collection 1" Thick Stackable Bookcases</t>
  </si>
  <si>
    <t>LizCarlisle@gmail.com</t>
  </si>
  <si>
    <t>Sauder Facets Collection Library, Sky Alder Finish</t>
  </si>
  <si>
    <t>Hon Metal Bookcases, Putty</t>
  </si>
  <si>
    <t>Acco PRESSTEX Data Binder with Storage Hooks, Light Blue, 9 1/2" X 11"</t>
  </si>
  <si>
    <t>MatthewGrinstein@gmail.com</t>
  </si>
  <si>
    <t>Cisco Unified IP Phone 7945G VoIP phone</t>
  </si>
  <si>
    <t>CharlotteMelton@gmail.com</t>
  </si>
  <si>
    <t>Strathmore Photo Frame Cards</t>
  </si>
  <si>
    <t>Xerox 1944</t>
  </si>
  <si>
    <t>TonyChapman@gmail.com</t>
  </si>
  <si>
    <t>Kensington 7 Outlet MasterPiece HOMEOFFICE Power Control Center</t>
  </si>
  <si>
    <t>Xerox 1991</t>
  </si>
  <si>
    <t>ImationÂ Clip USBÂ flash driveÂ - 8 GB</t>
  </si>
  <si>
    <t>LukeFoster@gmail.com</t>
  </si>
  <si>
    <t>Akro-Mils 12-Gallon Tote</t>
  </si>
  <si>
    <t>Tenex Traditional Chairmats for Hard Floors, Average Lip, 36" x 48"</t>
  </si>
  <si>
    <t>Xerox 1968</t>
  </si>
  <si>
    <t>GBC Wire Binding Combs</t>
  </si>
  <si>
    <t>PhillinaOber@gmail.com</t>
  </si>
  <si>
    <t>TimBrockman@gmail.com</t>
  </si>
  <si>
    <t>GBC Recycled VeloBinder Covers</t>
  </si>
  <si>
    <t>DennisPardue@gmail.com</t>
  </si>
  <si>
    <t>Holmes Replacement Filter for HEPA Air Cleaner, Medium Room</t>
  </si>
  <si>
    <t>Pizazz Global Quick File</t>
  </si>
  <si>
    <t>CarlLudwig@gmail.com</t>
  </si>
  <si>
    <t>ShirleyJackson@gmail.com</t>
  </si>
  <si>
    <t>KeyTronicÂ KT400U2 -Â KeyboardÂ - Black</t>
  </si>
  <si>
    <t>Xerox 204</t>
  </si>
  <si>
    <t>CathyArmstrong@gmail.com</t>
  </si>
  <si>
    <t>Chromcraft 48" x 96" Racetrack Double Pedestal Table</t>
  </si>
  <si>
    <t>DarioMedina@gmail.com</t>
  </si>
  <si>
    <t>HP Standard 104 key PS/2 Keyboard</t>
  </si>
  <si>
    <t>Macally Suction Cup Mount</t>
  </si>
  <si>
    <t>Ativa MDM8000 8-Sheet Micro-Cut Shredder</t>
  </si>
  <si>
    <t>Binney &amp; Smith inkTank Desk Highlighter, Chisel Tip, Yellow, 12/Box</t>
  </si>
  <si>
    <t>Advantus Push Pins, Aluminum Head</t>
  </si>
  <si>
    <t>PatrickO'Donnell@gmail.com</t>
  </si>
  <si>
    <t>Ooma Telo VoIP Home Phone System</t>
  </si>
  <si>
    <t>Xerox 1905</t>
  </si>
  <si>
    <t>Cardinal HOLDit! Binder Insert Strips,Extra Strips</t>
  </si>
  <si>
    <t>TonySayre@gmail.com</t>
  </si>
  <si>
    <t>Plantronics Audio 995 Wireless Stereo Headset</t>
  </si>
  <si>
    <t>GuyThornton@gmail.com</t>
  </si>
  <si>
    <t>Xerox 200</t>
  </si>
  <si>
    <t>Brites Rubber Bands, 1 1/2 oz. Box</t>
  </si>
  <si>
    <t>JimKriz@gmail.com</t>
  </si>
  <si>
    <t>Okidata MB491 Multifunction Printer</t>
  </si>
  <si>
    <t>Avery Hanging File Binders</t>
  </si>
  <si>
    <t>While You Were Out Pads, 50 per Pad, 4 x 5 1/4, Green Cycle</t>
  </si>
  <si>
    <t>Kensington Orbit Wireless Mobile Trackball for PC and Mac</t>
  </si>
  <si>
    <t>RalphArnett@gmail.com</t>
  </si>
  <si>
    <t>QVS USB Car Charger 2-Port 2.1Amp for iPod/iPhone/iPad/iPad 2/iPad 3</t>
  </si>
  <si>
    <t>Newell 314</t>
  </si>
  <si>
    <t>Ibico Ibimaster 300 Manual Binding System</t>
  </si>
  <si>
    <t>DarrenBudd@gmail.com</t>
  </si>
  <si>
    <t>Multi-Use Personal File Cart and Caster Set, Three Stacking Bins</t>
  </si>
  <si>
    <t>Fellowes Stor/Drawer Steel Plus Storage Drawers</t>
  </si>
  <si>
    <t>Boston Home &amp; Office Model 2000 Electric Pencil Sharpeners</t>
  </si>
  <si>
    <t>Newell 31</t>
  </si>
  <si>
    <t>Premium Transparent Presentation Covers, No Pattern/Clear, 8 1/2" x 11"</t>
  </si>
  <si>
    <t>VickyFreymann@gmail.com</t>
  </si>
  <si>
    <t>Xerox 1966</t>
  </si>
  <si>
    <t>Acme Kleen Earth Office Shears</t>
  </si>
  <si>
    <t>JenniferPatt@gmail.com</t>
  </si>
  <si>
    <t>Elite 5" Scissors</t>
  </si>
  <si>
    <t>Acco PRESSTEX Data Binder with Storage Hooks, Dark Blue, 9 1/2" X 11"</t>
  </si>
  <si>
    <t>Samsung HM1900 Bluetooth Headset</t>
  </si>
  <si>
    <t>Acco Side-Punched Conventional Columnar Pads</t>
  </si>
  <si>
    <t>Avery 492</t>
  </si>
  <si>
    <t>Xerox 232</t>
  </si>
  <si>
    <t>Adjustable Personal File Tote</t>
  </si>
  <si>
    <t>Crayola Colored Pencils</t>
  </si>
  <si>
    <t>DennyOrdway@gmail.com</t>
  </si>
  <si>
    <t>Manila Recycled Extra-Heavyweight Clasp Envelopes, 6" x 9"</t>
  </si>
  <si>
    <t>Sharp 1540cs Digital Laser Copier</t>
  </si>
  <si>
    <t>Eldon Regeneration Recycled Desk Accessories, Black</t>
  </si>
  <si>
    <t>Eldon File Chest Portable File</t>
  </si>
  <si>
    <t>RolandSchwarz@gmail.com</t>
  </si>
  <si>
    <t>Bush Advantage Collection Round Conference Table</t>
  </si>
  <si>
    <t>Verbatim Slim CD and DVD Storage Cases, 50/Pack</t>
  </si>
  <si>
    <t>Eldon Advantage Foldable Chair Mats for Low Pile Carpets</t>
  </si>
  <si>
    <t>Xerox 1964</t>
  </si>
  <si>
    <t>MaureenFritzler@gmail.com</t>
  </si>
  <si>
    <t>GBC DocuBind 300 Electric Binding Machine</t>
  </si>
  <si>
    <t>Sensible Storage WireTech Storage Systems</t>
  </si>
  <si>
    <t>Quartet Omega Colored Chalk, 12/Pack</t>
  </si>
  <si>
    <t>Advantus Panel Wall Certificate Holder - 8.5x11</t>
  </si>
  <si>
    <t>CharlesMcCrossin@gmail.com</t>
  </si>
  <si>
    <t>JuliaBarnett@gmail.com</t>
  </si>
  <si>
    <t>Rubbermaid ClusterMat Chairmats, Mat Size- 66" x 60", Lip 20" x 11" -90 Degree Angle</t>
  </si>
  <si>
    <t>JonathanDoherty@gmail.com</t>
  </si>
  <si>
    <t>EdJacobs@gmail.com</t>
  </si>
  <si>
    <t>Balt Split Level Computer Training Table</t>
  </si>
  <si>
    <t>Dixon Ticonderoga Core-Lock Colored Pencils</t>
  </si>
  <si>
    <t>Things To Do Today Spiral Book</t>
  </si>
  <si>
    <t>Apple iPhone 5S</t>
  </si>
  <si>
    <t>Tensor Computer Mounted Lamp</t>
  </si>
  <si>
    <t>Logitech Illuminated Ultrathin Keyboard with Backlighting</t>
  </si>
  <si>
    <t>ToddSumrall@gmail.com</t>
  </si>
  <si>
    <t>Serrated Blade or Curved Handle Hand Letter Openers</t>
  </si>
  <si>
    <t>Premier Automatic Letter Opener</t>
  </si>
  <si>
    <t>Eldon 300 Class Desk Accessories, Black</t>
  </si>
  <si>
    <t>Sterilite Show Offs Storage Containers</t>
  </si>
  <si>
    <t>Logitech G430 Surround Sound Gaming Headset with Dolby 7.1 Technology</t>
  </si>
  <si>
    <t>AstreaJones@gmail.com</t>
  </si>
  <si>
    <t>Economy #2 Pencils</t>
  </si>
  <si>
    <t>JayFein@gmail.com</t>
  </si>
  <si>
    <t>Maxell DVD-RAM Discs</t>
  </si>
  <si>
    <t>Global Chrome Stack Chair</t>
  </si>
  <si>
    <t>Xerox 196</t>
  </si>
  <si>
    <t>PeterFuller@gmail.com</t>
  </si>
  <si>
    <t>Xerox 1895</t>
  </si>
  <si>
    <t>Eldon "L" Workstation Diamond Chairmat</t>
  </si>
  <si>
    <t>DAX Copper Panel Document Frame, 5 x 7 Size</t>
  </si>
  <si>
    <t>Plantronics CS510 - Over-the-Head monaural Wireless Headset System</t>
  </si>
  <si>
    <t>Eldon ProFile File 'N Store Portable File Tub Letter/Legal Size Black</t>
  </si>
  <si>
    <t>MarisLaWare@gmail.com</t>
  </si>
  <si>
    <t>Riverleaf Stik-Withit Designer Note Cubes</t>
  </si>
  <si>
    <t>Acco Expandable Hanging Binders</t>
  </si>
  <si>
    <t>High-Back Leather Manager's Chair</t>
  </si>
  <si>
    <t>Eldon Gobal File Keepers</t>
  </si>
  <si>
    <t>OIC #2 Pencils, Medium Soft</t>
  </si>
  <si>
    <t>Avery 505</t>
  </si>
  <si>
    <t>RCA ViSYS 25423RE1 Corded phone</t>
  </si>
  <si>
    <t>Eldon Expressions Wood Desk Accessories, Oak</t>
  </si>
  <si>
    <t>Newell 320</t>
  </si>
  <si>
    <t>EugeneHildebrand@gmail.com</t>
  </si>
  <si>
    <t>GBC Durable Plastic Covers</t>
  </si>
  <si>
    <t>SusanPistek@gmail.com</t>
  </si>
  <si>
    <t>PaulLucas@gmail.com</t>
  </si>
  <si>
    <t>Master Giant Foot Doorstop, Safety Yellow</t>
  </si>
  <si>
    <t>ChristopherConant@gmail.com</t>
  </si>
  <si>
    <t>Xerox 1942</t>
  </si>
  <si>
    <t>Bush Westfield Collection Bookcases, Fully Assembled</t>
  </si>
  <si>
    <t>DAX Cubicle Frames - 8x10</t>
  </si>
  <si>
    <t>WD My Passport Ultra 1TB Portable External Hard Drive</t>
  </si>
  <si>
    <t>MichaelKennedy@gmail.com</t>
  </si>
  <si>
    <t>Howard Miller 11-1/2" Diameter Brentwood Wall Clock</t>
  </si>
  <si>
    <t>JackO'Briant@gmail.com</t>
  </si>
  <si>
    <t>O'Sullivan Elevations Bookcase, Cherry Finish</t>
  </si>
  <si>
    <t>Jackery Bar Premium Fast-charging Portable Charger</t>
  </si>
  <si>
    <t>SteveNguyen@gmail.com</t>
  </si>
  <si>
    <t>Belkin 7 Outlet SurgeMaster II</t>
  </si>
  <si>
    <t>Stacking Trays by OIC</t>
  </si>
  <si>
    <t>Xerox 1981</t>
  </si>
  <si>
    <t>Mophie Juice Pack Helium for iPhone</t>
  </si>
  <si>
    <t>Avery 477</t>
  </si>
  <si>
    <t>Executive Impressions 10" Spectator Wall Clock</t>
  </si>
  <si>
    <t>JillFjeld@gmail.com</t>
  </si>
  <si>
    <t>Gear Head AU3700S Headset</t>
  </si>
  <si>
    <t>KatrinaEdelman@gmail.com</t>
  </si>
  <si>
    <t>GBC Poly Designer Binding Covers</t>
  </si>
  <si>
    <t>Pressboard Covers with Storage Hooks, 9 1/2" x 11", Light Blue</t>
  </si>
  <si>
    <t>AmyCox@gmail.com</t>
  </si>
  <si>
    <t>TobySwindell@gmail.com</t>
  </si>
  <si>
    <t>Avery Reinforcements for Hole-Punch Pages</t>
  </si>
  <si>
    <t>Acco 6 Outlet Guardian Premium Plus Surge Suppressor</t>
  </si>
  <si>
    <t>Performers Binder/Pad Holder, Black</t>
  </si>
  <si>
    <t>Tennsco Double-Tier Lockers</t>
  </si>
  <si>
    <t>Newell 338</t>
  </si>
  <si>
    <t>TracyPoddar@gmail.com</t>
  </si>
  <si>
    <t>Iris Project Case</t>
  </si>
  <si>
    <t>Global Enterprise Series Seating High-Back Swivel/Tilt Chairs</t>
  </si>
  <si>
    <t>HeatherJas@gmail.com</t>
  </si>
  <si>
    <t>Xerox 210</t>
  </si>
  <si>
    <t>EileenKiefer@gmail.com</t>
  </si>
  <si>
    <t>Boston Electric Pencil Sharpener, Model 1818, Charcoal Black</t>
  </si>
  <si>
    <t>Economy Binders</t>
  </si>
  <si>
    <t>BruceGeld@gmail.com</t>
  </si>
  <si>
    <t>Smead Alpha-Z Color-Coded Second Alphabetical Labels and Starter Set</t>
  </si>
  <si>
    <t>NickCrebassa@gmail.com</t>
  </si>
  <si>
    <t>Safco Value Mate Steel Bookcase, Baked Enamel Finish on Steel, Black</t>
  </si>
  <si>
    <t>Cubify CubeX 3D Printer Double Head Print</t>
  </si>
  <si>
    <t>Xerox 1939</t>
  </si>
  <si>
    <t>Cisco Desktop Collaboration Experience DX650 IP Video Phone</t>
  </si>
  <si>
    <t>O'Sullivan 3-Shelf Heavy-Duty Bookcases</t>
  </si>
  <si>
    <t>StevenRoelle@gmail.com</t>
  </si>
  <si>
    <t>Boston 1827 Commercial Additional Cutter, Drive Gear &amp; Gear Rack for 1606</t>
  </si>
  <si>
    <t>MichelleArnett@gmail.com</t>
  </si>
  <si>
    <t>KenBlack@gmail.com</t>
  </si>
  <si>
    <t>MuhammedMacIntyre@gmail.com</t>
  </si>
  <si>
    <t>Chromcraft Bull-Nose Wood Round Conference Table Top, Wood Base</t>
  </si>
  <si>
    <t>PayAnywhere Card Reader</t>
  </si>
  <si>
    <t>AndrewGjertsen@gmail.com</t>
  </si>
  <si>
    <t>NicoleFjeld@gmail.com</t>
  </si>
  <si>
    <t>Harmony Air Purifier</t>
  </si>
  <si>
    <t>DavidWiener@gmail.com</t>
  </si>
  <si>
    <t>TiffanyHouse@gmail.com</t>
  </si>
  <si>
    <t>Rogers Jumbo File, Granite</t>
  </si>
  <si>
    <t>AngeleHood@gmail.com</t>
  </si>
  <si>
    <t>Vtech CS6719</t>
  </si>
  <si>
    <t>ChrisSelesnick@gmail.com</t>
  </si>
  <si>
    <t>GBC Premium Transparent Covers with Diagonal Lined Pattern</t>
  </si>
  <si>
    <t>Polycom SoundPoint Pro SE-225 Corded phone</t>
  </si>
  <si>
    <t>Xerox 2000</t>
  </si>
  <si>
    <t>Hewlett-Packard Deskjet D4360 Printer</t>
  </si>
  <si>
    <t>Airmail Envelopes</t>
  </si>
  <si>
    <t>ShuiTom@gmail.com</t>
  </si>
  <si>
    <t>Mediabridge Sport Armband iPhone 5s</t>
  </si>
  <si>
    <t>SungShariari@gmail.com</t>
  </si>
  <si>
    <t>LogitechÂ LS21 Speaker System - PC Multimedia - 2.1-CH - Wired</t>
  </si>
  <si>
    <t>Avery Metallic Poly Binders</t>
  </si>
  <si>
    <t>#6 3/4 Gummed Flap White Envelopes</t>
  </si>
  <si>
    <t>Nu-Dell Float Frame 11 x 14 1/2</t>
  </si>
  <si>
    <t>MarkVanHuff@gmail.com</t>
  </si>
  <si>
    <t>AlexGrayson@gmail.com</t>
  </si>
  <si>
    <t>TrudyBrown@gmail.com</t>
  </si>
  <si>
    <t>Balt Solid Wood Rectangular Table</t>
  </si>
  <si>
    <t>BartPistole@gmail.com</t>
  </si>
  <si>
    <t>AnnaHÃ¤berlin@gmail.com</t>
  </si>
  <si>
    <t>Polycom SoundPoint IP 450 VoIP phone</t>
  </si>
  <si>
    <t>SANFORD Major Accent Highlighters</t>
  </si>
  <si>
    <t>Wilson SignalBoost 841262 DB PRO Amplifier Kit</t>
  </si>
  <si>
    <t>Southworth 25% Cotton Linen-Finish Paper &amp; Envelopes</t>
  </si>
  <si>
    <t>Eldon 200 Class Desk Accessories</t>
  </si>
  <si>
    <t>Xerox 231</t>
  </si>
  <si>
    <t>AnnaAndreadi@gmail.com</t>
  </si>
  <si>
    <t>Master Caster Door Stop, Brown</t>
  </si>
  <si>
    <t>Inter-Office Recycled Envelopes, Brown Kraft, Button-String,10" x 13" , 100/Box</t>
  </si>
  <si>
    <t>AnnSteele@gmail.com</t>
  </si>
  <si>
    <t>Martin Yale Chadless Opener Electric Letter Opener</t>
  </si>
  <si>
    <t>Gould Plastics 18-Pocket Panel Bin, 34w x 5-1/4d x 20-1/2h</t>
  </si>
  <si>
    <t>Lenovo 17-Key USB Numeric Keypad</t>
  </si>
  <si>
    <t>Xerox 1992</t>
  </si>
  <si>
    <t>Holmes 99% HEPA Air Purifier</t>
  </si>
  <si>
    <t>Xerox 1892</t>
  </si>
  <si>
    <t>JanetMartin@gmail.com</t>
  </si>
  <si>
    <t>Chromcraft Round Conference Tables</t>
  </si>
  <si>
    <t>Xerox 1930</t>
  </si>
  <si>
    <t>GeorgiaRosenberg@gmail.com</t>
  </si>
  <si>
    <t>Xerox 211</t>
  </si>
  <si>
    <t>Xerox 227</t>
  </si>
  <si>
    <t>Seidio BD2-HK3IPH5-BK DILEX Case and Holster Combo for Apple iPhone 5/5s - Black</t>
  </si>
  <si>
    <t>Avanti 4.4 Cu. Ft. Refrigerator</t>
  </si>
  <si>
    <t>Sony 32GB Class 10 Micro SDHC R40 Memory Card</t>
  </si>
  <si>
    <t>Tennsco Commercial Shelving</t>
  </si>
  <si>
    <t>Westinghouse Floor Lamp with Metal Mesh Shade, Black</t>
  </si>
  <si>
    <t>VivekSundaresam@gmail.com</t>
  </si>
  <si>
    <t>LizPreis@gmail.com</t>
  </si>
  <si>
    <t>Premier Elliptical Ring Binder, Black</t>
  </si>
  <si>
    <t>RobBeeghly@gmail.com</t>
  </si>
  <si>
    <t>TOPS "Important Message" Pads, Canary, 4-1/4 x 5-1/2, 50 Sheets per Pad</t>
  </si>
  <si>
    <t>JuliaWest@gmail.com</t>
  </si>
  <si>
    <t>BIC Brite Liner Highlighters</t>
  </si>
  <si>
    <t>MikeCaudle@gmail.com</t>
  </si>
  <si>
    <t>Master Big Foot Doorstop, Beige</t>
  </si>
  <si>
    <t>Zebra Zazzle Fluorescent Highlighters</t>
  </si>
  <si>
    <t>Bevis Round Conference Table Top &amp; Single Column Base</t>
  </si>
  <si>
    <t>Tyvek Side-Opening Peel &amp; Seel Expanding Envelopes</t>
  </si>
  <si>
    <t>Jensen SMPS-640 -Â speaker phone</t>
  </si>
  <si>
    <t>Master Caster Door Stop, Large Brown</t>
  </si>
  <si>
    <t>Acco Perma 3000 Stacking Storage Drawers</t>
  </si>
  <si>
    <t>Executive Impressions 13" Chairman Wall Clock</t>
  </si>
  <si>
    <t>Brother DCP1000 Digital 3 in 1 Multifunction Machine</t>
  </si>
  <si>
    <t>TomStivers@gmail.com</t>
  </si>
  <si>
    <t>Newell Chalk Holder</t>
  </si>
  <si>
    <t>Nontoxic Chalk</t>
  </si>
  <si>
    <t>GBC Therma-A-Bind 250T Electric Binding System</t>
  </si>
  <si>
    <t>Super Bands, 12/Pack</t>
  </si>
  <si>
    <t>Document Clip Frames</t>
  </si>
  <si>
    <t>Global Armless Task Chair, Royal Blue</t>
  </si>
  <si>
    <t>Hoover Replacement Belts For Soft Guard &amp; Commercial Ltweight Upright Vacs, 2/Pk</t>
  </si>
  <si>
    <t>RobertMarley@gmail.com</t>
  </si>
  <si>
    <t>BruceDegenhardt@gmail.com</t>
  </si>
  <si>
    <t>Deflect-o EconoMat Studded, No Bevel Mat for Low Pile Carpeting</t>
  </si>
  <si>
    <t>DavidSmith@gmail.com</t>
  </si>
  <si>
    <t>Sauder Camden County Collection Library</t>
  </si>
  <si>
    <t>BillStewart@gmail.com</t>
  </si>
  <si>
    <t>Boston School Pro Electric Pencil Sharpener, 1670</t>
  </si>
  <si>
    <t>HelenAbelman@gmail.com</t>
  </si>
  <si>
    <t>Office Star - Ergonomic Mid Back Chair with 2-Way Adjustable Arms</t>
  </si>
  <si>
    <t>Corey-Lock@gmail.com</t>
  </si>
  <si>
    <t>Ibico Presentation Index for Binding Systems</t>
  </si>
  <si>
    <t>Xerox 1917</t>
  </si>
  <si>
    <t>Acco Banker's Clasps, 5 3/4"-Long</t>
  </si>
  <si>
    <t>Logitech Media Keyboard K200</t>
  </si>
  <si>
    <t>ImationÂ 30456 USBÂ Flash DriveÂ 8GB</t>
  </si>
  <si>
    <t>Global Low Back Tilter Chair</t>
  </si>
  <si>
    <t>Xerox 1954</t>
  </si>
  <si>
    <t>Newell 328</t>
  </si>
  <si>
    <t>Aastra 6757i CT Wireless VoIP phone</t>
  </si>
  <si>
    <t>Bevis Oval Conference Table, Walnut</t>
  </si>
  <si>
    <t>DennyJoy@gmail.com</t>
  </si>
  <si>
    <t>DeanraEno@gmail.com</t>
  </si>
  <si>
    <t>Tennsco Stur-D-Stor Boltless Shelving, 5 Shelves, 24" Deep, Sand</t>
  </si>
  <si>
    <t>Xerox 19</t>
  </si>
  <si>
    <t>LenaHernandez@gmail.com</t>
  </si>
  <si>
    <t>RichardBierner@gmail.com</t>
  </si>
  <si>
    <t>Tops Wirebound Message Log Books</t>
  </si>
  <si>
    <t>G.E. Longer-Life Indoor Recessed Floodlight Bulbs</t>
  </si>
  <si>
    <t>Hon 61000 Series Interactive Training Tables</t>
  </si>
  <si>
    <t>ChristineSundaresam@gmail.com</t>
  </si>
  <si>
    <t>Avery 483</t>
  </si>
  <si>
    <t>Dixon Ticonderoga Maple Cedar Pencil, #2</t>
  </si>
  <si>
    <t>Acme Forged Steel Scissors with Black Enamel Handles</t>
  </si>
  <si>
    <t>TheresaSwint@gmail.com</t>
  </si>
  <si>
    <t>BenjaminVenier@gmail.com</t>
  </si>
  <si>
    <t>NickRadford@gmail.com</t>
  </si>
  <si>
    <t>Tyvek Interoffice Envelopes, 9 1/2" x 12 1/2", 100/Box</t>
  </si>
  <si>
    <t>BIC Liqua Brite Liner</t>
  </si>
  <si>
    <t>Kleencut Forged Office Shears by Acme United Corporation</t>
  </si>
  <si>
    <t>Newell 313</t>
  </si>
  <si>
    <t>Bush Westfield Collection Bookcases, Dark Cherry Finish</t>
  </si>
  <si>
    <t>Logitech Keyboard K120</t>
  </si>
  <si>
    <t>Master Caster Door Stop, Large Neon Orange</t>
  </si>
  <si>
    <t>DAX Wood Document Frame</t>
  </si>
  <si>
    <t>Xerox 1932</t>
  </si>
  <si>
    <t>Avery Personal Creations Heavyweight Cards</t>
  </si>
  <si>
    <t>MonicaFederle@gmail.com</t>
  </si>
  <si>
    <t>NathanGelder@gmail.com</t>
  </si>
  <si>
    <t>Personal Folder Holder, Ebony</t>
  </si>
  <si>
    <t>JimEpp@gmail.com</t>
  </si>
  <si>
    <t>Acco 3-Hole Punch</t>
  </si>
  <si>
    <t>Plantronics 81402</t>
  </si>
  <si>
    <t>Avery Hi-Liter EverBold Pen Style Fluorescent Highlighters, 4/Pack</t>
  </si>
  <si>
    <t>Hunt BOSTON Vista Battery-Operated Pencil Sharpener, Black</t>
  </si>
  <si>
    <t>Hon Deluxe Fabric Upholstered Stacking Chairs, Rounded Back</t>
  </si>
  <si>
    <t>Hunt PowerHouse Electric Pencil Sharpener, Blue</t>
  </si>
  <si>
    <t>Woodgrain Magazine Files by Perma</t>
  </si>
  <si>
    <t>Deflect-o EconoMat Nonstudded, No Bevel Mat</t>
  </si>
  <si>
    <t>Space Solutions HD Industrial Steel Shelving.</t>
  </si>
  <si>
    <t>Green Canvas Binder for 8-1/2" x 14" Sheets</t>
  </si>
  <si>
    <t>Newell 323</t>
  </si>
  <si>
    <t>EdwardHooks@gmail.com</t>
  </si>
  <si>
    <t>Sanford EarthWrite Recycled Pencils, Medium Soft, #2</t>
  </si>
  <si>
    <t>Tennsco Snap-Together Open Shelving Units, Starter Sets and Add-On Units</t>
  </si>
  <si>
    <t>SheriGordon@gmail.com</t>
  </si>
  <si>
    <t>ChristineAbelman@gmail.com</t>
  </si>
  <si>
    <t xml:space="preserve">Iceberg Mobile Mega Data/Printer Cart </t>
  </si>
  <si>
    <t>Fiskars Spring-Action Scissors</t>
  </si>
  <si>
    <t>Newell 309</t>
  </si>
  <si>
    <t>KarenSeio@gmail.com</t>
  </si>
  <si>
    <t>SmartStand Mobile Device Holder, Assorted Colors</t>
  </si>
  <si>
    <t>BrianDahlen@gmail.com</t>
  </si>
  <si>
    <t>14-7/8 x 11 Blue Bar Computer Printout Paper</t>
  </si>
  <si>
    <t>Advantus Push Pins</t>
  </si>
  <si>
    <t>JoyDaniels@gmail.com</t>
  </si>
  <si>
    <t>Avery 519</t>
  </si>
  <si>
    <t>Belkin 8-Outlet Premiere SurgeMaster II Surge Protectors</t>
  </si>
  <si>
    <t>Xerox 1909</t>
  </si>
  <si>
    <t>TracyCollins@gmail.com</t>
  </si>
  <si>
    <t>Grandstream GXP2100 Mainstream Business Phone</t>
  </si>
  <si>
    <t>AaronBergman@gmail.com</t>
  </si>
  <si>
    <t>Global Push Button Manager's Chair, Indigo</t>
  </si>
  <si>
    <t>Permanent Self-Adhesive File Folder Labels for Typewriters by Universal</t>
  </si>
  <si>
    <t>CraigLeslie@gmail.com</t>
  </si>
  <si>
    <t>Wilson Jones Impact Binders</t>
  </si>
  <si>
    <t>ArthurWiediger@gmail.com</t>
  </si>
  <si>
    <t>Acco Suede Grain Vinyl Round Ring Binder</t>
  </si>
  <si>
    <t>SampleCompanyA@gmail.com</t>
  </si>
  <si>
    <t>AT&amp;T 1080 Phone</t>
  </si>
  <si>
    <t>AdamBellavance@gmail.com</t>
  </si>
  <si>
    <t>Logitech G600 MMO Gaming Mouse</t>
  </si>
  <si>
    <t>CindyChapman@gmail.com</t>
  </si>
  <si>
    <t>Astroparche Fine Business Paper</t>
  </si>
  <si>
    <t>ShahidShariari@gmail.com</t>
  </si>
  <si>
    <t>Eldon 100 Class Desk Accessories</t>
  </si>
  <si>
    <t>Acme Box Cutter Scissors</t>
  </si>
  <si>
    <t>Eldon Expressions Wood and Plastic Desk Accessories, Oak</t>
  </si>
  <si>
    <t>Newell 339</t>
  </si>
  <si>
    <t>Acme Office Executive Series Stainless Steel Trimmers</t>
  </si>
  <si>
    <t>ArianneIrving@gmail.com</t>
  </si>
  <si>
    <t>Embossed Ink Jet Note Cards</t>
  </si>
  <si>
    <t>Belkin F9S820V06 8 Outlet Surge</t>
  </si>
  <si>
    <t>Howard Miller 11-1/2" Diameter Ridgewood Wall Clock</t>
  </si>
  <si>
    <t>Xerox 1933</t>
  </si>
  <si>
    <t>Xerox 1928</t>
  </si>
  <si>
    <t>TonjaTurnell@gmail.com</t>
  </si>
  <si>
    <t>Newell 347</t>
  </si>
  <si>
    <t>MickBrown@gmail.com</t>
  </si>
  <si>
    <t>BradleyDrucker@gmail.com</t>
  </si>
  <si>
    <t>Hammermill CopyPlus Copy Paper (20Lb. and 84 Bright)</t>
  </si>
  <si>
    <t>JillMatthias@gmail.com</t>
  </si>
  <si>
    <t>Bagged Rubber Bands</t>
  </si>
  <si>
    <t>ParhenaNorris@gmail.com</t>
  </si>
  <si>
    <t>Cardinal Hold-It CD Pocket</t>
  </si>
  <si>
    <t>Nu-Dell Executive Frame</t>
  </si>
  <si>
    <t>Wilson Jones Standard D-Ring Binders</t>
  </si>
  <si>
    <t>ShaunWeien@gmail.com</t>
  </si>
  <si>
    <t>JamesLanier@gmail.com</t>
  </si>
  <si>
    <t>Acrylic Self-Standing Desk Frames</t>
  </si>
  <si>
    <t>LukeSchmidt@gmail.com</t>
  </si>
  <si>
    <t>Panasonic KX-TG6844B Expandable Digital Cordless Telephone</t>
  </si>
  <si>
    <t>Plantronics MX500i Earset</t>
  </si>
  <si>
    <t>Novimex Turbo Task Chair</t>
  </si>
  <si>
    <t>FredChung@gmail.com</t>
  </si>
  <si>
    <t>Aastra 57i VoIP phone</t>
  </si>
  <si>
    <t>DarrenKoutras@gmail.com</t>
  </si>
  <si>
    <t>Peel &amp; Seel Recycled Catalog Envelopes, Brown</t>
  </si>
  <si>
    <t>Strathmore #10 Envelopes, Ultimate White</t>
  </si>
  <si>
    <t>LF Elite 3D Dazzle Designer Hard Case Cover, Lf Stylus Pen and Wiper For Apple Iphone 5c Mini Lite</t>
  </si>
  <si>
    <t>RichardEichhorn@gmail.com</t>
  </si>
  <si>
    <t>Xerox 1893</t>
  </si>
  <si>
    <t>SpineVue Locking Slant-D Ring Binders by Cardinal</t>
  </si>
  <si>
    <t>Advantus Employee of the Month Certificate Frame, 11 x 13-1/2</t>
  </si>
  <si>
    <t>TonyMolinari@gmail.com</t>
  </si>
  <si>
    <t>EugeneBarchas@gmail.com</t>
  </si>
  <si>
    <t>Stur-D-Stor Shelving, Vertical 5-Shelf: 72"H x 36"W x 18 1/2"D</t>
  </si>
  <si>
    <t>CandaceMcMahon@gmail.com</t>
  </si>
  <si>
    <t>Acme Design Stainless Steel Bent Scissors</t>
  </si>
  <si>
    <t>BarryFranzÃ¶sisch@gmail.com</t>
  </si>
  <si>
    <t>Barricks Non-Folding Utility Table with Steel Legs, Laminate Tops</t>
  </si>
  <si>
    <t>XtraLife ClearVue Slant-D Ring Binders by Cardinal</t>
  </si>
  <si>
    <t>EvaJacobs@gmail.com</t>
  </si>
  <si>
    <t>Catalog Binders with Expanding Posts</t>
  </si>
  <si>
    <t>DelfinaLatchford@gmail.com</t>
  </si>
  <si>
    <t>Wirebound Message Books, 2 7/8" x 5", 3 Forms per Page</t>
  </si>
  <si>
    <t>Xerox 1882</t>
  </si>
  <si>
    <t>Commercial WindTunnel Clean Air Upright Vacuum, Replacement Belts, Filtration Bags</t>
  </si>
  <si>
    <t>CassandraBrandow@gmail.com</t>
  </si>
  <si>
    <t>6" Cubicle Wall Clock, Black</t>
  </si>
  <si>
    <t>Avery 51</t>
  </si>
  <si>
    <t>Seth Thomas 16" Steel Case Clock</t>
  </si>
  <si>
    <t>LycorisSaunders@gmail.com</t>
  </si>
  <si>
    <t>AnthonyJacobs@gmail.com</t>
  </si>
  <si>
    <t>Pressboard Data Binders by Wilson Jones</t>
  </si>
  <si>
    <t>AaronHawkins@gmail.com</t>
  </si>
  <si>
    <t>Iceberg Nesting Folding Chair, 19w x 6d x 43h</t>
  </si>
  <si>
    <t>EcoTones Memo Sheets</t>
  </si>
  <si>
    <t>AndyReiter@gmail.com</t>
  </si>
  <si>
    <t>Akro Stacking Bins</t>
  </si>
  <si>
    <t>Boston KS Multi-Size Manual Pencil Sharpener</t>
  </si>
  <si>
    <t>Personal File Boxes with Fold-Down Carry Handle</t>
  </si>
  <si>
    <t>RoyPhan@gmail.com</t>
  </si>
  <si>
    <t>Array Memo Cubes</t>
  </si>
  <si>
    <t>Texas Instruments TI-34 Scientific Calculator</t>
  </si>
  <si>
    <t>Avery 493</t>
  </si>
  <si>
    <t>JohnGrady@gmail.com</t>
  </si>
  <si>
    <t>MattConnell@gmail.com</t>
  </si>
  <si>
    <t>Bush Somerset Collection Bookcase</t>
  </si>
  <si>
    <t>MuhammedLee@gmail.com</t>
  </si>
  <si>
    <t>Logitech M510 Wireless Mouse</t>
  </si>
  <si>
    <t>Acco Clips to Go Binder Clips, 24 Clips in Two Sizes</t>
  </si>
  <si>
    <t>DeniseMonton@gmail.com</t>
  </si>
  <si>
    <t>Standard Line Â“While You Were OutÂ” Hardbound Telephone Message Book</t>
  </si>
  <si>
    <t>SAFCO Mobile Desk Side File, Wire Frame</t>
  </si>
  <si>
    <t>Kingston Digital DataTraveler 64GB USB 2.0</t>
  </si>
  <si>
    <t>LogitechÂ Z-906 Speaker sys - home theater - 5.1-CH</t>
  </si>
  <si>
    <t>3M Polarizing Light Filter Sleeves</t>
  </si>
  <si>
    <t>MarcHarrigan@gmail.com</t>
  </si>
  <si>
    <t>Bush Heritage Pine Collection 5-Shelf Bookcase, Albany Pine Finish, *Special Order</t>
  </si>
  <si>
    <t>Tenex File Box, Personal Filing Tote with Lid, Black</t>
  </si>
  <si>
    <t>LarryHughes@gmail.com</t>
  </si>
  <si>
    <t>Sanyo Counter Height Refrigerator with Crisper, 3.6 Cubic Foot, Stainless Steel/Black</t>
  </si>
  <si>
    <t>NETGEAR N750 Dual Band Wi-Fi Gigabit Router</t>
  </si>
  <si>
    <t>Unpadded Memo Slips</t>
  </si>
  <si>
    <t>Fiskars 8" Scissors, 2/Pack</t>
  </si>
  <si>
    <t>Acco Glide Clips</t>
  </si>
  <si>
    <t>Bush Cubix Conference Tables, Fully Assembled</t>
  </si>
  <si>
    <t>TOPS Carbonless Receipt Book, Four 2-3/4 x 7-1/4 Money Receipts per Page</t>
  </si>
  <si>
    <t>DeanBraden@gmail.com</t>
  </si>
  <si>
    <t>Xerox 217</t>
  </si>
  <si>
    <t>OIC Stacking Trays</t>
  </si>
  <si>
    <t>Tennsco Industrial Shelving</t>
  </si>
  <si>
    <t>O'Sullivan 2-Shelf Heavy-Duty Bookcases</t>
  </si>
  <si>
    <t>Digium D40 VoIP phone</t>
  </si>
  <si>
    <t>KeyTronicÂ E03601U1 -Â KeyboardÂ - Beige</t>
  </si>
  <si>
    <t>DuaneHuffman@gmail.com</t>
  </si>
  <si>
    <t>Xerox 1925</t>
  </si>
  <si>
    <t>JenniferHalladay@gmail.com</t>
  </si>
  <si>
    <t>Message Book, Wirebound, Four 5 1/2" X 4" Forms/Pg., 200 Dupl. Sets/Book</t>
  </si>
  <si>
    <t>TOPS 4 x 6 Fluorescent Color Memo Sheets, 500 Sheets per Pack</t>
  </si>
  <si>
    <t>ChlorisKastensmidt@gmail.com</t>
  </si>
  <si>
    <t>Acco 6 Outlet Guardian Premium Surge Suppressor</t>
  </si>
  <si>
    <t>ErinAshbrook@gmail.com</t>
  </si>
  <si>
    <t>Faber Castell Col-Erase Pencils</t>
  </si>
  <si>
    <t>Colored Push Pins</t>
  </si>
  <si>
    <t>SAFCO PlanMaster Boards, 60w x 37-1/2d, White Melamine</t>
  </si>
  <si>
    <t>Motorla HX550 Universal Bluetooth Headset</t>
  </si>
  <si>
    <t>Xerox 20</t>
  </si>
  <si>
    <t>RoyFranzÃ¶sisch@gmail.com</t>
  </si>
  <si>
    <t>Newell 35</t>
  </si>
  <si>
    <t>Stackable Trays</t>
  </si>
  <si>
    <t>Fellowes High-Stak Drawer Files</t>
  </si>
  <si>
    <t>ArtFerguson@gmail.com</t>
  </si>
  <si>
    <t>LogitechÂ VX Revolution Cordless Laser Mouse for Notebooks (Black)</t>
  </si>
  <si>
    <t>PaulProst@gmail.com</t>
  </si>
  <si>
    <t>Kensington Expert Mouse Optical USB Trackball for PC or Mac</t>
  </si>
  <si>
    <t>JoyBell-@gmail.com</t>
  </si>
  <si>
    <t>Xerox 221</t>
  </si>
  <si>
    <t>Newell 312</t>
  </si>
  <si>
    <t>Black Print Carbonless 8 1/2" x 8 1/4" Rapid Memo Book</t>
  </si>
  <si>
    <t>Iceberg OfficeWorks 42" Round Tables</t>
  </si>
  <si>
    <t>Electrix 20W Halogen Replacement Bulb for Zoom-In Desk Lamp</t>
  </si>
  <si>
    <t>Logitech G35 7.1-Channel Surround Sound Headset</t>
  </si>
  <si>
    <t>Luxo Adjustable Task Clamp Lamp</t>
  </si>
  <si>
    <t>Dexim XPower Skin Super-Thin Power Case for iPhone 5 - Black</t>
  </si>
  <si>
    <t>PatrickJones@gmail.com</t>
  </si>
  <si>
    <t>I Need's 3d Hello Kitty Hybrid Silicone Case Cover for HTC One X 4g with 3d Hello Kitty Stylus Pen Green/pink</t>
  </si>
  <si>
    <t>AmyHunt@gmail.com</t>
  </si>
  <si>
    <t>DorothyWardle@gmail.com</t>
  </si>
  <si>
    <t>Eldon Expressions Desk Accessory, Wood Pencil Holder, Oak</t>
  </si>
  <si>
    <t>BeckyPak@gmail.com</t>
  </si>
  <si>
    <t>DaveHallsten@gmail.com</t>
  </si>
  <si>
    <t>Xerox 1975</t>
  </si>
  <si>
    <t>DAX Black Cherry Wood-Tone Poster Frame</t>
  </si>
  <si>
    <t>StarTech.com 10/100 VDSL2 Ethernet Extender Kit</t>
  </si>
  <si>
    <t>Avery 475</t>
  </si>
  <si>
    <t>Avery 476</t>
  </si>
  <si>
    <t>JuliePrescott@gmail.com</t>
  </si>
  <si>
    <t>Belkin 19" Center-Weighted Shelf, Gray</t>
  </si>
  <si>
    <t>BethPaige@gmail.com</t>
  </si>
  <si>
    <t>Hon Comfortask Task/Swivel Chairs</t>
  </si>
  <si>
    <t>JM Magazine Binder</t>
  </si>
  <si>
    <t>Xerox 1915</t>
  </si>
  <si>
    <t>JohnDryer@gmail.com</t>
  </si>
  <si>
    <t>Vtech AT&amp;T CL2940 Corded Speakerphone, Black</t>
  </si>
  <si>
    <t>Peel &amp; Seel Envelopes</t>
  </si>
  <si>
    <t>Black Print Carbonless Snap-Off Rapid Letter, 8 1/2" x 7"</t>
  </si>
  <si>
    <t>JulianaKrohn@gmail.com</t>
  </si>
  <si>
    <t>Acme Softgrip Scissors</t>
  </si>
  <si>
    <t>JustinDeggeller@gmail.com</t>
  </si>
  <si>
    <t>Tenex B1-RE Series Chair Mats for Low Pile Carpets</t>
  </si>
  <si>
    <t>CharlesSheldon@gmail.com</t>
  </si>
  <si>
    <t>Compact Automatic Electric Letter Opener</t>
  </si>
  <si>
    <t>Hoover Commercial Soft Guard Upright Vacuum And Disposable Filtration Bags</t>
  </si>
  <si>
    <t>DougO'Connell@gmail.com</t>
  </si>
  <si>
    <t>Griffin GC17055 Auxiliary Audio Cable</t>
  </si>
  <si>
    <t>Rogers Profile Extra Capacity Storage Tub</t>
  </si>
  <si>
    <t>BrianStugart@gmail.com</t>
  </si>
  <si>
    <t>RCA ViSYS 25825 Wireless digital phone</t>
  </si>
  <si>
    <t>Carina Media Storage Towers in Natural &amp; Black</t>
  </si>
  <si>
    <t>DAX Contemporary Wood Frame with Silver Metal Mat, Desktop, 11 x 14 Size</t>
  </si>
  <si>
    <t>Fellowes Recycled Storage Drawers</t>
  </si>
  <si>
    <t>Xerox 203</t>
  </si>
  <si>
    <t>Office Star - Contemporary Swivel Chair with Padded Adjustable Arms and Flex Back</t>
  </si>
  <si>
    <t>JoeKamberova@gmail.com</t>
  </si>
  <si>
    <t>Xerox 1945</t>
  </si>
  <si>
    <t>Westinghouse Mesh Shade Clip-On Gooseneck Lamp, Black</t>
  </si>
  <si>
    <t>LynnSmith@gmail.com</t>
  </si>
  <si>
    <t>Avery Non-Stick Heavy Duty View Round Locking Ring Binders</t>
  </si>
  <si>
    <t>KeithDawkins@gmail.com</t>
  </si>
  <si>
    <t>Cardinal Poly Pocket Divider Pockets for Ring Binders</t>
  </si>
  <si>
    <t>Avery 503</t>
  </si>
  <si>
    <t>GBC VeloBind Cover Sets</t>
  </si>
  <si>
    <t>Holmes Cool Mist Humidifier for the Whole House with 8-Gallon Output per Day, Extended Life Filter</t>
  </si>
  <si>
    <t>SteveCarroll@gmail.com</t>
  </si>
  <si>
    <t>GiuliettaDortch@gmail.com</t>
  </si>
  <si>
    <t>OtterBox Defender Series Case - Samsung Galaxy S4</t>
  </si>
  <si>
    <t>RobertWaldorf@gmail.com</t>
  </si>
  <si>
    <t>JanetMolinari@gmail.com</t>
  </si>
  <si>
    <t>Eldon 200 Class Desk Accessories, Smoke</t>
  </si>
  <si>
    <t>SanDisk Cruzer 32 GB USB Flash Drive</t>
  </si>
  <si>
    <t>Xerox 23</t>
  </si>
  <si>
    <t>Portable Personal File Box</t>
  </si>
  <si>
    <t>Euro-Pro Shark Turbo Vacuum</t>
  </si>
  <si>
    <t>Security-Tint Envelopes</t>
  </si>
  <si>
    <t>Hon 4070 Series Pagoda Round Back Stacking Chairs</t>
  </si>
  <si>
    <t>MattAbelman@gmail.com</t>
  </si>
  <si>
    <t>LisaRyan@gmail.com</t>
  </si>
  <si>
    <t>Acme Kleencut Forged Steel Scissors</t>
  </si>
  <si>
    <t>Companion Letter/Legal File, Black</t>
  </si>
  <si>
    <t>Plantronics Encore H101 Dual EarpiecesÂ Headset</t>
  </si>
  <si>
    <t>Xerox 189</t>
  </si>
  <si>
    <t>Xerox 1897</t>
  </si>
  <si>
    <t>Nu-Dell Leatherette Frames</t>
  </si>
  <si>
    <t>SusanVittorini@gmail.com</t>
  </si>
  <si>
    <t>AT&amp;T 841000 Phone</t>
  </si>
  <si>
    <t>RandyFerguson@gmail.com</t>
  </si>
  <si>
    <t>Electrix Incandescent Magnifying Lamp, Black</t>
  </si>
  <si>
    <t>AllenGoldenen@gmail.com</t>
  </si>
  <si>
    <t>Xerox 1929</t>
  </si>
  <si>
    <t>Zebra GX420t Direct Thermal/Thermal Transfer Printer</t>
  </si>
  <si>
    <t>Cisco SPA 502G IP Phone</t>
  </si>
  <si>
    <t>Rediform Voice Mail Log Books</t>
  </si>
  <si>
    <t>Apple iPhone 5</t>
  </si>
  <si>
    <t>Xerox 194</t>
  </si>
  <si>
    <t>AnnChong@gmail.com</t>
  </si>
  <si>
    <t>Master Caster Door Stop, Gray</t>
  </si>
  <si>
    <t>Socket Bluetooth Cordless Hand Scanner (CHS)</t>
  </si>
  <si>
    <t>CathyPrescott@gmail.com</t>
  </si>
  <si>
    <t>Important Message Pads, 50 4-1/4 x 5-1/2 Forms per Pad</t>
  </si>
  <si>
    <t>G.E. Halogen Desk Lamp Bulbs</t>
  </si>
  <si>
    <t>Okidata B400 Printer</t>
  </si>
  <si>
    <t>JustinRitter@gmail.com</t>
  </si>
  <si>
    <t>Peel-Off China Markers</t>
  </si>
  <si>
    <t>SaphhiraShifley@gmail.com</t>
  </si>
  <si>
    <t>Xerox 1947</t>
  </si>
  <si>
    <t>AnthonyO'Donnell@gmail.com</t>
  </si>
  <si>
    <t>Barricks 18" x 48" Non-Folding Utility Table with Bottom Storage Shelf</t>
  </si>
  <si>
    <t>NathanCano@gmail.com</t>
  </si>
  <si>
    <t>KhloeMiller@gmail.com</t>
  </si>
  <si>
    <t>AnnaChung@gmail.com</t>
  </si>
  <si>
    <t>JasonGross@gmail.com</t>
  </si>
  <si>
    <t>Rogers Deluxe File Chest</t>
  </si>
  <si>
    <t>Fellowes Staxonsteel Drawer Files</t>
  </si>
  <si>
    <t>MitchWebber@gmail.com</t>
  </si>
  <si>
    <t>Fellowes PB300 Plastic Comb Binding Machine</t>
  </si>
  <si>
    <t>Avery 48</t>
  </si>
  <si>
    <t>Bush Cubix Collection Bookcases, Fully Assembled</t>
  </si>
  <si>
    <t>Global Highback Leather Tilter in Burgundy</t>
  </si>
  <si>
    <t>JenniferFerguson@gmail.com</t>
  </si>
  <si>
    <t>Office Star - Contemporary Task Swivel Chair</t>
  </si>
  <si>
    <t>iOttie XL Car Mount</t>
  </si>
  <si>
    <t>Eldon Cleatmat Chair Mats for Medium Pile Carpets</t>
  </si>
  <si>
    <t>XtraLife ClearVue Slant-D Ring Binder, White, 3"</t>
  </si>
  <si>
    <t>ClayRozendal@gmail.com</t>
  </si>
  <si>
    <t>AmazonBasics 3-Button USB Wired Mouse</t>
  </si>
  <si>
    <t>RoseO'Brian@gmail.com</t>
  </si>
  <si>
    <t>BrendaBowman@gmail.com</t>
  </si>
  <si>
    <t>Anker Astro 15000mAh USB Portable Charger</t>
  </si>
  <si>
    <t>Office Star - Mid Back Dual function Ergonomic High Back Chair with 2-Way Adjustable Arms</t>
  </si>
  <si>
    <t>Panasonic KP-380BK Classic Electric Pencil Sharpener</t>
  </si>
  <si>
    <t>Eldon Image Series Black Desk Accessories</t>
  </si>
  <si>
    <t>First Data TMFD35 PIN Pad</t>
  </si>
  <si>
    <t>Round Specialty Laser Printer Labels</t>
  </si>
  <si>
    <t>Cyber Acoustics AC-202b Speech Recognition Stereo Headset</t>
  </si>
  <si>
    <t>AnnieZypern@gmail.com</t>
  </si>
  <si>
    <t>Boston 1730 StandUp Electric Pencil Sharpener</t>
  </si>
  <si>
    <t>SylviaFoulston@gmail.com</t>
  </si>
  <si>
    <t>Plastic Binding Combs</t>
  </si>
  <si>
    <t>Contemporary Borderless Frame</t>
  </si>
  <si>
    <t>Office Star - Contemporary Task Swivel chair with Loop Arms, Charcoal</t>
  </si>
  <si>
    <t>Southworth 25% Cotton Premium Laser Paper and Envelopes</t>
  </si>
  <si>
    <t>LizWillingham@gmail.com</t>
  </si>
  <si>
    <t>NonaBalk@gmail.com</t>
  </si>
  <si>
    <t>Panasonic KX TS3282W Corded phone</t>
  </si>
  <si>
    <t>PatrickO'Brill@gmail.com</t>
  </si>
  <si>
    <t>GBC Twin Loop Wire Binding Elements, 9/16" Spine, Black</t>
  </si>
  <si>
    <t>Acme 10" Easy Grip Assistive Scissors</t>
  </si>
  <si>
    <t>Pressboard Hanging Data Binders for Unburst Sheets</t>
  </si>
  <si>
    <t>Xerox 212</t>
  </si>
  <si>
    <t>FrankCarlisle@gmail.com</t>
  </si>
  <si>
    <t>3D Systems Cube Printer, 2nd Generation, White</t>
  </si>
  <si>
    <t>Xerox 209</t>
  </si>
  <si>
    <t>Alliance Super-Size Bands, Assorted Sizes</t>
  </si>
  <si>
    <t>BartWatters@gmail.com</t>
  </si>
  <si>
    <t>Memorex Micro Travel Drive 16 GB</t>
  </si>
  <si>
    <t>RobertDilbeck@gmail.com</t>
  </si>
  <si>
    <t>Nokia Lumia 925</t>
  </si>
  <si>
    <t>ErinCreighton@gmail.com</t>
  </si>
  <si>
    <t>Maxell 74 Minute CDR, 10/Pack</t>
  </si>
  <si>
    <t>Fluorescent Highlighters by Dixon</t>
  </si>
  <si>
    <t>Avery 49</t>
  </si>
  <si>
    <t>Tenex 46" x 60" Computer Anti-Static Chairmat, Rectangular Shaped</t>
  </si>
  <si>
    <t>Belkin 5 Outlet SurgeMaster Power Centers</t>
  </si>
  <si>
    <t>Ames Color-File Green Diamond Border X-ray Mailers</t>
  </si>
  <si>
    <t>RogerDemir@gmail.com</t>
  </si>
  <si>
    <t>Xerox 1965</t>
  </si>
  <si>
    <t>Imation Bio 2GB USBÂ Flash Drive ImationÂ Corp</t>
  </si>
  <si>
    <t>Polycom VVX 310 VoIP phone</t>
  </si>
  <si>
    <t>Linden 12" Wall Clock With Oak Frame</t>
  </si>
  <si>
    <t>Xerox 1946</t>
  </si>
  <si>
    <t>Cisco SPA508G</t>
  </si>
  <si>
    <t>Fellowes Powershred HS-440 4-Sheet High Security Shredder</t>
  </si>
  <si>
    <t>MikeVittorini@gmail.com</t>
  </si>
  <si>
    <t>Avery 496</t>
  </si>
  <si>
    <t>Xerox 1914</t>
  </si>
  <si>
    <t>VictoriaPisteka@gmail.com</t>
  </si>
  <si>
    <t>Avery 516</t>
  </si>
  <si>
    <t>Xerox 1999</t>
  </si>
  <si>
    <t>Global Executive Mid-Back Manager's Chair</t>
  </si>
  <si>
    <t>SAFCO PlanMaster Heigh-Adjustable Drafting Table Base, 43w x 30d x 30-37h, Black</t>
  </si>
  <si>
    <t>OtterBox Commuter Series Case - Samsung Galaxy S4</t>
  </si>
  <si>
    <t>Fellowes 8 Outlet Superior Workstation Surge Protector</t>
  </si>
  <si>
    <t>Microsoft Wireless Mobile Mouse 4000</t>
  </si>
  <si>
    <t>GBC Linen Binding Covers</t>
  </si>
  <si>
    <t>SeanBraxton@gmail.com</t>
  </si>
  <si>
    <t>ShirleyDaniels@gmail.com</t>
  </si>
  <si>
    <t>HunterGlantz@gmail.com</t>
  </si>
  <si>
    <t>Wirebound Message Forms, Four 2 3/4 x 5 Forms per Page, Pink Paper</t>
  </si>
  <si>
    <t>Assorted Color Push Pins</t>
  </si>
  <si>
    <t>JBL Micro Wireless Portable Bluetooth Speaker</t>
  </si>
  <si>
    <t>Wilson Jones Elliptical Ring 3 1/2" Capacity Binders, 800 sheets</t>
  </si>
  <si>
    <t>Microsoft Natural Ergonomic Keyboard 4000</t>
  </si>
  <si>
    <t>Boston 16765 Mini Stand Up Battery Pencil Sharpener</t>
  </si>
  <si>
    <t>Newell 33</t>
  </si>
  <si>
    <t>Avery 487</t>
  </si>
  <si>
    <t>GBC Instant Report Kit</t>
  </si>
  <si>
    <t>BrianThompson@gmail.com</t>
  </si>
  <si>
    <t>Acco Recycled 2" Capacity Laser Printer Hanging Data Binders</t>
  </si>
  <si>
    <t>Acco Economy Flexible Poly Round Ring Binder</t>
  </si>
  <si>
    <t>Xerox 229</t>
  </si>
  <si>
    <t>IoniaMcGrath@gmail.com</t>
  </si>
  <si>
    <t>Panasonic KX MC6040 Color Laser Multifunction Printer</t>
  </si>
  <si>
    <t>Hypercom P1300 Pinpad</t>
  </si>
  <si>
    <t>Global Stack Chair with Arms, Black</t>
  </si>
  <si>
    <t>GBC DocuBind P400 Electric Binding System</t>
  </si>
  <si>
    <t>BrendanMurry@gmail.com</t>
  </si>
  <si>
    <t>Sony Micro Vault Click 4 GB USB 2.0 Flash Drive</t>
  </si>
  <si>
    <t>Executive Impressions 14" Two-Color Numerals Wall Clock</t>
  </si>
  <si>
    <t>TOPS Money Receipt Book, Consecutively Numbered in Red,</t>
  </si>
  <si>
    <t>NoraPaige@gmail.com</t>
  </si>
  <si>
    <t>GE 4 Foot Flourescent Tube, 40 Watt</t>
  </si>
  <si>
    <t>Rediform S.O.S. 1-Up Phone Message Bk, 4-1/4x3-1/16 Bk, 1 Form/Pg, 40 Messages/Bk, 3/Pk</t>
  </si>
  <si>
    <t>Global Wood Trimmed Manager's Task Chair, Khaki</t>
  </si>
  <si>
    <t>ScotCoram@gmail.com</t>
  </si>
  <si>
    <t>LogitechÂ Gaming G510s - Keyboard</t>
  </si>
  <si>
    <t>Anker Astro Mini 3000mAh Ultra-Compact Portable Charger</t>
  </si>
  <si>
    <t>Bretford CR8500 Series Meeting Room Furniture</t>
  </si>
  <si>
    <t>Xerox 1997</t>
  </si>
  <si>
    <t>Xerox 190</t>
  </si>
  <si>
    <t>Xerox 219</t>
  </si>
  <si>
    <t>Telephone Message Books with Fax/Mobile Section, 5 1/2" x 3 3/16"</t>
  </si>
  <si>
    <t>Surelock Post Binders</t>
  </si>
  <si>
    <t>BradNorvell@gmail.com</t>
  </si>
  <si>
    <t>Samsung Galaxy S4</t>
  </si>
  <si>
    <t>Bush Westfield Collection Bookcases, Medium Cherry Finish</t>
  </si>
  <si>
    <t>EricMurdock@gmail.com</t>
  </si>
  <si>
    <t>ElizabethMoffitt@gmail.com</t>
  </si>
  <si>
    <t>LogitechÂ MX Performance Wireless Mouse</t>
  </si>
  <si>
    <t>StefanieHolloman@gmail.com</t>
  </si>
  <si>
    <t>BryanMills@gmail.com</t>
  </si>
  <si>
    <t>BeckyMartin@gmail.com</t>
  </si>
  <si>
    <t>Avery 495</t>
  </si>
  <si>
    <t>Xerox 1884</t>
  </si>
  <si>
    <t>Cherry 142-key Programmable Keyboard</t>
  </si>
  <si>
    <t>RussellD'Ascenzo@gmail.com</t>
  </si>
  <si>
    <t>Motorola L703CM</t>
  </si>
  <si>
    <t>HenryMacAllister@gmail.com</t>
  </si>
  <si>
    <t>HTC One Mini</t>
  </si>
  <si>
    <t>Laser &amp; Ink Jet Business Envelopes</t>
  </si>
  <si>
    <t>Xerox 1916</t>
  </si>
  <si>
    <t>ThomasBrumley@gmail.com</t>
  </si>
  <si>
    <t>12 Colored Short Pencils</t>
  </si>
  <si>
    <t>Polycom VoiceStation 500 ConferenceÂ phone</t>
  </si>
  <si>
    <t>Electrix Halogen Magnifier Lamp</t>
  </si>
  <si>
    <t>SeanO'Donnell@gmail.com</t>
  </si>
  <si>
    <t>DanielByrd@gmail.com</t>
  </si>
  <si>
    <t>Xerox 1976</t>
  </si>
  <si>
    <t>Acme Titanium Bonded Scissors</t>
  </si>
  <si>
    <t>NathanMautz@gmail.com</t>
  </si>
  <si>
    <t>Recycled Easel Ring Binders</t>
  </si>
  <si>
    <t>Black Avery Memo-Size 3-Ring Binder, 5 1/2" x 8 1/2"</t>
  </si>
  <si>
    <t>Panasonic KX T7736-B Digital phone</t>
  </si>
  <si>
    <t>SallyMatthias@gmail.com</t>
  </si>
  <si>
    <t>24 Capacity Maxi Data Binder Racks, Pearl</t>
  </si>
  <si>
    <t>Global Adaptabilities Conference Tables</t>
  </si>
  <si>
    <t>Avery Poly Binder Pockets</t>
  </si>
  <si>
    <t>Xerox 1983</t>
  </si>
  <si>
    <t>Eldon Mobile Mega Data Cart  Mega Stackable  Add-On Trays</t>
  </si>
  <si>
    <t>SperosGoranitis@gmail.com</t>
  </si>
  <si>
    <t>DAX Solid Wood Frames</t>
  </si>
  <si>
    <t>ChadMcGuire@gmail.com</t>
  </si>
  <si>
    <t>Ricoh - Ink Collector Unit for GX3000 Series Printers</t>
  </si>
  <si>
    <t>Ibico Recycled Linen-Style Covers</t>
  </si>
  <si>
    <t>RaymondBuch@gmail.com</t>
  </si>
  <si>
    <t>SeanChristensen@gmail.com</t>
  </si>
  <si>
    <t>Eldon 500 Class Desk Accessories</t>
  </si>
  <si>
    <t>RobLucas@gmail.com</t>
  </si>
  <si>
    <t>SarahBern@gmail.com</t>
  </si>
  <si>
    <t>Logitech Wireless Anywhere Mouse MX for PC and Mac</t>
  </si>
  <si>
    <t>GeorgeZrebassa@gmail.com</t>
  </si>
  <si>
    <t>Sauder Forest Hills Library with Doors, Woodland Oak Finish</t>
  </si>
  <si>
    <t>Eureka Sanitaire  Multi-Pro Heavy-Duty Upright, Disposable Bags</t>
  </si>
  <si>
    <t>Griffin GC36547 PowerJolt SE Lightning Charger</t>
  </si>
  <si>
    <t>Swingline SM12-08 MicroCut Jam Free Shredder</t>
  </si>
  <si>
    <t>Verbatim 25 GB 6x Blu-ray Single Layer Recordable Disc, 10/Pack</t>
  </si>
  <si>
    <t>ChristyBrittain@gmail.com</t>
  </si>
  <si>
    <t>DAX Cubicle Frames, 8-1/2 x 11</t>
  </si>
  <si>
    <t>DAX Metal Frame, Desktop, Stepped-Edge</t>
  </si>
  <si>
    <t>KatharineHarms@gmail.com</t>
  </si>
  <si>
    <t>Eureka The Boss Lite 10-Amp Upright Vacuum, Blue</t>
  </si>
  <si>
    <t>Tenex Personal Filing Tote With Secure Closure Lid, Black/Frost</t>
  </si>
  <si>
    <t>Memorex Mini Travel Drive 16 GB USB 2.0 Flash Drive</t>
  </si>
  <si>
    <t>Xerox 206</t>
  </si>
  <si>
    <t>Acme Galleria Hot Forged Steel Scissors with Colored Handles</t>
  </si>
  <si>
    <t>DorothyDickinson@gmail.com</t>
  </si>
  <si>
    <t>Adams Phone Message Book, 200 Message Capacity, 8 1/16Â” x 11Â”</t>
  </si>
  <si>
    <t>LG G3</t>
  </si>
  <si>
    <t>Tensor Brushed Steel Torchiere Floor Lamp</t>
  </si>
  <si>
    <t>Eldon Expressions Punched Metal &amp; Wood Desk Accessories, Black &amp; Cherry</t>
  </si>
  <si>
    <t>JanetLee@gmail.com</t>
  </si>
  <si>
    <t>Hon 2111 Invitation Series Straight Table</t>
  </si>
  <si>
    <t>Canon PC-428 Personal Copier</t>
  </si>
  <si>
    <t>Eberhard Faber 3 1/2" Golf Pencils</t>
  </si>
  <si>
    <t>Xerox 1900</t>
  </si>
  <si>
    <t>LaurelBeltran@gmail.com</t>
  </si>
  <si>
    <t>Globe Weis Peel &amp; Seel First Class Envelopes</t>
  </si>
  <si>
    <t>Seth Thomas 13 1/2" Wall Clock</t>
  </si>
  <si>
    <t>Deflect-o RollaMat Studded, Beveled Mat for Medium Pile Carpeting</t>
  </si>
  <si>
    <t>Eldon 200 Class Desk Accessories, Burgundy</t>
  </si>
  <si>
    <t>Manco Dry-Lighter Erasable Highlighter</t>
  </si>
  <si>
    <t>AT&amp;T CL83451 4-Handset Telephone</t>
  </si>
  <si>
    <t>ShahidHopkins@gmail.com</t>
  </si>
  <si>
    <t>AT&amp;T CL82213</t>
  </si>
  <si>
    <t>Global Manager's Adjustable Task Chair, Storm</t>
  </si>
  <si>
    <t>Hon 4-Shelf Metal Bookcases</t>
  </si>
  <si>
    <t>StevenWard@gmail.com</t>
  </si>
  <si>
    <t>Maxell 74 Minute CD-R Spindle, 50/Pack</t>
  </si>
  <si>
    <t>Boston 16701 Slimline Battery Pencil Sharpener</t>
  </si>
  <si>
    <t>Plantronics Single Ear Headset</t>
  </si>
  <si>
    <t>Newell 350</t>
  </si>
  <si>
    <t>Belkin Standard 104 key USB Keyboard</t>
  </si>
  <si>
    <t>Avery 506</t>
  </si>
  <si>
    <t>Zebra GK420t Direct Thermal/Thermal Transfer Printer</t>
  </si>
  <si>
    <t>Memorex 25GB 6X Branded Blu-Ray Recordable Disc, 15/Pack</t>
  </si>
  <si>
    <t>CarolAdams@gmail.com</t>
  </si>
  <si>
    <t>Avery Round Ring Poly Binders</t>
  </si>
  <si>
    <t>Global Comet Stacking Arm Chair</t>
  </si>
  <si>
    <t>PaulStevenson@gmail.com</t>
  </si>
  <si>
    <t>SoniaCooley@gmail.com</t>
  </si>
  <si>
    <t>TrudySchmidt@gmail.com</t>
  </si>
  <si>
    <t>Eureka The Boss Cordless Rechargeable Stick Vac</t>
  </si>
  <si>
    <t>StuartVan@gmail.com</t>
  </si>
  <si>
    <t>Avery Hi-Liter Smear-Safe Highlighters</t>
  </si>
  <si>
    <t>JoniBlumstein@gmail.com</t>
  </si>
  <si>
    <t>It's Hot Message Books with Stickers, 2 3/4" x 5"</t>
  </si>
  <si>
    <t>Hoover Commercial SteamVac</t>
  </si>
  <si>
    <t>DeirdreGreer@gmail.com</t>
  </si>
  <si>
    <t>CarlosMeador@gmail.com</t>
  </si>
  <si>
    <t>SaraLuxemburg@gmail.com</t>
  </si>
  <si>
    <t>MaureenGastineau@gmail.com</t>
  </si>
  <si>
    <t>Riverside Palais Royal Lawyers Bookcase, Royale Cherry Finish</t>
  </si>
  <si>
    <t>Shocksock Galaxy S4 Armband</t>
  </si>
  <si>
    <t>Panasonic KP-150 Electric Pencil Sharpener</t>
  </si>
  <si>
    <t>Xerox 193</t>
  </si>
  <si>
    <t>Ibico EPK-21 Electric Binding System</t>
  </si>
  <si>
    <t>PaulineWebber@gmail.com</t>
  </si>
  <si>
    <t>Polycom CX600 IP Phone VoIP phone</t>
  </si>
  <si>
    <t>Permanent Self-Adhesive File Folder Labels for Typewriters, 1 1/8 x 3 1/2, White</t>
  </si>
  <si>
    <t>Logitech G602 Wireless Gaming Mouse</t>
  </si>
  <si>
    <t>SeanMiller@gmail.com</t>
  </si>
  <si>
    <t>Xerox 1949</t>
  </si>
  <si>
    <t>Contico 72"H Heavy-Duty Storage System</t>
  </si>
  <si>
    <t>Xerox 1899</t>
  </si>
  <si>
    <t>Hon Metal Bookcases, Black</t>
  </si>
  <si>
    <t>DennisBolton@gmail.com</t>
  </si>
  <si>
    <t>Belkin 7-Outlet SurgeMaster Home Series</t>
  </si>
  <si>
    <t>DAX Two-Tone Silver Metal Document Frame</t>
  </si>
  <si>
    <t>Hoover Shoulder Vac Commercial Portable Vacuum</t>
  </si>
  <si>
    <t>Rogers Handheld Barrel Pencil Sharpener</t>
  </si>
  <si>
    <t>Acco Perma 4000 Stacking Storage Drawers</t>
  </si>
  <si>
    <t>MarkCousins@gmail.com</t>
  </si>
  <si>
    <t>Sanyo 2.5 Cubic Foot Mid-Size Office Refrigerators</t>
  </si>
  <si>
    <t>DAX Clear Channel Poster Frame</t>
  </si>
  <si>
    <t>CoreyCatlett@gmail.com</t>
  </si>
  <si>
    <t>Bush Westfield Collection Bookcases, Dark Cherry Finish, Fully Assembled</t>
  </si>
  <si>
    <t>iOttie HLCRIO102 Car Mount</t>
  </si>
  <si>
    <t>Avery Heavy-Duty EZD View Binder with Locking Rings</t>
  </si>
  <si>
    <t>Sauder Barrister Bookcases</t>
  </si>
  <si>
    <t>Wilson Jones 14 Line Acrylic Coated Pressboard Data Binders</t>
  </si>
  <si>
    <t>BillShonely@gmail.com</t>
  </si>
  <si>
    <t>KarenDaniels@gmail.com</t>
  </si>
  <si>
    <t>JohnCastell@gmail.com</t>
  </si>
  <si>
    <t>Padded Folding Chairs, Black, 4/Carton</t>
  </si>
  <si>
    <t>Hot File 7-Pocket, Floor Stand</t>
  </si>
  <si>
    <t>O'Sullivan 2-Door Barrister Bookcase in Odessa Pine</t>
  </si>
  <si>
    <t>Large Capacity Hanging Post Binders</t>
  </si>
  <si>
    <t>Okidata MB760 Printer</t>
  </si>
  <si>
    <t>SarahBrown@gmail.com</t>
  </si>
  <si>
    <t>Electrix Fluorescent Magnifier Lamps &amp; Weighted Base</t>
  </si>
  <si>
    <t>Magnifier Swing Arm Lamp</t>
  </si>
  <si>
    <t>Newell 348</t>
  </si>
  <si>
    <t>Avery 508</t>
  </si>
  <si>
    <t>Canon imageCLASS 2200 Advanced Copier</t>
  </si>
  <si>
    <t>Contemporary Wood/Metal Frame</t>
  </si>
  <si>
    <t>DanaKaydos@gmail.com</t>
  </si>
  <si>
    <t>Xerox 1937</t>
  </si>
  <si>
    <t>Grandstream GXP1160 VoIP phone</t>
  </si>
  <si>
    <t>Perixx PERIBOARD-512B, Ergonomic Split Keyboard</t>
  </si>
  <si>
    <t>Avery Legal 4-Ring Binder</t>
  </si>
  <si>
    <t>MuhammedYedwab@gmail.com</t>
  </si>
  <si>
    <t>Hon Every-Day Chair Series Swivel Task Chairs</t>
  </si>
  <si>
    <t>Binder Posts</t>
  </si>
  <si>
    <t>Acme Design Line 8" Stainless Steel Bent Scissors w/Champagne Handles, 3-1/8" Cut</t>
  </si>
  <si>
    <t>SethVernon@gmail.com</t>
  </si>
  <si>
    <t>Howard Miller Distant Time Traveler Alarm Clock</t>
  </si>
  <si>
    <t>Acco Perma 2700 Stacking Storage Drawers</t>
  </si>
  <si>
    <t>SuzanneMcNair@gmail.com</t>
  </si>
  <si>
    <t>Riverside Furniture Oval Coffee Table, Oval End Table, End Table with Drawer</t>
  </si>
  <si>
    <t>ResiPÃ¶lking@gmail.com</t>
  </si>
  <si>
    <t>MagdeleneMorse@gmail.com</t>
  </si>
  <si>
    <t>DanielRaglin@gmail.com</t>
  </si>
  <si>
    <t>Newell 335</t>
  </si>
  <si>
    <t>Hammermill Color Copier Paper (28Lb. and 96 Bright)</t>
  </si>
  <si>
    <t>BrendanDodson@gmail.com</t>
  </si>
  <si>
    <t>Adams Telephone Message Book w/Frequently-Called Numbers Space, 400 Messages per Book</t>
  </si>
  <si>
    <t>MariaEtezadi@gmail.com</t>
  </si>
  <si>
    <t>KarlBraun@gmail.com</t>
  </si>
  <si>
    <t>Revere Boxed Rubber Bands by Revere</t>
  </si>
  <si>
    <t>MarkHaberlin@gmail.com</t>
  </si>
  <si>
    <t>Eldon ImÃ ge Series Desk Accessories, Clear</t>
  </si>
  <si>
    <t>PeteArmstrong@gmail.com</t>
  </si>
  <si>
    <t>Logitech Wireless Gaming Headset G930</t>
  </si>
  <si>
    <t>BryanDavis@gmail.com</t>
  </si>
  <si>
    <t>ChrisMcAfee@gmail.com</t>
  </si>
  <si>
    <t>Southworth Parchment Paper &amp; Envelopes</t>
  </si>
  <si>
    <t>MarkHamilton@gmail.com</t>
  </si>
  <si>
    <t>OIC Thumb-Tacks</t>
  </si>
  <si>
    <t>Texas Instrument TI-15 Fraction Calculator</t>
  </si>
  <si>
    <t>NeilFranzÃ¶sisch@gmail.com</t>
  </si>
  <si>
    <t>Sterling Rubber Bands by Alliance</t>
  </si>
  <si>
    <t>Belkin iPhone and iPad Lightning Cable</t>
  </si>
  <si>
    <t>Executive Impressions Supervisor Wall Clock</t>
  </si>
  <si>
    <t>Eldon Antistatic Chair Mats for Low to Medium Pile Carpets</t>
  </si>
  <si>
    <t>HP Officejet Pro 8600 e-All-In-One Printer, Copier, Scanner, Fax</t>
  </si>
  <si>
    <t>FrankOlsen@gmail.com</t>
  </si>
  <si>
    <t>Lunatik TT5L-002 Taktik Strike Impact Protection System for iPhone 5</t>
  </si>
  <si>
    <t>Panasonic KX TS208W Corded phone</t>
  </si>
  <si>
    <t>Wi-Ex zBoost YX540 Cellular Phone Signal Booster</t>
  </si>
  <si>
    <t>Maxell 4.7GB DVD+RW 3/Pack</t>
  </si>
  <si>
    <t>GBC Instant Index System for Binding Systems</t>
  </si>
  <si>
    <t>SAFCO Commercial Wire Shelving, Black</t>
  </si>
  <si>
    <t>LindsayCastell@gmail.com</t>
  </si>
  <si>
    <t>Luxo Professional Magnifying Clamp-On Fluorescent Lamps</t>
  </si>
  <si>
    <t>Sanford Colorific Eraseable Coloring Pencils, 12 Count</t>
  </si>
  <si>
    <t>Okidata B401 Printer</t>
  </si>
  <si>
    <t>AdamShillingsburg@gmail.com</t>
  </si>
  <si>
    <t>TobyBraunhardt@gmail.com</t>
  </si>
  <si>
    <t>Dixon Ticonderoga Pencils</t>
  </si>
  <si>
    <t>BarryPond@gmail.com</t>
  </si>
  <si>
    <t>GBC Laser Imprintable Binding System Covers, Desert Sand</t>
  </si>
  <si>
    <t>Honeywell Quietcare HEPA Air Cleaner</t>
  </si>
  <si>
    <t>NeilDucich@gmail.com</t>
  </si>
  <si>
    <t>KalycaMeade@gmail.com</t>
  </si>
  <si>
    <t>Bulldog Table or Wall-Mount Pencil Sharpener</t>
  </si>
  <si>
    <t>Nu-Dell Oak Frame</t>
  </si>
  <si>
    <t>Ibico EB-19 Dual Function Manual Binding System</t>
  </si>
  <si>
    <t>Xerox Blank Computer Paper</t>
  </si>
  <si>
    <t>JasonKlamczynski@gmail.com</t>
  </si>
  <si>
    <t>Razer Kraken PRO Over Ear PC and Music Headset</t>
  </si>
  <si>
    <t>Xerox 1886</t>
  </si>
  <si>
    <t>JeremyLonsdale@gmail.com</t>
  </si>
  <si>
    <t>Mead 1st Gear 2" Zipper Binder, Asst. Colors</t>
  </si>
  <si>
    <t>Global Enterprise Series Seating Low-Back Swivel/Tilt Chairs</t>
  </si>
  <si>
    <t>3.6 Cubic Foot Counter Height Office Refrigerator</t>
  </si>
  <si>
    <t>Memorex 25GB 6X Branded Blu-Ray Recordable Disc, 30/Pack</t>
  </si>
  <si>
    <t>Weyerhaeuser First Choice Laser/Copy Paper (20Lb. and 88 Bright)</t>
  </si>
  <si>
    <t>Blackstonian Pencils</t>
  </si>
  <si>
    <t>Avery Hidden Tab Dividers for Binding Systems</t>
  </si>
  <si>
    <t>Xerox 1967</t>
  </si>
  <si>
    <t>StephanieUlpright@gmail.com</t>
  </si>
  <si>
    <t>Dixon Ticonderoga Core-Lock Colored Pencils, 48-Color Set</t>
  </si>
  <si>
    <t>O'Sullivan 5-Shelf Heavy-Duty Bookcases</t>
  </si>
  <si>
    <t>ImationÂ SwivelÂ Flash DriveÂ USBÂ flash driveÂ - 8 GB</t>
  </si>
  <si>
    <t>DuaneBenoit@gmail.com</t>
  </si>
  <si>
    <t>Boston 1799 Powerhouse Electric Pencil Sharpener</t>
  </si>
  <si>
    <t>AshleyJarboe@gmail.com</t>
  </si>
  <si>
    <t>Holmes Visible Mist Ultrasonic Humidifier with 2.3-Gallon Output per Day, Replacement Filter</t>
  </si>
  <si>
    <t>OIC Colored Binder Clips, Assorted Sizes</t>
  </si>
  <si>
    <t>Deflect-o DuraMat Antistatic Studded Beveled Mat for Medium Pile Carpeting</t>
  </si>
  <si>
    <t>C-Line Peel &amp; Stick Add-On Filing Pockets, 8-3/4 x 5-1/8, 10/Pack</t>
  </si>
  <si>
    <t>Blue Parrot B250XT Professional Grade Wireless BluetoothÂ HeadsetÂ with</t>
  </si>
  <si>
    <t>KenBrennan@gmail.com</t>
  </si>
  <si>
    <t>AT&amp;T CL2909</t>
  </si>
  <si>
    <t>ImationÂ 8gb Micro Traveldrive Usb 2.0Â Flash Drive</t>
  </si>
  <si>
    <t>Xerox 21</t>
  </si>
  <si>
    <t>Avery 481</t>
  </si>
  <si>
    <t>Acco Smartsocket Table Surge Protector, 6 Color-Coded Adapter Outlets</t>
  </si>
  <si>
    <t>ChristopherMartinez@gmail.com</t>
  </si>
  <si>
    <t>GBC ProClick 150 Presentation Binding System</t>
  </si>
  <si>
    <t>VivianMathis@gmail.com</t>
  </si>
  <si>
    <t>Memorex Mini Travel Drive 32 GB USB 2.0 Flash Drive</t>
  </si>
  <si>
    <t>KellyWilliams@gmail.com</t>
  </si>
  <si>
    <t>Dana Swing-Arm Lamps</t>
  </si>
  <si>
    <t>Eldon Radial Chair Mat for Low to Medium Pile Carpets</t>
  </si>
  <si>
    <t>MathewReese@gmail.com</t>
  </si>
  <si>
    <t>Avery Binding System Hidden Tab Executive Style Index Sets</t>
  </si>
  <si>
    <t>CatherineGlotzbach@gmail.com</t>
  </si>
  <si>
    <t>SandraFlanagan@gmail.com</t>
  </si>
  <si>
    <t>BobbyElias@gmail.com</t>
  </si>
  <si>
    <t>Seth Thomas 8 1/2" Cubicle Clock</t>
  </si>
  <si>
    <t>TheonePippenger@gmail.com</t>
  </si>
  <si>
    <t>Tenex Carpeted, Granite-Look or Clear Contemporary Contour Shape Chair Mats</t>
  </si>
  <si>
    <t>Howard Miller 13-1/2" Diameter Rosebrook Wall Clock</t>
  </si>
  <si>
    <t>CraigMolinari@gmail.com</t>
  </si>
  <si>
    <t>Office Star - Task Chair with Contemporary Loop Arms</t>
  </si>
  <si>
    <t>Smead Alpha-Z Color-Coded Name Labels First Letter Starter Set</t>
  </si>
  <si>
    <t>Rosewill 107 Normal Keys USB Wired Standard Keyboard</t>
  </si>
  <si>
    <t>Recycled Interoffice Envelopes with String and Button Closure, 10 x 13</t>
  </si>
  <si>
    <t>Samsung Replacement EH64AVFWE Premium Headset</t>
  </si>
  <si>
    <t>Eldon Executive Woodline II Desk Accessories, Mahogany</t>
  </si>
  <si>
    <t>FredWasserman@gmail.com</t>
  </si>
  <si>
    <t>JoySmith@gmail.com</t>
  </si>
  <si>
    <t>Office Star Flex Back Scooter Chair with Aluminum Finish Frame</t>
  </si>
  <si>
    <t>EvanBailliet@gmail.com</t>
  </si>
  <si>
    <t>Bionaire Personal Warm Mist Humidifier/Vaporizer</t>
  </si>
  <si>
    <t>Belkin 8 Outlet Surge Protector</t>
  </si>
  <si>
    <t>Plantronics CordlessÂ Phone HeadsetÂ with In-line Volume - M214C</t>
  </si>
  <si>
    <t>Acme Hot Forged Carbon Steel Scissors with Nickel-Plated Handles, 3 7/8" Cut, 8"L</t>
  </si>
  <si>
    <t>TroyBlackwell@gmail.com</t>
  </si>
  <si>
    <t>DanLawera@gmail.com</t>
  </si>
  <si>
    <t>Ampad Evidence Wirebond Steno Books, 6" x 9"</t>
  </si>
  <si>
    <t>Prismacolor Color Pencil Set</t>
  </si>
  <si>
    <t>Xerox 1907</t>
  </si>
  <si>
    <t>SungChung@gmail.com</t>
  </si>
  <si>
    <t>DAX Charcoal/Nickel-Tone Document Frame, 5 x 7</t>
  </si>
  <si>
    <t>Eldon Econocleat Chair Mats for Low Pile Carpets</t>
  </si>
  <si>
    <t>Universal Recycled Hanging Pressboard Report Binders, Letter Size</t>
  </si>
  <si>
    <t>MaribethDona@gmail.com</t>
  </si>
  <si>
    <t>Ibico Recycled Grain-Textured Covers</t>
  </si>
  <si>
    <t>Bush Andora Conference Table, Maple/Graphite Gray Finish</t>
  </si>
  <si>
    <t>AnnePryor@gmail.com</t>
  </si>
  <si>
    <t>Avaya 5410 Digital phone</t>
  </si>
  <si>
    <t>YEAR</t>
  </si>
  <si>
    <t>Sum of Sales</t>
  </si>
  <si>
    <t>Q2</t>
  </si>
  <si>
    <t>Q4</t>
  </si>
  <si>
    <t>Q1</t>
  </si>
  <si>
    <t>Q3</t>
  </si>
  <si>
    <t>Q0</t>
  </si>
  <si>
    <t>Sum of Profit</t>
  </si>
  <si>
    <t>Average of no of Days to delivery</t>
  </si>
  <si>
    <t>Count of Product Name</t>
  </si>
  <si>
    <t>Row Labels</t>
  </si>
  <si>
    <t>Grand Total</t>
  </si>
  <si>
    <t>May</t>
  </si>
  <si>
    <t xml:space="preserve">TOP 5 PRODUCTS </t>
  </si>
  <si>
    <t>BOTTOM 5 PRODUCTS</t>
  </si>
  <si>
    <t>QUARTER</t>
  </si>
  <si>
    <t>TO 10 PRODUCTS WISE SALES AND PROFIT</t>
  </si>
  <si>
    <t>BOTTOM 10 PRODUCTS WISE SALES AND PROFIT</t>
  </si>
  <si>
    <t>Order Date</t>
  </si>
  <si>
    <t>Ship Date</t>
  </si>
  <si>
    <t>profit margin</t>
  </si>
  <si>
    <t>Sum of Quantity</t>
  </si>
  <si>
    <t>SALES</t>
  </si>
  <si>
    <t>PROFIT</t>
  </si>
  <si>
    <t>BOTTOM 10 PRODUCTS</t>
  </si>
  <si>
    <t xml:space="preserve"> TOP 10 PRODUCTS</t>
  </si>
  <si>
    <t>Count of Order Date</t>
  </si>
  <si>
    <t>MONTH</t>
  </si>
  <si>
    <t>April</t>
  </si>
  <si>
    <t>August</t>
  </si>
  <si>
    <t>December</t>
  </si>
  <si>
    <t>February</t>
  </si>
  <si>
    <t>January</t>
  </si>
  <si>
    <t>July</t>
  </si>
  <si>
    <t>June</t>
  </si>
  <si>
    <t>March</t>
  </si>
  <si>
    <t>November</t>
  </si>
  <si>
    <t>October</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</si>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</sst>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4A]#,##0.00"/>
  </numFmts>
  <fonts count="5" x14ac:knownFonts="1">
    <font>
      <sz val="11"/>
      <color theme="1"/>
      <name val="Calibri"/>
      <family val="2"/>
      <scheme val="minor"/>
    </font>
    <font>
      <b/>
      <sz val="20"/>
      <color theme="1"/>
      <name val="Calibri"/>
      <family val="2"/>
      <scheme val="minor"/>
    </font>
    <font>
      <b/>
      <sz val="18"/>
      <color theme="1"/>
      <name val="Calibri"/>
      <family val="2"/>
      <scheme val="minor"/>
    </font>
    <font>
      <b/>
      <sz val="16"/>
      <color theme="1"/>
      <name val="Calibri"/>
      <family val="2"/>
      <scheme val="minor"/>
    </font>
    <font>
      <sz val="11"/>
      <color theme="8" tint="-0.499984740745262"/>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1" xfId="0" applyBorder="1" applyAlignment="1">
      <alignment horizontal="left"/>
    </xf>
    <xf numFmtId="0" fontId="0" fillId="0" borderId="1" xfId="0" applyBorder="1"/>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0" xfId="0" applyFont="1"/>
    <xf numFmtId="165" fontId="0" fillId="0" borderId="0" xfId="0" applyNumberFormat="1"/>
    <xf numFmtId="10" fontId="0" fillId="0" borderId="0" xfId="0" applyNumberFormat="1"/>
  </cellXfs>
  <cellStyles count="1">
    <cellStyle name="Normal" xfId="0" builtinId="0"/>
  </cellStyles>
  <dxfs count="2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 formatCode="0"/>
    </dxf>
    <dxf>
      <numFmt numFmtId="1" formatCode="0"/>
    </dxf>
    <dxf>
      <numFmt numFmtId="1" formatCode="0"/>
    </dxf>
    <dxf>
      <numFmt numFmtId="1" formatCode="0"/>
    </dxf>
    <dxf>
      <numFmt numFmtId="1" formatCode="0"/>
    </dxf>
    <dxf>
      <numFmt numFmtId="1" formatCode="0"/>
    </dxf>
    <dxf>
      <numFmt numFmtId="165" formatCode="[$₹-44A]#,##0.00"/>
    </dxf>
    <dxf>
      <numFmt numFmtId="1" formatCode="0"/>
    </dxf>
    <dxf>
      <numFmt numFmtId="165" formatCode="[$₹-44A]#,##0.00"/>
    </dxf>
    <dxf>
      <numFmt numFmtId="1" formatCode="0"/>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s>
  <tableStyles count="0" defaultTableStyle="TableStyleMedium2" defaultPivotStyle="PivotStyleLight16"/>
  <colors>
    <mruColors>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[amazon dataset (Recovered).xlsx]pivot tables!Category wise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2060"/>
                </a:solidFill>
              </a:rPr>
              <a:t>TOTAL</a:t>
            </a:r>
            <a:r>
              <a:rPr lang="en-US" sz="1600" b="1" baseline="0">
                <a:solidFill>
                  <a:srgbClr val="002060"/>
                </a:solidFill>
              </a:rPr>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tables'!$B$12</c:f>
              <c:strCache>
                <c:ptCount val="1"/>
                <c:pt idx="0">
                  <c:v>Total</c:v>
                </c:pt>
              </c:strCache>
            </c:strRef>
          </c:tx>
          <c:spPr>
            <a:solidFill>
              <a:schemeClr val="accent1"/>
            </a:solidFill>
            <a:ln>
              <a:noFill/>
            </a:ln>
            <a:effectLst/>
            <a:sp3d/>
          </c:spPr>
          <c:invertIfNegative val="0"/>
          <c:cat>
            <c:strRef>
              <c:f>'pivot tables'!$A$13:$A$30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tables'!$B$13:$B$30</c:f>
              <c:numCache>
                <c:formatCode>General</c:formatCode>
                <c:ptCount val="17"/>
                <c:pt idx="0">
                  <c:v>61114.116000000002</c:v>
                </c:pt>
                <c:pt idx="1">
                  <c:v>30236.335999999999</c:v>
                </c:pt>
                <c:pt idx="2">
                  <c:v>9212.0660000000007</c:v>
                </c:pt>
                <c:pt idx="3">
                  <c:v>55961.112999999998</c:v>
                </c:pt>
                <c:pt idx="4">
                  <c:v>36004.123500000002</c:v>
                </c:pt>
                <c:pt idx="5">
                  <c:v>101781.32799999999</c:v>
                </c:pt>
                <c:pt idx="6">
                  <c:v>49749.241999999998</c:v>
                </c:pt>
                <c:pt idx="7">
                  <c:v>4118.1000000000004</c:v>
                </c:pt>
                <c:pt idx="8">
                  <c:v>923.21600000000001</c:v>
                </c:pt>
                <c:pt idx="9">
                  <c:v>30072.73</c:v>
                </c:pt>
                <c:pt idx="10">
                  <c:v>5078.7259999999997</c:v>
                </c:pt>
                <c:pt idx="11">
                  <c:v>42444.122000000003</c:v>
                </c:pt>
                <c:pt idx="12">
                  <c:v>26663.718000000001</c:v>
                </c:pt>
                <c:pt idx="13">
                  <c:v>98684.351999999999</c:v>
                </c:pt>
                <c:pt idx="14">
                  <c:v>70532.851999999999</c:v>
                </c:pt>
                <c:pt idx="15">
                  <c:v>18127.121999999999</c:v>
                </c:pt>
                <c:pt idx="16">
                  <c:v>84754.562000000005</c:v>
                </c:pt>
              </c:numCache>
            </c:numRef>
          </c:val>
          <c:extLst>
            <c:ext xmlns:c16="http://schemas.microsoft.com/office/drawing/2014/chart" uri="{C3380CC4-5D6E-409C-BE32-E72D297353CC}">
              <c16:uniqueId val="{00000000-1A9F-419D-8310-B137024E48B4}"/>
            </c:ext>
          </c:extLst>
        </c:ser>
        <c:dLbls>
          <c:showLegendKey val="0"/>
          <c:showVal val="0"/>
          <c:showCatName val="0"/>
          <c:showSerName val="0"/>
          <c:showPercent val="0"/>
          <c:showBubbleSize val="0"/>
        </c:dLbls>
        <c:gapWidth val="219"/>
        <c:shape val="box"/>
        <c:axId val="14915535"/>
        <c:axId val="1541946640"/>
        <c:axId val="0"/>
      </c:bar3DChart>
      <c:catAx>
        <c:axId val="1491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46640"/>
        <c:crosses val="autoZero"/>
        <c:auto val="1"/>
        <c:lblAlgn val="ctr"/>
        <c:lblOffset val="100"/>
        <c:noMultiLvlLbl val="0"/>
      </c:catAx>
      <c:valAx>
        <c:axId val="15419466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schemeClr val="accent5">
          <a:lumMod val="50000"/>
          <a:alpha val="40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(Recovered).xlsx]pivot tables!YEAR WISE SALES</c:name>
    <c:fmtId val="2"/>
  </c:pivotSource>
  <c:chart>
    <c:title>
      <c:tx>
        <c:rich>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r>
              <a:rPr lang="en-US" sz="1600" b="1" i="0" u="none" strike="noStrike" kern="1200" spc="0" baseline="0">
                <a:solidFill>
                  <a:srgbClr val="002060"/>
                </a:solidFill>
                <a:latin typeface="+mn-lt"/>
                <a:ea typeface="+mn-ea"/>
                <a:cs typeface="+mn-cs"/>
              </a:rPr>
              <a:t>YEAR BY SALES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outerShdw blurRad="63500" sx="102000" sy="102000" algn="ctr" rotWithShape="0">
            <a:schemeClr val="accent5">
              <a:lumMod val="50000"/>
              <a:alpha val="40000"/>
            </a:schemeClr>
          </a:outerShdw>
        </a:effectLst>
        <a:sp3d/>
      </c:spPr>
    </c:sideWall>
    <c:backWall>
      <c:thickness val="0"/>
      <c:spPr>
        <a:noFill/>
        <a:ln>
          <a:noFill/>
        </a:ln>
        <a:effectLst>
          <a:outerShdw blurRad="63500" sx="102000" sy="102000" algn="ctr" rotWithShape="0">
            <a:schemeClr val="accent5">
              <a:lumMod val="50000"/>
              <a:alpha val="40000"/>
            </a:schemeClr>
          </a:outerShdw>
        </a:effectLst>
        <a:sp3d/>
      </c:spPr>
    </c:backWall>
    <c:plotArea>
      <c:layout/>
      <c:bar3DChart>
        <c:barDir val="col"/>
        <c:grouping val="clustered"/>
        <c:varyColors val="0"/>
        <c:ser>
          <c:idx val="0"/>
          <c:order val="0"/>
          <c:tx>
            <c:strRef>
              <c:f>'pivot tables'!$B$38</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tables'!$A$39:$A$43</c:f>
              <c:strCache>
                <c:ptCount val="4"/>
                <c:pt idx="0">
                  <c:v>2011</c:v>
                </c:pt>
                <c:pt idx="1">
                  <c:v>2012</c:v>
                </c:pt>
                <c:pt idx="2">
                  <c:v>2013</c:v>
                </c:pt>
                <c:pt idx="3">
                  <c:v>2014</c:v>
                </c:pt>
              </c:strCache>
            </c:strRef>
          </c:cat>
          <c:val>
            <c:numRef>
              <c:f>'pivot tables'!$B$39:$B$43</c:f>
              <c:numCache>
                <c:formatCode>General</c:formatCode>
                <c:ptCount val="4"/>
                <c:pt idx="0">
                  <c:v>147883.033</c:v>
                </c:pt>
                <c:pt idx="1">
                  <c:v>139966.24950000001</c:v>
                </c:pt>
                <c:pt idx="2">
                  <c:v>186976.0165</c:v>
                </c:pt>
                <c:pt idx="3">
                  <c:v>250632.52549999999</c:v>
                </c:pt>
              </c:numCache>
            </c:numRef>
          </c:val>
          <c:extLst>
            <c:ext xmlns:c16="http://schemas.microsoft.com/office/drawing/2014/chart" uri="{C3380CC4-5D6E-409C-BE32-E72D297353CC}">
              <c16:uniqueId val="{00000000-6DB2-49B2-A510-D70DB95D61C2}"/>
            </c:ext>
          </c:extLst>
        </c:ser>
        <c:dLbls>
          <c:showLegendKey val="0"/>
          <c:showVal val="1"/>
          <c:showCatName val="0"/>
          <c:showSerName val="0"/>
          <c:showPercent val="0"/>
          <c:showBubbleSize val="0"/>
        </c:dLbls>
        <c:gapWidth val="150"/>
        <c:shape val="box"/>
        <c:axId val="14944303"/>
        <c:axId val="1541993200"/>
        <c:axId val="0"/>
      </c:bar3DChart>
      <c:catAx>
        <c:axId val="1494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93200"/>
        <c:crosses val="autoZero"/>
        <c:auto val="1"/>
        <c:lblAlgn val="ctr"/>
        <c:lblOffset val="100"/>
        <c:noMultiLvlLbl val="0"/>
      </c:catAx>
      <c:valAx>
        <c:axId val="1541993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dataset (Recovered).xlsx]pivot tables!QUANTITY BY CATEGORY</c:name>
    <c:fmtId val="28"/>
  </c:pivotSource>
  <c:chart>
    <c:title>
      <c:tx>
        <c:rich>
          <a:bodyPr rot="0" spcFirstLastPara="1" vertOverflow="ellipsis" vert="horz" wrap="square" anchor="ctr" anchorCtr="1"/>
          <a:lstStyle/>
          <a:p>
            <a:pPr>
              <a:defRPr lang="en-US" sz="1600" b="1" i="0" u="none" strike="noStrike" kern="1200" spc="0" baseline="0">
                <a:solidFill>
                  <a:srgbClr val="002060"/>
                </a:solidFill>
                <a:latin typeface="+mn-lt"/>
                <a:ea typeface="+mn-ea"/>
                <a:cs typeface="+mn-cs"/>
              </a:defRPr>
            </a:pPr>
            <a:r>
              <a:rPr lang="en-US" sz="1600" b="1" i="0" u="none" strike="noStrike" kern="1200" spc="0" baseline="0">
                <a:solidFill>
                  <a:srgbClr val="002060"/>
                </a:solidFill>
                <a:latin typeface="+mn-lt"/>
                <a:ea typeface="+mn-ea"/>
                <a:cs typeface="+mn-cs"/>
              </a:rPr>
              <a:t>PROFIT BY CATEGORY</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tables'!$C$108</c:f>
              <c:strCache>
                <c:ptCount val="1"/>
                <c:pt idx="0">
                  <c:v>Total</c:v>
                </c:pt>
              </c:strCache>
            </c:strRef>
          </c:tx>
          <c:spPr>
            <a:solidFill>
              <a:schemeClr val="accent5"/>
            </a:solidFill>
            <a:ln>
              <a:noFill/>
            </a:ln>
            <a:effectLst/>
            <a:sp3d/>
          </c:spPr>
          <c:invertIfNegative val="0"/>
          <c:cat>
            <c:strRef>
              <c:f>'pivot tables'!$B$109:$B$126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tables'!$C$109:$C$126</c:f>
              <c:numCache>
                <c:formatCode>0</c:formatCode>
                <c:ptCount val="17"/>
                <c:pt idx="0">
                  <c:v>1032</c:v>
                </c:pt>
                <c:pt idx="1">
                  <c:v>492</c:v>
                </c:pt>
                <c:pt idx="2">
                  <c:v>926</c:v>
                </c:pt>
                <c:pt idx="3">
                  <c:v>1868</c:v>
                </c:pt>
                <c:pt idx="4">
                  <c:v>306</c:v>
                </c:pt>
                <c:pt idx="5">
                  <c:v>734</c:v>
                </c:pt>
                <c:pt idx="6">
                  <c:v>88</c:v>
                </c:pt>
                <c:pt idx="7">
                  <c:v>227</c:v>
                </c:pt>
                <c:pt idx="8">
                  <c:v>263</c:v>
                </c:pt>
                <c:pt idx="9">
                  <c:v>1175</c:v>
                </c:pt>
                <c:pt idx="10">
                  <c:v>480</c:v>
                </c:pt>
                <c:pt idx="11">
                  <c:v>147</c:v>
                </c:pt>
                <c:pt idx="12">
                  <c:v>1702</c:v>
                </c:pt>
                <c:pt idx="13">
                  <c:v>1066</c:v>
                </c:pt>
                <c:pt idx="14">
                  <c:v>1039</c:v>
                </c:pt>
                <c:pt idx="15">
                  <c:v>238</c:v>
                </c:pt>
                <c:pt idx="16">
                  <c:v>481</c:v>
                </c:pt>
              </c:numCache>
            </c:numRef>
          </c:val>
          <c:extLst>
            <c:ext xmlns:c16="http://schemas.microsoft.com/office/drawing/2014/chart" uri="{C3380CC4-5D6E-409C-BE32-E72D297353CC}">
              <c16:uniqueId val="{00000000-ED44-4A02-BF8F-3BCE5605873C}"/>
            </c:ext>
          </c:extLst>
        </c:ser>
        <c:dLbls>
          <c:showLegendKey val="0"/>
          <c:showVal val="0"/>
          <c:showCatName val="0"/>
          <c:showSerName val="0"/>
          <c:showPercent val="0"/>
          <c:showBubbleSize val="0"/>
        </c:dLbls>
        <c:gapWidth val="150"/>
        <c:shape val="box"/>
        <c:axId val="567120095"/>
        <c:axId val="1541974960"/>
        <c:axId val="0"/>
      </c:bar3DChart>
      <c:catAx>
        <c:axId val="567120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74960"/>
        <c:crosses val="autoZero"/>
        <c:auto val="1"/>
        <c:lblAlgn val="ctr"/>
        <c:lblOffset val="100"/>
        <c:noMultiLvlLbl val="0"/>
      </c:catAx>
      <c:valAx>
        <c:axId val="15419749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12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dataset (Recovered).xlsx]pivot tables!QUANTITY BY CATEGORY</c:name>
    <c:fmtId val="34"/>
  </c:pivotSource>
  <c:chart>
    <c:title>
      <c:tx>
        <c:rich>
          <a:bodyPr rot="0" spcFirstLastPara="1" vertOverflow="ellipsis" vert="horz" wrap="square" anchor="ctr" anchorCtr="1"/>
          <a:lstStyle/>
          <a:p>
            <a:pPr>
              <a:defRPr lang="en-US" sz="1600" b="1" i="0" u="none" strike="noStrike" kern="1200" spc="0" baseline="0">
                <a:solidFill>
                  <a:srgbClr val="002060"/>
                </a:solidFill>
                <a:latin typeface="+mn-lt"/>
                <a:ea typeface="+mn-ea"/>
                <a:cs typeface="+mn-cs"/>
              </a:defRPr>
            </a:pPr>
            <a:r>
              <a:rPr lang="en-US" sz="1600" b="1" i="0" u="none" strike="noStrike" kern="1200" spc="0" baseline="0">
                <a:solidFill>
                  <a:srgbClr val="002060"/>
                </a:solidFill>
                <a:latin typeface="+mn-lt"/>
                <a:ea typeface="+mn-ea"/>
                <a:cs typeface="+mn-cs"/>
              </a:rPr>
              <a:t>QUANTITY BY CATEGORY</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outerShdw blurRad="63500" sx="102000" sy="102000" algn="ctr" rotWithShape="0">
            <a:schemeClr val="accent5">
              <a:lumMod val="50000"/>
              <a:alpha val="40000"/>
            </a:schemeClr>
          </a:outerShdw>
        </a:effectLst>
        <a:sp3d/>
      </c:spPr>
    </c:sideWall>
    <c:backWall>
      <c:thickness val="0"/>
      <c:spPr>
        <a:noFill/>
        <a:ln>
          <a:noFill/>
        </a:ln>
        <a:effectLst>
          <a:outerShdw blurRad="63500" sx="102000" sy="102000" algn="ctr" rotWithShape="0">
            <a:schemeClr val="accent5">
              <a:lumMod val="50000"/>
              <a:alpha val="40000"/>
            </a:schemeClr>
          </a:outerShdw>
        </a:effectLst>
        <a:sp3d/>
      </c:spPr>
    </c:backWall>
    <c:plotArea>
      <c:layout/>
      <c:bar3DChart>
        <c:barDir val="bar"/>
        <c:grouping val="clustered"/>
        <c:varyColors val="0"/>
        <c:ser>
          <c:idx val="0"/>
          <c:order val="0"/>
          <c:tx>
            <c:strRef>
              <c:f>'pivot tables'!$C$108</c:f>
              <c:strCache>
                <c:ptCount val="1"/>
                <c:pt idx="0">
                  <c:v>Total</c:v>
                </c:pt>
              </c:strCache>
            </c:strRef>
          </c:tx>
          <c:spPr>
            <a:solidFill>
              <a:schemeClr val="accent5"/>
            </a:solidFill>
            <a:ln>
              <a:noFill/>
            </a:ln>
            <a:effectLst/>
            <a:sp3d/>
          </c:spPr>
          <c:invertIfNegative val="0"/>
          <c:cat>
            <c:strRef>
              <c:f>'pivot tables'!$B$109:$B$126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tables'!$C$109:$C$126</c:f>
              <c:numCache>
                <c:formatCode>0</c:formatCode>
                <c:ptCount val="17"/>
                <c:pt idx="0">
                  <c:v>1032</c:v>
                </c:pt>
                <c:pt idx="1">
                  <c:v>492</c:v>
                </c:pt>
                <c:pt idx="2">
                  <c:v>926</c:v>
                </c:pt>
                <c:pt idx="3">
                  <c:v>1868</c:v>
                </c:pt>
                <c:pt idx="4">
                  <c:v>306</c:v>
                </c:pt>
                <c:pt idx="5">
                  <c:v>734</c:v>
                </c:pt>
                <c:pt idx="6">
                  <c:v>88</c:v>
                </c:pt>
                <c:pt idx="7">
                  <c:v>227</c:v>
                </c:pt>
                <c:pt idx="8">
                  <c:v>263</c:v>
                </c:pt>
                <c:pt idx="9">
                  <c:v>1175</c:v>
                </c:pt>
                <c:pt idx="10">
                  <c:v>480</c:v>
                </c:pt>
                <c:pt idx="11">
                  <c:v>147</c:v>
                </c:pt>
                <c:pt idx="12">
                  <c:v>1702</c:v>
                </c:pt>
                <c:pt idx="13">
                  <c:v>1066</c:v>
                </c:pt>
                <c:pt idx="14">
                  <c:v>1039</c:v>
                </c:pt>
                <c:pt idx="15">
                  <c:v>238</c:v>
                </c:pt>
                <c:pt idx="16">
                  <c:v>481</c:v>
                </c:pt>
              </c:numCache>
            </c:numRef>
          </c:val>
          <c:extLst>
            <c:ext xmlns:c16="http://schemas.microsoft.com/office/drawing/2014/chart" uri="{C3380CC4-5D6E-409C-BE32-E72D297353CC}">
              <c16:uniqueId val="{00000000-7A68-4F3E-9E8B-8EA5DB798FB9}"/>
            </c:ext>
          </c:extLst>
        </c:ser>
        <c:dLbls>
          <c:showLegendKey val="0"/>
          <c:showVal val="0"/>
          <c:showCatName val="0"/>
          <c:showSerName val="0"/>
          <c:showPercent val="0"/>
          <c:showBubbleSize val="0"/>
        </c:dLbls>
        <c:gapWidth val="150"/>
        <c:shape val="box"/>
        <c:axId val="592170207"/>
        <c:axId val="1541925040"/>
        <c:axId val="0"/>
      </c:bar3DChart>
      <c:catAx>
        <c:axId val="592170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25040"/>
        <c:crosses val="autoZero"/>
        <c:auto val="1"/>
        <c:lblAlgn val="ctr"/>
        <c:lblOffset val="100"/>
        <c:noMultiLvlLbl val="0"/>
      </c:catAx>
      <c:valAx>
        <c:axId val="15419250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7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schemeClr val="accent5">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dataset (Recovered).xlsx]pivot tables!QUARTER BY SALES</c:name>
    <c:fmtId val="44"/>
  </c:pivotSource>
  <c:chart>
    <c:title>
      <c:tx>
        <c:rich>
          <a:bodyPr rot="0" spcFirstLastPara="1" vertOverflow="ellipsis" vert="horz" wrap="square" anchor="ctr" anchorCtr="1"/>
          <a:lstStyle/>
          <a:p>
            <a:pPr>
              <a:defRPr lang="en-US" sz="1600" b="1" i="0" u="none" strike="noStrike" kern="1200" spc="0" baseline="0">
                <a:solidFill>
                  <a:srgbClr val="002060"/>
                </a:solidFill>
                <a:latin typeface="+mn-lt"/>
                <a:ea typeface="+mn-ea"/>
                <a:cs typeface="+mn-cs"/>
              </a:defRPr>
            </a:pPr>
            <a:r>
              <a:rPr lang="en-US" sz="1600" b="1" i="0" u="none" strike="noStrike" kern="1200" spc="0" baseline="0">
                <a:solidFill>
                  <a:srgbClr val="002060"/>
                </a:solidFill>
                <a:latin typeface="+mn-lt"/>
                <a:ea typeface="+mn-ea"/>
                <a:cs typeface="+mn-cs"/>
              </a:rPr>
              <a:t>QUARTER BY SALES</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tables'!$C$134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tables'!$B$135:$B$140</c:f>
              <c:strCache>
                <c:ptCount val="5"/>
                <c:pt idx="0">
                  <c:v>Q0</c:v>
                </c:pt>
                <c:pt idx="1">
                  <c:v>Q1</c:v>
                </c:pt>
                <c:pt idx="2">
                  <c:v>Q2</c:v>
                </c:pt>
                <c:pt idx="3">
                  <c:v>Q3</c:v>
                </c:pt>
                <c:pt idx="4">
                  <c:v>Q4</c:v>
                </c:pt>
              </c:strCache>
            </c:strRef>
          </c:cat>
          <c:val>
            <c:numRef>
              <c:f>'pivot tables'!$C$135:$C$140</c:f>
              <c:numCache>
                <c:formatCode>0</c:formatCode>
                <c:ptCount val="5"/>
                <c:pt idx="0">
                  <c:v>41140.642</c:v>
                </c:pt>
                <c:pt idx="1">
                  <c:v>159865.39050000001</c:v>
                </c:pt>
                <c:pt idx="2">
                  <c:v>178556.70749999999</c:v>
                </c:pt>
                <c:pt idx="3">
                  <c:v>236497.057</c:v>
                </c:pt>
                <c:pt idx="4">
                  <c:v>109398.0275</c:v>
                </c:pt>
              </c:numCache>
            </c:numRef>
          </c:val>
          <c:extLst>
            <c:ext xmlns:c16="http://schemas.microsoft.com/office/drawing/2014/chart" uri="{C3380CC4-5D6E-409C-BE32-E72D297353CC}">
              <c16:uniqueId val="{00000000-AE3A-4FF2-92C0-F7F4532F0C54}"/>
            </c:ext>
          </c:extLst>
        </c:ser>
        <c:dLbls>
          <c:showLegendKey val="0"/>
          <c:showVal val="1"/>
          <c:showCatName val="0"/>
          <c:showSerName val="0"/>
          <c:showPercent val="0"/>
          <c:showBubbleSize val="0"/>
        </c:dLbls>
        <c:gapWidth val="150"/>
        <c:shape val="box"/>
        <c:axId val="592148863"/>
        <c:axId val="1541941840"/>
        <c:axId val="0"/>
      </c:bar3DChart>
      <c:catAx>
        <c:axId val="5921488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41840"/>
        <c:crosses val="autoZero"/>
        <c:auto val="1"/>
        <c:lblAlgn val="ctr"/>
        <c:lblOffset val="100"/>
        <c:noMultiLvlLbl val="0"/>
      </c:catAx>
      <c:valAx>
        <c:axId val="154194184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4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schemeClr val="accent5">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333375</xdr:colOff>
      <xdr:row>0</xdr:row>
      <xdr:rowOff>65689</xdr:rowOff>
    </xdr:from>
    <xdr:to>
      <xdr:col>31</xdr:col>
      <xdr:colOff>23813</xdr:colOff>
      <xdr:row>56</xdr:row>
      <xdr:rowOff>54429</xdr:rowOff>
    </xdr:to>
    <xdr:sp macro="" textlink="">
      <xdr:nvSpPr>
        <xdr:cNvPr id="2" name="Rectangle 1">
          <a:extLst>
            <a:ext uri="{FF2B5EF4-FFF2-40B4-BE49-F238E27FC236}">
              <a16:creationId xmlns:a16="http://schemas.microsoft.com/office/drawing/2014/main" id="{CEE0F775-1067-1C75-0AC1-BE60178A1338}"/>
            </a:ext>
          </a:extLst>
        </xdr:cNvPr>
        <xdr:cNvSpPr/>
      </xdr:nvSpPr>
      <xdr:spPr>
        <a:xfrm>
          <a:off x="333375" y="65689"/>
          <a:ext cx="18391188" cy="10656740"/>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a:p>
      </xdr:txBody>
    </xdr:sp>
    <xdr:clientData/>
  </xdr:twoCellAnchor>
  <xdr:twoCellAnchor>
    <xdr:from>
      <xdr:col>5</xdr:col>
      <xdr:colOff>476250</xdr:colOff>
      <xdr:row>38</xdr:row>
      <xdr:rowOff>174625</xdr:rowOff>
    </xdr:from>
    <xdr:to>
      <xdr:col>26</xdr:col>
      <xdr:colOff>460375</xdr:colOff>
      <xdr:row>55</xdr:row>
      <xdr:rowOff>79375</xdr:rowOff>
    </xdr:to>
    <xdr:sp macro="" textlink="">
      <xdr:nvSpPr>
        <xdr:cNvPr id="13" name="Rectangle 12">
          <a:extLst>
            <a:ext uri="{FF2B5EF4-FFF2-40B4-BE49-F238E27FC236}">
              <a16:creationId xmlns:a16="http://schemas.microsoft.com/office/drawing/2014/main" id="{423C0A28-1145-FB30-EC5C-FE62C3F0CE30}"/>
            </a:ext>
          </a:extLst>
        </xdr:cNvPr>
        <xdr:cNvSpPr/>
      </xdr:nvSpPr>
      <xdr:spPr>
        <a:xfrm>
          <a:off x="3492500" y="7413625"/>
          <a:ext cx="12652375" cy="3143250"/>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559593</xdr:colOff>
      <xdr:row>5</xdr:row>
      <xdr:rowOff>90236</xdr:rowOff>
    </xdr:from>
    <xdr:to>
      <xdr:col>30</xdr:col>
      <xdr:colOff>321467</xdr:colOff>
      <xdr:row>55</xdr:row>
      <xdr:rowOff>68036</xdr:rowOff>
    </xdr:to>
    <xdr:sp macro="" textlink="">
      <xdr:nvSpPr>
        <xdr:cNvPr id="3" name="Rectangle 2">
          <a:extLst>
            <a:ext uri="{FF2B5EF4-FFF2-40B4-BE49-F238E27FC236}">
              <a16:creationId xmlns:a16="http://schemas.microsoft.com/office/drawing/2014/main" id="{E5C1791E-5A3D-2C61-C65A-BFF751F704F9}"/>
            </a:ext>
          </a:extLst>
        </xdr:cNvPr>
        <xdr:cNvSpPr/>
      </xdr:nvSpPr>
      <xdr:spPr>
        <a:xfrm>
          <a:off x="16479950" y="974700"/>
          <a:ext cx="2211160" cy="8822443"/>
        </a:xfrm>
        <a:prstGeom prst="rect">
          <a:avLst/>
        </a:prstGeom>
        <a:solidFill>
          <a:schemeClr val="accent5">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31750</xdr:colOff>
      <xdr:row>5</xdr:row>
      <xdr:rowOff>100263</xdr:rowOff>
    </xdr:from>
    <xdr:to>
      <xdr:col>5</xdr:col>
      <xdr:colOff>340895</xdr:colOff>
      <xdr:row>55</xdr:row>
      <xdr:rowOff>95250</xdr:rowOff>
    </xdr:to>
    <xdr:sp macro="" textlink="">
      <xdr:nvSpPr>
        <xdr:cNvPr id="4" name="Rectangle 3">
          <a:extLst>
            <a:ext uri="{FF2B5EF4-FFF2-40B4-BE49-F238E27FC236}">
              <a16:creationId xmlns:a16="http://schemas.microsoft.com/office/drawing/2014/main" id="{64E8FE32-627D-1F61-08E2-A50CAA1BA3F5}"/>
            </a:ext>
          </a:extLst>
        </xdr:cNvPr>
        <xdr:cNvSpPr/>
      </xdr:nvSpPr>
      <xdr:spPr>
        <a:xfrm>
          <a:off x="635000" y="1052763"/>
          <a:ext cx="2722145" cy="9519987"/>
        </a:xfrm>
        <a:prstGeom prst="rect">
          <a:avLst/>
        </a:prstGeom>
        <a:solidFill>
          <a:schemeClr val="accent5">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1</xdr:col>
      <xdr:colOff>47625</xdr:colOff>
      <xdr:row>0</xdr:row>
      <xdr:rowOff>174597</xdr:rowOff>
    </xdr:from>
    <xdr:to>
      <xdr:col>30</xdr:col>
      <xdr:colOff>345281</xdr:colOff>
      <xdr:row>4</xdr:row>
      <xdr:rowOff>95250</xdr:rowOff>
    </xdr:to>
    <xdr:sp macro="" textlink="">
      <xdr:nvSpPr>
        <xdr:cNvPr id="6" name="Rectangle 5">
          <a:extLst>
            <a:ext uri="{FF2B5EF4-FFF2-40B4-BE49-F238E27FC236}">
              <a16:creationId xmlns:a16="http://schemas.microsoft.com/office/drawing/2014/main" id="{1FB2F845-1F18-DAE8-DD45-A2E1BCB92961}"/>
            </a:ext>
          </a:extLst>
        </xdr:cNvPr>
        <xdr:cNvSpPr/>
      </xdr:nvSpPr>
      <xdr:spPr>
        <a:xfrm>
          <a:off x="650875" y="174597"/>
          <a:ext cx="17791906" cy="682653"/>
        </a:xfrm>
        <a:prstGeom prst="rect">
          <a:avLst/>
        </a:prstGeom>
        <a:solidFill>
          <a:schemeClr val="accent5">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3600" b="1" baseline="0">
              <a:solidFill>
                <a:srgbClr val="002060"/>
              </a:solidFill>
              <a:latin typeface="Times New Roman" panose="02020603050405020304" pitchFamily="18" charset="0"/>
              <a:ea typeface="+mn-ea"/>
              <a:cs typeface="Times New Roman" panose="02020603050405020304" pitchFamily="18" charset="0"/>
            </a:rPr>
            <a:t> SALES ANALYSIS</a:t>
          </a:r>
          <a:endParaRPr lang="en-US" sz="3600" b="1">
            <a:solidFill>
              <a:srgbClr val="00206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238125</xdr:colOff>
      <xdr:row>12</xdr:row>
      <xdr:rowOff>98955</xdr:rowOff>
    </xdr:from>
    <xdr:to>
      <xdr:col>5</xdr:col>
      <xdr:colOff>102054</xdr:colOff>
      <xdr:row>17</xdr:row>
      <xdr:rowOff>34086</xdr:rowOff>
    </xdr:to>
    <xdr:sp macro="" textlink="'pivot tables'!H2">
      <xdr:nvSpPr>
        <xdr:cNvPr id="7" name="TextBox 6">
          <a:extLst>
            <a:ext uri="{FF2B5EF4-FFF2-40B4-BE49-F238E27FC236}">
              <a16:creationId xmlns:a16="http://schemas.microsoft.com/office/drawing/2014/main" id="{E387A02C-0F40-5AF9-5789-698F01A56ECE}"/>
            </a:ext>
          </a:extLst>
        </xdr:cNvPr>
        <xdr:cNvSpPr txBox="1"/>
      </xdr:nvSpPr>
      <xdr:spPr>
        <a:xfrm>
          <a:off x="841375" y="2384955"/>
          <a:ext cx="2276929" cy="887631"/>
        </a:xfrm>
        <a:prstGeom prst="rect">
          <a:avLst/>
        </a:prstGeom>
        <a:solidFill>
          <a:schemeClr val="accent5">
            <a:lumMod val="75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bg1"/>
              </a:solidFill>
              <a:latin typeface="Calibri"/>
              <a:ea typeface="Calibri"/>
              <a:cs typeface="Calibri"/>
            </a:rPr>
            <a:t>TOTAL SALES</a:t>
          </a:r>
        </a:p>
        <a:p>
          <a:pPr marL="0" indent="0" algn="ctr"/>
          <a:fld id="{1F632227-581D-4F93-83F1-58BF09227359}" type="TxLink">
            <a:rPr lang="en-US" sz="1800" b="1" i="0" u="none" strike="noStrike">
              <a:solidFill>
                <a:schemeClr val="bg1"/>
              </a:solidFill>
              <a:latin typeface="Calibri"/>
              <a:ea typeface="Calibri"/>
              <a:cs typeface="Calibri"/>
            </a:rPr>
            <a:pPr marL="0" indent="0" algn="ctr"/>
            <a:t>₹725,457.82</a:t>
          </a:fld>
          <a:endParaRPr lang="en-US" sz="1800" b="1" i="0" u="none" strike="noStrike">
            <a:solidFill>
              <a:schemeClr val="bg1"/>
            </a:solidFill>
            <a:latin typeface="Calibri"/>
            <a:ea typeface="Calibri"/>
            <a:cs typeface="Calibri"/>
          </a:endParaRPr>
        </a:p>
      </xdr:txBody>
    </xdr:sp>
    <xdr:clientData/>
  </xdr:twoCellAnchor>
  <xdr:twoCellAnchor>
    <xdr:from>
      <xdr:col>1</xdr:col>
      <xdr:colOff>251733</xdr:colOff>
      <xdr:row>19</xdr:row>
      <xdr:rowOff>65294</xdr:rowOff>
    </xdr:from>
    <xdr:to>
      <xdr:col>5</xdr:col>
      <xdr:colOff>102055</xdr:colOff>
      <xdr:row>24</xdr:row>
      <xdr:rowOff>112920</xdr:rowOff>
    </xdr:to>
    <xdr:sp macro="" textlink="'pivot tables'!B2">
      <xdr:nvSpPr>
        <xdr:cNvPr id="8" name="TextBox 7">
          <a:extLst>
            <a:ext uri="{FF2B5EF4-FFF2-40B4-BE49-F238E27FC236}">
              <a16:creationId xmlns:a16="http://schemas.microsoft.com/office/drawing/2014/main" id="{931AF9E3-9522-DD30-55AD-E96599DB5BE2}"/>
            </a:ext>
          </a:extLst>
        </xdr:cNvPr>
        <xdr:cNvSpPr txBox="1"/>
      </xdr:nvSpPr>
      <xdr:spPr>
        <a:xfrm>
          <a:off x="854983" y="3684794"/>
          <a:ext cx="2263322" cy="1000126"/>
        </a:xfrm>
        <a:prstGeom prst="rect">
          <a:avLst/>
        </a:prstGeom>
        <a:solidFill>
          <a:schemeClr val="accent5">
            <a:lumMod val="75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bg1"/>
              </a:solidFill>
              <a:latin typeface="Calibri"/>
              <a:ea typeface="Calibri"/>
              <a:cs typeface="Calibri"/>
            </a:rPr>
            <a:t>AVG DELIVERY DAYS </a:t>
          </a:r>
        </a:p>
        <a:p>
          <a:pPr marL="0" indent="0" algn="ctr"/>
          <a:fld id="{C9FD4AEC-F164-46DD-A783-54D6D4035C52}" type="TxLink">
            <a:rPr lang="en-US" sz="1800" b="1" i="0" u="none" strike="noStrike">
              <a:solidFill>
                <a:schemeClr val="bg1"/>
              </a:solidFill>
              <a:latin typeface="Calibri"/>
              <a:ea typeface="Calibri"/>
              <a:cs typeface="Calibri"/>
            </a:rPr>
            <a:pPr marL="0" indent="0" algn="ctr"/>
            <a:t>4</a:t>
          </a:fld>
          <a:endParaRPr lang="en-US" sz="1800" b="1" i="0" u="none" strike="noStrike">
            <a:solidFill>
              <a:schemeClr val="bg1"/>
            </a:solidFill>
            <a:latin typeface="Calibri"/>
            <a:ea typeface="Calibri"/>
            <a:cs typeface="Calibri"/>
          </a:endParaRPr>
        </a:p>
      </xdr:txBody>
    </xdr:sp>
    <xdr:clientData/>
  </xdr:twoCellAnchor>
  <xdr:twoCellAnchor>
    <xdr:from>
      <xdr:col>1</xdr:col>
      <xdr:colOff>238125</xdr:colOff>
      <xdr:row>27</xdr:row>
      <xdr:rowOff>58526</xdr:rowOff>
    </xdr:from>
    <xdr:to>
      <xdr:col>5</xdr:col>
      <xdr:colOff>102054</xdr:colOff>
      <xdr:row>32</xdr:row>
      <xdr:rowOff>106150</xdr:rowOff>
    </xdr:to>
    <xdr:sp macro="" textlink="'pivot tables'!B167">
      <xdr:nvSpPr>
        <xdr:cNvPr id="9" name="TextBox 8">
          <a:extLst>
            <a:ext uri="{FF2B5EF4-FFF2-40B4-BE49-F238E27FC236}">
              <a16:creationId xmlns:a16="http://schemas.microsoft.com/office/drawing/2014/main" id="{1C2C22BE-DEDA-AA05-22DD-6A294CDB91BC}"/>
            </a:ext>
          </a:extLst>
        </xdr:cNvPr>
        <xdr:cNvSpPr txBox="1"/>
      </xdr:nvSpPr>
      <xdr:spPr>
        <a:xfrm>
          <a:off x="841375" y="5202026"/>
          <a:ext cx="2276929" cy="1000124"/>
        </a:xfrm>
        <a:prstGeom prst="rect">
          <a:avLst/>
        </a:prstGeom>
        <a:solidFill>
          <a:schemeClr val="accent5">
            <a:lumMod val="75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TOTAL QUANTITY SOLD</a:t>
          </a:r>
        </a:p>
        <a:p>
          <a:pPr algn="ctr"/>
          <a:fld id="{67570A8D-0902-401D-B395-F50926796EC1}" type="TxLink">
            <a:rPr lang="en-US" sz="1400" b="1" i="0" u="none" strike="noStrike">
              <a:solidFill>
                <a:schemeClr val="bg1"/>
              </a:solidFill>
              <a:latin typeface="Calibri"/>
              <a:ea typeface="Calibri"/>
              <a:cs typeface="Calibri"/>
            </a:rPr>
            <a:pPr algn="ctr"/>
            <a:t>12264</a:t>
          </a:fld>
          <a:endParaRPr lang="en-US" sz="1400" b="1">
            <a:solidFill>
              <a:schemeClr val="bg1"/>
            </a:solidFill>
          </a:endParaRPr>
        </a:p>
      </xdr:txBody>
    </xdr:sp>
    <xdr:clientData/>
  </xdr:twoCellAnchor>
  <xdr:twoCellAnchor>
    <xdr:from>
      <xdr:col>1</xdr:col>
      <xdr:colOff>238124</xdr:colOff>
      <xdr:row>35</xdr:row>
      <xdr:rowOff>52384</xdr:rowOff>
    </xdr:from>
    <xdr:to>
      <xdr:col>5</xdr:col>
      <xdr:colOff>115661</xdr:colOff>
      <xdr:row>40</xdr:row>
      <xdr:rowOff>88102</xdr:rowOff>
    </xdr:to>
    <xdr:sp macro="" textlink="'pivot tables'!E2">
      <xdr:nvSpPr>
        <xdr:cNvPr id="5" name="TextBox 4">
          <a:extLst>
            <a:ext uri="{FF2B5EF4-FFF2-40B4-BE49-F238E27FC236}">
              <a16:creationId xmlns:a16="http://schemas.microsoft.com/office/drawing/2014/main" id="{AC5A830A-65A6-E302-8FAA-9C97B8A10EFA}"/>
            </a:ext>
          </a:extLst>
        </xdr:cNvPr>
        <xdr:cNvSpPr txBox="1"/>
      </xdr:nvSpPr>
      <xdr:spPr>
        <a:xfrm>
          <a:off x="841374" y="6719884"/>
          <a:ext cx="2290537" cy="988218"/>
        </a:xfrm>
        <a:prstGeom prst="rect">
          <a:avLst/>
        </a:prstGeom>
        <a:solidFill>
          <a:schemeClr val="accent5">
            <a:lumMod val="75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Calibri"/>
              <a:ea typeface="Calibri"/>
              <a:cs typeface="Calibri"/>
            </a:rPr>
            <a:t>PROFIT</a:t>
          </a:r>
        </a:p>
        <a:p>
          <a:pPr marL="0" indent="0" algn="ctr"/>
          <a:fld id="{61E717B9-C06C-4DAD-812B-48C3B7B7416A}" type="TxLink">
            <a:rPr lang="en-US" sz="1400" b="1" i="0" u="none" strike="noStrike">
              <a:solidFill>
                <a:schemeClr val="bg1"/>
              </a:solidFill>
              <a:latin typeface="Calibri"/>
              <a:ea typeface="Calibri"/>
              <a:cs typeface="Calibri"/>
            </a:rPr>
            <a:pPr marL="0" indent="0" algn="ctr"/>
            <a:t>₹108,418.45</a:t>
          </a:fld>
          <a:endParaRPr lang="en-US" sz="1400" b="1" i="0" u="none" strike="noStrike">
            <a:solidFill>
              <a:schemeClr val="bg1"/>
            </a:solidFill>
            <a:latin typeface="Calibri"/>
            <a:ea typeface="Calibri"/>
            <a:cs typeface="Calibri"/>
          </a:endParaRPr>
        </a:p>
      </xdr:txBody>
    </xdr:sp>
    <xdr:clientData/>
  </xdr:twoCellAnchor>
  <xdr:twoCellAnchor>
    <xdr:from>
      <xdr:col>1</xdr:col>
      <xdr:colOff>238125</xdr:colOff>
      <xdr:row>42</xdr:row>
      <xdr:rowOff>93010</xdr:rowOff>
    </xdr:from>
    <xdr:to>
      <xdr:col>5</xdr:col>
      <xdr:colOff>115661</xdr:colOff>
      <xdr:row>47</xdr:row>
      <xdr:rowOff>122160</xdr:rowOff>
    </xdr:to>
    <xdr:sp macro="" textlink="'pivot tables'!L2">
      <xdr:nvSpPr>
        <xdr:cNvPr id="10" name="TextBox 9">
          <a:extLst>
            <a:ext uri="{FF2B5EF4-FFF2-40B4-BE49-F238E27FC236}">
              <a16:creationId xmlns:a16="http://schemas.microsoft.com/office/drawing/2014/main" id="{7574A54A-39C7-1062-A946-9DCDFDFAB12D}"/>
            </a:ext>
          </a:extLst>
        </xdr:cNvPr>
        <xdr:cNvSpPr txBox="1"/>
      </xdr:nvSpPr>
      <xdr:spPr>
        <a:xfrm>
          <a:off x="841375" y="8094010"/>
          <a:ext cx="2290536" cy="981650"/>
        </a:xfrm>
        <a:prstGeom prst="rect">
          <a:avLst/>
        </a:prstGeom>
        <a:solidFill>
          <a:schemeClr val="accent5">
            <a:lumMod val="75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bg1"/>
              </a:solidFill>
              <a:latin typeface="Calibri"/>
              <a:ea typeface="Calibri"/>
              <a:cs typeface="Calibri"/>
            </a:rPr>
            <a:t>PROFIT %</a:t>
          </a:r>
        </a:p>
        <a:p>
          <a:pPr marL="0" indent="0" algn="ctr"/>
          <a:fld id="{51C81EDA-0C34-4283-862A-A015AD7230A3}" type="TxLink">
            <a:rPr lang="en-US" sz="1400" b="1" i="0" u="none" strike="noStrike">
              <a:solidFill>
                <a:schemeClr val="bg1"/>
              </a:solidFill>
              <a:latin typeface="Calibri"/>
              <a:ea typeface="Calibri"/>
              <a:cs typeface="Calibri"/>
            </a:rPr>
            <a:pPr marL="0" indent="0" algn="ctr"/>
            <a:t>1494.48%</a:t>
          </a:fld>
          <a:endParaRPr lang="en-US" sz="1400" b="1" i="0" u="none" strike="noStrike">
            <a:solidFill>
              <a:schemeClr val="bg1"/>
            </a:solidFill>
            <a:latin typeface="Calibri"/>
            <a:ea typeface="Calibri"/>
            <a:cs typeface="Calibri"/>
          </a:endParaRPr>
        </a:p>
      </xdr:txBody>
    </xdr:sp>
    <xdr:clientData/>
  </xdr:twoCellAnchor>
  <xdr:twoCellAnchor>
    <xdr:from>
      <xdr:col>5</xdr:col>
      <xdr:colOff>464344</xdr:colOff>
      <xdr:row>5</xdr:row>
      <xdr:rowOff>105104</xdr:rowOff>
    </xdr:from>
    <xdr:to>
      <xdr:col>13</xdr:col>
      <xdr:colOff>178594</xdr:colOff>
      <xdr:row>22</xdr:row>
      <xdr:rowOff>81643</xdr:rowOff>
    </xdr:to>
    <xdr:graphicFrame macro="">
      <xdr:nvGraphicFramePr>
        <xdr:cNvPr id="11" name="Chart 10">
          <a:extLst>
            <a:ext uri="{FF2B5EF4-FFF2-40B4-BE49-F238E27FC236}">
              <a16:creationId xmlns:a16="http://schemas.microsoft.com/office/drawing/2014/main" id="{B956B066-2944-408B-AC9E-330B3FFEB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310237</xdr:colOff>
      <xdr:row>5</xdr:row>
      <xdr:rowOff>118241</xdr:rowOff>
    </xdr:from>
    <xdr:to>
      <xdr:col>20</xdr:col>
      <xdr:colOff>118241</xdr:colOff>
      <xdr:row>22</xdr:row>
      <xdr:rowOff>54428</xdr:rowOff>
    </xdr:to>
    <xdr:graphicFrame macro="">
      <xdr:nvGraphicFramePr>
        <xdr:cNvPr id="12" name="Chart 11">
          <a:extLst>
            <a:ext uri="{FF2B5EF4-FFF2-40B4-BE49-F238E27FC236}">
              <a16:creationId xmlns:a16="http://schemas.microsoft.com/office/drawing/2014/main" id="{1B4792C4-C042-466B-BA42-F605832FE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477574</xdr:colOff>
      <xdr:row>23</xdr:row>
      <xdr:rowOff>108856</xdr:rowOff>
    </xdr:from>
    <xdr:to>
      <xdr:col>16</xdr:col>
      <xdr:colOff>66842</xdr:colOff>
      <xdr:row>38</xdr:row>
      <xdr:rowOff>95250</xdr:rowOff>
    </xdr:to>
    <xdr:graphicFrame macro="">
      <xdr:nvGraphicFramePr>
        <xdr:cNvPr id="15" name="Chart 14">
          <a:extLst>
            <a:ext uri="{FF2B5EF4-FFF2-40B4-BE49-F238E27FC236}">
              <a16:creationId xmlns:a16="http://schemas.microsoft.com/office/drawing/2014/main" id="{85D74A79-E8EA-45E6-8268-5A52D2F1E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223345</xdr:colOff>
      <xdr:row>23</xdr:row>
      <xdr:rowOff>97276</xdr:rowOff>
    </xdr:from>
    <xdr:to>
      <xdr:col>26</xdr:col>
      <xdr:colOff>414420</xdr:colOff>
      <xdr:row>38</xdr:row>
      <xdr:rowOff>108857</xdr:rowOff>
    </xdr:to>
    <xdr:graphicFrame macro="">
      <xdr:nvGraphicFramePr>
        <xdr:cNvPr id="16" name="Chart 15">
          <a:extLst>
            <a:ext uri="{FF2B5EF4-FFF2-40B4-BE49-F238E27FC236}">
              <a16:creationId xmlns:a16="http://schemas.microsoft.com/office/drawing/2014/main" id="{7332E785-2128-4FDE-8F42-A1E68D0F2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5</xdr:col>
          <xdr:colOff>540123</xdr:colOff>
          <xdr:row>39</xdr:row>
          <xdr:rowOff>81642</xdr:rowOff>
        </xdr:from>
        <xdr:to>
          <xdr:col>16</xdr:col>
          <xdr:colOff>88900</xdr:colOff>
          <xdr:row>54</xdr:row>
          <xdr:rowOff>149678</xdr:rowOff>
        </xdr:to>
        <xdr:pic>
          <xdr:nvPicPr>
            <xdr:cNvPr id="17" name="Picture 16">
              <a:extLst>
                <a:ext uri="{FF2B5EF4-FFF2-40B4-BE49-F238E27FC236}">
                  <a16:creationId xmlns:a16="http://schemas.microsoft.com/office/drawing/2014/main" id="{37426441-E55C-38ED-AD65-A81D617FD9A5}"/>
                </a:ext>
              </a:extLst>
            </xdr:cNvPr>
            <xdr:cNvPicPr>
              <a:picLocks noChangeAspect="1" noChangeArrowheads="1"/>
              <a:extLst>
                <a:ext uri="{84589F7E-364E-4C9E-8A38-B11213B215E9}">
                  <a14:cameraTool cellRange="'pivot tables'!$O$60:$Q$70" spid="_x0000_s1066"/>
                </a:ext>
              </a:extLst>
            </xdr:cNvPicPr>
          </xdr:nvPicPr>
          <xdr:blipFill>
            <a:blip xmlns:r="http://schemas.openxmlformats.org/officeDocument/2006/relationships" r:embed="rId5"/>
            <a:srcRect/>
            <a:stretch>
              <a:fillRect/>
            </a:stretch>
          </xdr:blipFill>
          <xdr:spPr bwMode="auto">
            <a:xfrm>
              <a:off x="3556373" y="7511142"/>
              <a:ext cx="6184527" cy="2925536"/>
            </a:xfrm>
            <a:prstGeom prst="rect">
              <a:avLst/>
            </a:prstGeom>
            <a:solidFill>
              <a:schemeClr val="accent5">
                <a:lumMod val="40000"/>
                <a:lumOff val="60000"/>
              </a:schemeClr>
            </a:solid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210207</xdr:colOff>
          <xdr:row>39</xdr:row>
          <xdr:rowOff>95250</xdr:rowOff>
        </xdr:from>
        <xdr:to>
          <xdr:col>26</xdr:col>
          <xdr:colOff>431800</xdr:colOff>
          <xdr:row>54</xdr:row>
          <xdr:rowOff>163285</xdr:rowOff>
        </xdr:to>
        <xdr:pic>
          <xdr:nvPicPr>
            <xdr:cNvPr id="18" name="Picture 17">
              <a:extLst>
                <a:ext uri="{FF2B5EF4-FFF2-40B4-BE49-F238E27FC236}">
                  <a16:creationId xmlns:a16="http://schemas.microsoft.com/office/drawing/2014/main" id="{7B68BA3D-D2FD-AF45-2054-6A3F002D38D9}"/>
                </a:ext>
              </a:extLst>
            </xdr:cNvPr>
            <xdr:cNvPicPr>
              <a:picLocks noChangeAspect="1" noChangeArrowheads="1"/>
              <a:extLst>
                <a:ext uri="{84589F7E-364E-4C9E-8A38-B11213B215E9}">
                  <a14:cameraTool cellRange="'pivot tables'!$S$60:$U$70" spid="_x0000_s1067"/>
                </a:ext>
              </a:extLst>
            </xdr:cNvPicPr>
          </xdr:nvPicPr>
          <xdr:blipFill>
            <a:blip xmlns:r="http://schemas.openxmlformats.org/officeDocument/2006/relationships" r:embed="rId6"/>
            <a:srcRect/>
            <a:stretch>
              <a:fillRect/>
            </a:stretch>
          </xdr:blipFill>
          <xdr:spPr bwMode="auto">
            <a:xfrm>
              <a:off x="10007350" y="6994071"/>
              <a:ext cx="6344807" cy="2721428"/>
            </a:xfrm>
            <a:prstGeom prst="rect">
              <a:avLst/>
            </a:prstGeom>
            <a:solidFill>
              <a:schemeClr val="accent5">
                <a:lumMod val="40000"/>
                <a:lumOff val="60000"/>
              </a:schemeClr>
            </a:solidFill>
          </xdr:spPr>
        </xdr:pic>
        <xdr:clientData/>
      </xdr:twoCellAnchor>
    </mc:Choice>
    <mc:Fallback/>
  </mc:AlternateContent>
  <xdr:twoCellAnchor>
    <xdr:from>
      <xdr:col>20</xdr:col>
      <xdr:colOff>284328</xdr:colOff>
      <xdr:row>5</xdr:row>
      <xdr:rowOff>91965</xdr:rowOff>
    </xdr:from>
    <xdr:to>
      <xdr:col>26</xdr:col>
      <xdr:colOff>439271</xdr:colOff>
      <xdr:row>22</xdr:row>
      <xdr:rowOff>27213</xdr:rowOff>
    </xdr:to>
    <xdr:graphicFrame macro="">
      <xdr:nvGraphicFramePr>
        <xdr:cNvPr id="19" name="Chart 18">
          <a:extLst>
            <a:ext uri="{FF2B5EF4-FFF2-40B4-BE49-F238E27FC236}">
              <a16:creationId xmlns:a16="http://schemas.microsoft.com/office/drawing/2014/main" id="{95B83218-E79B-4A9E-8E99-FF4C5D829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238125</xdr:colOff>
      <xdr:row>49</xdr:row>
      <xdr:rowOff>37183</xdr:rowOff>
    </xdr:from>
    <xdr:to>
      <xdr:col>5</xdr:col>
      <xdr:colOff>102054</xdr:colOff>
      <xdr:row>54</xdr:row>
      <xdr:rowOff>10907</xdr:rowOff>
    </xdr:to>
    <xdr:sp macro="" textlink="'pivot tables'!C155">
      <xdr:nvSpPr>
        <xdr:cNvPr id="20" name="TextBox 19">
          <a:extLst>
            <a:ext uri="{FF2B5EF4-FFF2-40B4-BE49-F238E27FC236}">
              <a16:creationId xmlns:a16="http://schemas.microsoft.com/office/drawing/2014/main" id="{DC9B94F0-B208-BF67-EE83-5759FCBC5BA2}"/>
            </a:ext>
          </a:extLst>
        </xdr:cNvPr>
        <xdr:cNvSpPr txBox="1"/>
      </xdr:nvSpPr>
      <xdr:spPr>
        <a:xfrm>
          <a:off x="841375" y="9371683"/>
          <a:ext cx="2276929" cy="926224"/>
        </a:xfrm>
        <a:prstGeom prst="rect">
          <a:avLst/>
        </a:prstGeom>
        <a:solidFill>
          <a:schemeClr val="accent5">
            <a:lumMod val="75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YEAR</a:t>
          </a:r>
          <a:r>
            <a:rPr lang="en-US" sz="1600" b="1" i="0" u="none" strike="noStrike" baseline="0">
              <a:solidFill>
                <a:schemeClr val="bg1"/>
              </a:solidFill>
              <a:latin typeface="Calibri"/>
              <a:ea typeface="Calibri"/>
              <a:cs typeface="Calibri"/>
            </a:rPr>
            <a:t>  BY AVG DELIVERY DAYS</a:t>
          </a:r>
          <a:endParaRPr lang="en-US" sz="1600" b="1" i="0" u="none" strike="noStrike">
            <a:solidFill>
              <a:schemeClr val="bg1"/>
            </a:solidFill>
            <a:latin typeface="Calibri"/>
            <a:ea typeface="Calibri"/>
            <a:cs typeface="Calibri"/>
          </a:endParaRPr>
        </a:p>
        <a:p>
          <a:pPr algn="ctr"/>
          <a:fld id="{224C5374-7B58-476B-A61D-8353708F027F}" type="TxLink">
            <a:rPr lang="en-US" sz="1600" b="1" i="0" u="none" strike="noStrike">
              <a:solidFill>
                <a:schemeClr val="bg1"/>
              </a:solidFill>
              <a:latin typeface="Calibri"/>
              <a:ea typeface="Calibri"/>
              <a:cs typeface="Calibri"/>
            </a:rPr>
            <a:pPr algn="ctr"/>
            <a:t>4</a:t>
          </a:fld>
          <a:endParaRPr lang="en-US" sz="1600" b="1">
            <a:solidFill>
              <a:schemeClr val="bg1"/>
            </a:solidFill>
          </a:endParaRPr>
        </a:p>
      </xdr:txBody>
    </xdr:sp>
    <xdr:clientData/>
  </xdr:twoCellAnchor>
  <xdr:twoCellAnchor>
    <xdr:from>
      <xdr:col>1</xdr:col>
      <xdr:colOff>211849</xdr:colOff>
      <xdr:row>6</xdr:row>
      <xdr:rowOff>159052</xdr:rowOff>
    </xdr:from>
    <xdr:to>
      <xdr:col>5</xdr:col>
      <xdr:colOff>119884</xdr:colOff>
      <xdr:row>10</xdr:row>
      <xdr:rowOff>112091</xdr:rowOff>
    </xdr:to>
    <xdr:sp macro="" textlink="'pivot tables'!B174">
      <xdr:nvSpPr>
        <xdr:cNvPr id="21" name="TextBox 20">
          <a:extLst>
            <a:ext uri="{FF2B5EF4-FFF2-40B4-BE49-F238E27FC236}">
              <a16:creationId xmlns:a16="http://schemas.microsoft.com/office/drawing/2014/main" id="{4C90F8B2-1F9F-07D2-3C7D-50E9579E9E33}"/>
            </a:ext>
          </a:extLst>
        </xdr:cNvPr>
        <xdr:cNvSpPr txBox="1"/>
      </xdr:nvSpPr>
      <xdr:spPr>
        <a:xfrm>
          <a:off x="815099" y="1302052"/>
          <a:ext cx="2321035" cy="715039"/>
        </a:xfrm>
        <a:prstGeom prst="rect">
          <a:avLst/>
        </a:prstGeom>
        <a:solidFill>
          <a:schemeClr val="accent5">
            <a:lumMod val="75000"/>
          </a:schemeClr>
        </a:solidFill>
        <a:ln w="9525" cmpd="sng">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bg1"/>
              </a:solidFill>
              <a:latin typeface="Calibri"/>
              <a:ea typeface="Calibri"/>
              <a:cs typeface="Calibri"/>
            </a:rPr>
            <a:t>TOTAL ORDER</a:t>
          </a:r>
        </a:p>
        <a:p>
          <a:pPr algn="ctr"/>
          <a:fld id="{47B4FCF7-80D7-400F-932B-9267BAF833FE}" type="TxLink">
            <a:rPr lang="en-US" sz="1800" b="1" i="0" u="none" strike="noStrike">
              <a:solidFill>
                <a:schemeClr val="bg1"/>
              </a:solidFill>
              <a:latin typeface="Calibri"/>
              <a:ea typeface="Calibri"/>
              <a:cs typeface="Calibri"/>
            </a:rPr>
            <a:pPr algn="ctr"/>
            <a:t>3203</a:t>
          </a:fld>
          <a:endParaRPr lang="en-US" sz="1800" b="1">
            <a:solidFill>
              <a:schemeClr val="bg1"/>
            </a:solidFill>
          </a:endParaRPr>
        </a:p>
      </xdr:txBody>
    </xdr:sp>
    <xdr:clientData/>
  </xdr:twoCellAnchor>
  <xdr:twoCellAnchor editAs="oneCell">
    <xdr:from>
      <xdr:col>27</xdr:col>
      <xdr:colOff>68036</xdr:colOff>
      <xdr:row>6</xdr:row>
      <xdr:rowOff>14941</xdr:rowOff>
    </xdr:from>
    <xdr:to>
      <xdr:col>30</xdr:col>
      <xdr:colOff>95624</xdr:colOff>
      <xdr:row>14</xdr:row>
      <xdr:rowOff>14942</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1B9E3EFF-72CB-4972-9453-2D652611E94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487588" y="1115608"/>
              <a:ext cx="1811368" cy="1467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68035</xdr:colOff>
      <xdr:row>15</xdr:row>
      <xdr:rowOff>0</xdr:rowOff>
    </xdr:from>
    <xdr:to>
      <xdr:col>30</xdr:col>
      <xdr:colOff>127907</xdr:colOff>
      <xdr:row>33</xdr:row>
      <xdr:rowOff>108857</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991F6D62-886A-4732-A38E-D490AC35AB7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519071" y="2609044"/>
              <a:ext cx="1812169" cy="2795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68035</xdr:colOff>
      <xdr:row>34</xdr:row>
      <xdr:rowOff>136071</xdr:rowOff>
    </xdr:from>
    <xdr:to>
      <xdr:col>30</xdr:col>
      <xdr:colOff>146616</xdr:colOff>
      <xdr:row>54</xdr:row>
      <xdr:rowOff>169333</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8DACC575-D522-42DA-BE24-3B435A132D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37781" y="5588001"/>
              <a:ext cx="1812169" cy="4487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597244</xdr:colOff>
      <xdr:row>0</xdr:row>
      <xdr:rowOff>144162</xdr:rowOff>
    </xdr:from>
    <xdr:to>
      <xdr:col>22</xdr:col>
      <xdr:colOff>82379</xdr:colOff>
      <xdr:row>4</xdr:row>
      <xdr:rowOff>123567</xdr:rowOff>
    </xdr:to>
    <xdr:pic>
      <xdr:nvPicPr>
        <xdr:cNvPr id="14" name="Graphic 13" descr="Bar graph with upward trend with solid fill">
          <a:extLst>
            <a:ext uri="{FF2B5EF4-FFF2-40B4-BE49-F238E27FC236}">
              <a16:creationId xmlns:a16="http://schemas.microsoft.com/office/drawing/2014/main" id="{A6532013-3DDC-C57F-89BC-FAABD9CFE9F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954001" y="144162"/>
          <a:ext cx="720810" cy="72081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33912036" backgroundQuery="1" createdVersion="8" refreshedVersion="8" minRefreshableVersion="3" recordCount="0" supportSubquery="1" supportAdvancedDrill="1" xr:uid="{E1F29E92-D007-4587-A2E8-F86778B34D7A}">
  <cacheSource type="external" connectionId="2"/>
  <cacheFields count="3">
    <cacheField name="[Measures].[Sum of Sales]" caption="Sum of Sales" numFmtId="0" hierarchy="18" level="32767"/>
    <cacheField name="[maintable_2].[Product Name].[Product Name]" caption="Product Name" numFmtId="0" hierarchy="4" level="1">
      <sharedItems count="5">
        <s v="Acco Banker's Clasps, 5 3/4&quot;-Long"/>
        <s v="Avery 511"/>
        <s v="Bagged Rubber Bands"/>
        <s v="Colored Push Pins"/>
        <s v="Wilson Jones DublLock D-Ring Binders"/>
      </sharedItems>
    </cacheField>
    <cacheField name="[maintable_2].[YEAR].[YEAR]" caption="YEAR" numFmtId="0" hierarchy="9" level="1">
      <sharedItems containsSemiMixedTypes="0" containsNonDate="0" containsString="0"/>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2" memberValueDatatype="130" unbalanced="0">
      <fieldsUsage count="2">
        <fieldUsage x="-1"/>
        <fieldUsage x="1"/>
      </fieldsUsage>
    </cacheHierarchy>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2" memberValueDatatype="20" unbalanced="0">
      <fieldsUsage count="2">
        <fieldUsage x="-1"/>
        <fieldUsage x="2"/>
      </fieldsUsage>
    </cacheHierarchy>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35300929" backgroundQuery="1" createdVersion="8" refreshedVersion="8" minRefreshableVersion="3" recordCount="0" supportSubquery="1" supportAdvancedDrill="1" xr:uid="{EC019A58-2F6C-4C96-8CAD-9AAE35A5A7AF}">
  <cacheSource type="external" connectionId="2"/>
  <cacheFields count="1">
    <cacheField name="[Measures].[Count of Order Date]" caption="Count of Order Date" numFmtId="0" hierarchy="27" level="32767"/>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36689815" backgroundQuery="1" createdVersion="8" refreshedVersion="8" minRefreshableVersion="3" recordCount="0" supportSubquery="1" supportAdvancedDrill="1" xr:uid="{9DDE3BB0-ECC0-4EA5-8639-889B48B37FD0}">
  <cacheSource type="external" connectionId="2"/>
  <cacheFields count="2">
    <cacheField name="[Measures].[Sum of Sales]" caption="Sum of Sales" numFmtId="0" hierarchy="18" level="32767"/>
    <cacheField name="[maintable_2].[Product Name].[Product Name]" caption="Product Name" numFmtId="0" hierarchy="4" level="1">
      <sharedItems count="5">
        <s v="Acco Banker's Clasps, 5 3/4&quot;-Long"/>
        <s v="Avery 511"/>
        <s v="Bagged Rubber Bands"/>
        <s v="Colored Push Pins"/>
        <s v="Wilson Jones DublLock D-Ring Binders"/>
      </sharedItems>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2" memberValueDatatype="130" unbalanced="0">
      <fieldsUsage count="2">
        <fieldUsage x="-1"/>
        <fieldUsage x="1"/>
      </fieldsUsage>
    </cacheHierarchy>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38310185" backgroundQuery="1" createdVersion="8" refreshedVersion="8" minRefreshableVersion="3" recordCount="0" supportSubquery="1" supportAdvancedDrill="1" xr:uid="{128D8CA1-50B4-42C6-9031-4139E62A0DAD}">
  <cacheSource type="external" connectionId="2"/>
  <cacheFields count="3">
    <cacheField name="[Measures].[Sum of Sales]" caption="Sum of Sales" numFmtId="0" hierarchy="18" level="32767"/>
    <cacheField name="[Measures].[Average of no of Days to delivery]" caption="Average of no of Days to delivery" numFmtId="0" hierarchy="21" level="32767"/>
    <cacheField name="[Measures].[Count of Product Name]" caption="Count of Product Name" numFmtId="0" hierarchy="22" level="32767"/>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41550926" backgroundQuery="1" createdVersion="8" refreshedVersion="8" minRefreshableVersion="3" recordCount="0" supportSubquery="1" supportAdvancedDrill="1" xr:uid="{36B9CDAD-2CD1-47D3-8C1E-2C2A698E27C0}">
  <cacheSource type="external" connectionId="2"/>
  <cacheFields count="2">
    <cacheField name="[Measures].[Sum of Sales]" caption="Sum of Sales" numFmtId="0" hierarchy="18" level="32767"/>
    <cacheField name="[maintable_2].[Product Name].[Product Name]" caption="Product Name" numFmtId="0" hierarchy="4" level="1">
      <sharedItems count="5">
        <s v="Canon imageCLASS 2200 Advanced Copier"/>
        <s v="Fellowes PB500 Electric Punch Plastic Comb Binding Machine with Manual Bind"/>
        <s v="Global Troy Executive Leather Low-Back Tilter"/>
        <s v="GuestStacker Chair with Chrome Finish Legs"/>
        <s v="High Speed Automatic Electric Letter Opener"/>
      </sharedItems>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2" memberValueDatatype="130" unbalanced="0">
      <fieldsUsage count="2">
        <fieldUsage x="-1"/>
        <fieldUsage x="1"/>
      </fieldsUsage>
    </cacheHierarchy>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42824073" backgroundQuery="1" createdVersion="8" refreshedVersion="8" minRefreshableVersion="3" recordCount="0" supportSubquery="1" supportAdvancedDrill="1" xr:uid="{8539BFCE-4763-4D3C-9B52-A4A163BE61EB}">
  <cacheSource type="external" connectionId="2"/>
  <cacheFields count="2">
    <cacheField name="[Measures].[Sum of Sales]" caption="Sum of Sales" numFmtId="0" hierarchy="18" level="32767"/>
    <cacheField name="[maintable_2].[Product Name].[Product Name]" caption="Product Name" numFmtId="0" hierarchy="4" level="1">
      <sharedItems count="5">
        <s v="Acco Banker's Clasps, 5 3/4&quot;-Long"/>
        <s v="Avery 511"/>
        <s v="Bagged Rubber Bands"/>
        <s v="Colored Push Pins"/>
        <s v="Wilson Jones DublLock D-Ring Binders"/>
      </sharedItems>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2" memberValueDatatype="130" unbalanced="0">
      <fieldsUsage count="2">
        <fieldUsage x="-1"/>
        <fieldUsage x="1"/>
      </fieldsUsage>
    </cacheHierarchy>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43981482" backgroundQuery="1" createdVersion="8" refreshedVersion="8" minRefreshableVersion="3" recordCount="0" supportSubquery="1" supportAdvancedDrill="1" xr:uid="{DF7AF6CD-0128-4FFA-9AB8-6DC27530FB31}">
  <cacheSource type="external" connectionId="2"/>
  <cacheFields count="2">
    <cacheField name="[maintable_2].[Product Name].[Product Name]" caption="Product Name" numFmtId="0" hierarchy="4" level="1">
      <sharedItems count="5">
        <s v="Acco Banker's Clasps, 5 3/4&quot;-Long"/>
        <s v="Avery 511"/>
        <s v="Bagged Rubber Bands"/>
        <s v="Colored Push Pins"/>
        <s v="Wilson Jones DublLock D-Ring Binders"/>
      </sharedItems>
    </cacheField>
    <cacheField name="[Measures].[Sum of Profit]" caption="Sum of Profit" numFmtId="0" hierarchy="19" level="32767"/>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2" memberValueDatatype="130" unbalanced="0">
      <fieldsUsage count="2">
        <fieldUsage x="-1"/>
        <fieldUsage x="0"/>
      </fieldsUsage>
    </cacheHierarchy>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4513889" backgroundQuery="1" createdVersion="8" refreshedVersion="8" minRefreshableVersion="3" recordCount="0" supportSubquery="1" supportAdvancedDrill="1" xr:uid="{E5F060A2-2DE1-4B45-8D07-1D1CC609BCAA}">
  <cacheSource type="external" connectionId="2"/>
  <cacheFields count="1">
    <cacheField name="[Measures].[Sum of Quantity]" caption="Sum of Quantity" numFmtId="0" hierarchy="24" level="32767"/>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682766204" backgroundQuery="1" createdVersion="8" refreshedVersion="8" minRefreshableVersion="3" recordCount="0" supportSubquery="1" supportAdvancedDrill="1" xr:uid="{90405880-512D-46E4-BC1A-EF477939F028}">
  <cacheSource type="external" connectionId="2"/>
  <cacheFields count="3">
    <cacheField name="[Measures].[Sum of Sales]" caption="Sum of Sales" numFmtId="0" hierarchy="18" level="32767"/>
    <cacheField name="[maintable_2].[Product Name].[Product Name]" caption="Product Name" numFmtId="0" hierarchy="4" level="1">
      <sharedItems count="5">
        <s v="Acco Banker's Clasps, 5 3/4&quot;-Long"/>
        <s v="Avery 511"/>
        <s v="Bagged Rubber Bands"/>
        <s v="Colored Push Pins"/>
        <s v="Wilson Jones DublLock D-Ring Binders"/>
      </sharedItems>
    </cacheField>
    <cacheField name="[maintable_2].[YEAR].[YEAR]" caption="YEAR" numFmtId="0" hierarchy="9"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maintable_2].[YEAR].&amp;[2011]"/>
            <x15:cachedUniqueName index="1" name="[maintable_2].[YEAR].&amp;[2012]"/>
            <x15:cachedUniqueName index="2" name="[maintable_2].[YEAR].&amp;[2013]"/>
            <x15:cachedUniqueName index="3" name="[maintable_2].[YEAR].&amp;[2014]"/>
          </x15:cachedUniqueNames>
        </ext>
      </extLst>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2" memberValueDatatype="130" unbalanced="0">
      <fieldsUsage count="2">
        <fieldUsage x="-1"/>
        <fieldUsage x="1"/>
      </fieldsUsage>
    </cacheHierarchy>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2" memberValueDatatype="20" unbalanced="0">
      <fieldsUsage count="2">
        <fieldUsage x="-1"/>
        <fieldUsage x="2"/>
      </fieldsUsage>
    </cacheHierarchy>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6828935187" backgroundQuery="1" createdVersion="8" refreshedVersion="8" minRefreshableVersion="3" recordCount="0" supportSubquery="1" supportAdvancedDrill="1" xr:uid="{F7DF72B1-1D75-4495-AE08-B52186AAEC05}">
  <cacheSource type="external" connectionId="2"/>
  <cacheFields count="4">
    <cacheField name="[maintable_2].[QUARTER].[QUARTER]" caption="QUARTER" numFmtId="0" hierarchy="10" level="1">
      <sharedItems count="5">
        <s v="Q0"/>
        <s v="Q1"/>
        <s v="Q2"/>
        <s v="Q3"/>
        <s v="Q4"/>
      </sharedItems>
    </cacheField>
    <cacheField name="[Measures].[Sum of Sales]" caption="Sum of Sales" numFmtId="0" hierarchy="18" level="32767"/>
    <cacheField name="[maintable_2].[MONTH].[MONTH]" caption="MONTH" numFmtId="0" hierarchy="14" level="1">
      <sharedItems containsSemiMixedTypes="0" containsNonDate="0" containsString="0"/>
    </cacheField>
    <cacheField name="[maintable_2].[YEAR].[YEAR]" caption="YEAR" numFmtId="0" hierarchy="9" level="1">
      <sharedItems containsSemiMixedTypes="0" containsNonDate="0" containsString="0"/>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2" memberValueDatatype="20" unbalanced="0">
      <fieldsUsage count="2">
        <fieldUsage x="-1"/>
        <fieldUsage x="3"/>
      </fieldsUsage>
    </cacheHierarchy>
    <cacheHierarchy uniqueName="[maintable_2].[QUARTER]" caption="QUARTER" attribute="1" defaultMemberUniqueName="[maintable_2].[QUARTER].[All]" allUniqueName="[maintable_2].[QUARTER].[All]" dimensionUniqueName="[maintable_2]" displayFolder="" count="2" memberValueDatatype="130" unbalanced="0">
      <fieldsUsage count="2">
        <fieldUsage x="-1"/>
        <fieldUsage x="0"/>
      </fieldsUsage>
    </cacheHierarchy>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2" memberValueDatatype="130" unbalanced="0">
      <fieldsUsage count="2">
        <fieldUsage x="-1"/>
        <fieldUsage x="2"/>
      </fieldsUsage>
    </cacheHierarchy>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6830208334" backgroundQuery="1" createdVersion="8" refreshedVersion="8" minRefreshableVersion="3" recordCount="0" supportSubquery="1" supportAdvancedDrill="1" xr:uid="{56DA17BB-E3D5-40DF-8202-C853390ADD09}">
  <cacheSource type="external" connectionId="2"/>
  <cacheFields count="2">
    <cacheField name="[maintable_2].[YEAR].[YEAR]" caption="YEAR" numFmtId="0" hierarchy="9"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maintable_2].[YEAR].&amp;[2011]"/>
            <x15:cachedUniqueName index="1" name="[maintable_2].[YEAR].&amp;[2012]"/>
            <x15:cachedUniqueName index="2" name="[maintable_2].[YEAR].&amp;[2013]"/>
            <x15:cachedUniqueName index="3" name="[maintable_2].[YEAR].&amp;[2014]"/>
          </x15:cachedUniqueNames>
        </ext>
      </extLst>
    </cacheField>
    <cacheField name="[Measures].[Average of no of Days to delivery]" caption="Average of no of Days to delivery" numFmtId="0" hierarchy="21" level="32767"/>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2" memberValueDatatype="20" unbalanced="0">
      <fieldsUsage count="2">
        <fieldUsage x="-1"/>
        <fieldUsage x="0"/>
      </fieldsUsage>
    </cacheHierarchy>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6831481481" backgroundQuery="1" createdVersion="8" refreshedVersion="8" minRefreshableVersion="3" recordCount="0" supportSubquery="1" supportAdvancedDrill="1" xr:uid="{DD434A8B-6183-4D04-B796-945487BCC530}">
  <cacheSource type="external" connectionId="2"/>
  <cacheFields count="3">
    <cacheField name="[maintable_2].[MONTH].[MONTH]" caption="MONTH" numFmtId="0" hierarchy="14" level="1">
      <sharedItems count="12">
        <s v="April"/>
        <s v="August"/>
        <s v="December"/>
        <s v="February"/>
        <s v="January"/>
        <s v="July"/>
        <s v="June"/>
        <s v="March"/>
        <s v="May"/>
        <s v="November"/>
        <s v="October"/>
        <s v="September"/>
      </sharedItems>
    </cacheField>
    <cacheField name="[Measures].[Sum of Sales]" caption="Sum of Sales" numFmtId="0" hierarchy="18" level="32767"/>
    <cacheField name="[maintable_2].[YEAR].[YEAR]" caption="YEAR" numFmtId="0" hierarchy="9" level="1">
      <sharedItems containsSemiMixedTypes="0" containsNonDate="0" containsString="0"/>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0" memberValueDatatype="130" unbalanced="0"/>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2" memberValueDatatype="20" unbalanced="0">
      <fieldsUsage count="2">
        <fieldUsage x="-1"/>
        <fieldUsage x="2"/>
      </fieldsUsage>
    </cacheHierarchy>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2" memberValueDatatype="130" unbalanced="0">
      <fieldsUsage count="2">
        <fieldUsage x="-1"/>
        <fieldUsage x="0"/>
      </fieldsUsage>
    </cacheHierarchy>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8282407408" backgroundQuery="1" createdVersion="8" refreshedVersion="8" minRefreshableVersion="3" recordCount="0" supportSubquery="1" supportAdvancedDrill="1" xr:uid="{8550B8F9-A207-43A9-9560-A0170FEEC46C}">
  <cacheSource type="external" connectionId="2"/>
  <cacheFields count="2">
    <cacheField name="[maintable_2].[Category].[Category]" caption="Category" numFmtId="0" hierarchy="3"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18" level="32767"/>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2" memberValueDatatype="130" unbalanced="0">
      <fieldsUsage count="2">
        <fieldUsage x="-1"/>
        <fieldUsage x="0"/>
      </fieldsUsage>
    </cacheHierarchy>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2"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828391204" backgroundQuery="1" createdVersion="8" refreshedVersion="8" minRefreshableVersion="3" recordCount="0" supportSubquery="1" supportAdvancedDrill="1" xr:uid="{7D9CD904-D270-499F-AA17-F2A652B7CBDD}">
  <cacheSource type="external" connectionId="2"/>
  <cacheFields count="3">
    <cacheField name="[maintable_2].[Category].[Category]" caption="Category" numFmtId="0" hierarchy="3"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19" level="32767"/>
    <cacheField name="[maintable_2].[MONTH].[MONTH]" caption="MONTH" numFmtId="0" hierarchy="14" level="1">
      <sharedItems containsSemiMixedTypes="0" containsNonDate="0" containsString="0"/>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2" memberValueDatatype="130" unbalanced="0">
      <fieldsUsage count="2">
        <fieldUsage x="-1"/>
        <fieldUsage x="0"/>
      </fieldsUsage>
    </cacheHierarchy>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2" memberValueDatatype="130" unbalanced="0">
      <fieldsUsage count="2">
        <fieldUsage x="-1"/>
        <fieldUsage x="2"/>
      </fieldsUsage>
    </cacheHierarchy>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8284953703" backgroundQuery="1" createdVersion="8" refreshedVersion="8" minRefreshableVersion="3" recordCount="0" supportSubquery="1" supportAdvancedDrill="1" xr:uid="{D401CB61-E33F-4F8A-9D14-5C0E212D8526}">
  <cacheSource type="external" connectionId="2"/>
  <cacheFields count="2">
    <cacheField name="[maintable_2].[Category].[Category]" caption="Category" numFmtId="0" hierarchy="3" level="1">
      <sharedItems count="17">
        <s v="Accessories"/>
        <s v="Appliances"/>
        <s v="Art"/>
        <s v="Binders"/>
        <s v="Bookcases"/>
        <s v="Chairs"/>
        <s v="Copiers"/>
        <s v="Envelopes"/>
        <s v="Fasteners"/>
        <s v="Furnishings"/>
        <s v="Labels"/>
        <s v="Machines"/>
        <s v="Paper"/>
        <s v="Phones"/>
        <s v="Storage"/>
        <s v="Supplies"/>
        <s v="Tables"/>
      </sharedItems>
    </cacheField>
    <cacheField name="[Measures].[Sum of Quantity]" caption="Sum of Quantity" numFmtId="0" hierarchy="24" level="32767"/>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2" memberValueDatatype="130" unbalanced="0">
      <fieldsUsage count="2">
        <fieldUsage x="-1"/>
        <fieldUsage x="0"/>
      </fieldsUsage>
    </cacheHierarchy>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0"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8285995372" backgroundQuery="1" createdVersion="8" refreshedVersion="8" minRefreshableVersion="3" recordCount="0" supportSubquery="1" supportAdvancedDrill="1" xr:uid="{9E8FD8C5-3F18-45E1-8F29-3620C8B05AE0}">
  <cacheSource type="external" connectionId="2"/>
  <cacheFields count="4">
    <cacheField name="[maintable_2].[Product Name].[Product Name]" caption="Product Name" numFmtId="0" hierarchy="4" level="1">
      <sharedItems count="10">
        <s v="Acco Banker's Clasps, 5 3/4&quot;-Long"/>
        <s v="Acco Economy Flexible Poly Round Ring Binder"/>
        <s v="Avery 510"/>
        <s v="Avery 511"/>
        <s v="Avery Round Ring Poly Binders"/>
        <s v="Bagged Rubber Bands"/>
        <s v="Colored Push Pins"/>
        <s v="Design Ebony Sketching Pencil"/>
        <s v="Sterling Rubber Bands by Alliance"/>
        <s v="Wilson Jones DublLock D-Ring Binders"/>
      </sharedItems>
    </cacheField>
    <cacheField name="[Measures].[Sum of Sales]" caption="Sum of Sales" numFmtId="0" hierarchy="18" level="32767"/>
    <cacheField name="[Measures].[Sum of Profit]" caption="Sum of Profit" numFmtId="0" hierarchy="19" level="32767"/>
    <cacheField name="[maintable_2].[Category].[Category]" caption="Category" numFmtId="0" hierarchy="3" level="1">
      <sharedItems containsSemiMixedTypes="0" containsNonDate="0" containsString="0"/>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2" memberValueDatatype="130" unbalanced="0">
      <fieldsUsage count="2">
        <fieldUsage x="-1"/>
        <fieldUsage x="3"/>
      </fieldsUsage>
    </cacheHierarchy>
    <cacheHierarchy uniqueName="[maintable_2].[Product Name]" caption="Product Name" attribute="1" defaultMemberUniqueName="[maintable_2].[Product Name].[All]" allUniqueName="[maintable_2].[Product Name].[All]" dimensionUniqueName="[maintable_2]" displayFolder="" count="2" memberValueDatatype="130" unbalanced="0">
      <fieldsUsage count="2">
        <fieldUsage x="-1"/>
        <fieldUsage x="0"/>
      </fieldsUsage>
    </cacheHierarchy>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2"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38287152781" backgroundQuery="1" createdVersion="8" refreshedVersion="8" minRefreshableVersion="3" recordCount="0" supportSubquery="1" supportAdvancedDrill="1" xr:uid="{F2CEFE12-5990-449F-8EAF-C63288F8E178}">
  <cacheSource type="external" connectionId="2"/>
  <cacheFields count="4">
    <cacheField name="[maintable_2].[Product Name].[Product Name]" caption="Product Name" numFmtId="0" hierarchy="4" level="1">
      <sharedItems count="10">
        <s v="Bretford Rectangular Conference Table Tops"/>
        <s v="Canon imageCLASS 2200 Advanced Copier"/>
        <s v="Canon PC1060 Personal Laser Copier"/>
        <s v="Fellowes PB500 Electric Punch Plastic Comb Binding Machine with Manual Bind"/>
        <s v="Global Troy Executive Leather Low-Back Tilter"/>
        <s v="GuestStacker Chair with Chrome Finish Legs"/>
        <s v="Hewlett Packard LaserJet 3310 Copier"/>
        <s v="High Speed Automatic Electric Letter Opener"/>
        <s v="LogitechÂ P710e Mobile Speakerphone"/>
        <s v="Okidata MB760 Printer"/>
      </sharedItems>
    </cacheField>
    <cacheField name="[Measures].[Sum of Sales]" caption="Sum of Sales" numFmtId="0" hierarchy="18" level="32767"/>
    <cacheField name="[Measures].[Sum of Profit]" caption="Sum of Profit" numFmtId="0" hierarchy="19" level="32767"/>
    <cacheField name="[maintable_2].[Category].[Category]" caption="Category" numFmtId="0" hierarchy="3" level="1">
      <sharedItems containsSemiMixedTypes="0" containsNonDate="0" containsString="0"/>
    </cacheField>
  </cacheFields>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2" memberValueDatatype="130" unbalanced="0">
      <fieldsUsage count="2">
        <fieldUsage x="-1"/>
        <fieldUsage x="3"/>
      </fieldsUsage>
    </cacheHierarchy>
    <cacheHierarchy uniqueName="[maintable_2].[Product Name]" caption="Product Name" attribute="1" defaultMemberUniqueName="[maintable_2].[Product Name].[All]" allUniqueName="[maintable_2].[Product Name].[All]" dimensionUniqueName="[maintable_2]" displayFolder="" count="2" memberValueDatatype="130" unbalanced="0">
      <fieldsUsage count="2">
        <fieldUsage x="-1"/>
        <fieldUsage x="0"/>
      </fieldsUsage>
    </cacheHierarchy>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2"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0"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dimensions count="2">
    <dimension name="maintable_2" uniqueName="[maintable_2]" caption="maintable_2"/>
    <dimension measure="1" name="Measures" uniqueName="[Measures]" caption="Measures"/>
  </dimensions>
  <measureGroups count="1">
    <measureGroup name="maintable_2" caption="maintable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280.710615046293" backgroundQuery="1" createdVersion="3" refreshedVersion="8" minRefreshableVersion="3" recordCount="0" supportSubquery="1" supportAdvancedDrill="1" xr:uid="{A2BCB53B-17B3-4D31-8201-B7C6F4987FAF}">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maintable_2].[Order Date]" caption="Order Date" attribute="1" time="1" defaultMemberUniqueName="[maintable_2].[Order Date].[All]" allUniqueName="[maintable_2].[Order Date].[All]" dimensionUniqueName="[maintable_2]" displayFolder="" count="0" memberValueDatatype="7" unbalanced="0"/>
    <cacheHierarchy uniqueName="[maintable_2].[Ship Date]" caption="Ship Date" attribute="1" time="1" defaultMemberUniqueName="[maintable_2].[Ship Date].[All]" allUniqueName="[maintable_2].[Ship Date].[All]" dimensionUniqueName="[maintable_2]" displayFolder="" count="0" memberValueDatatype="7" unbalanced="0"/>
    <cacheHierarchy uniqueName="[maintable_2].[EmailID]" caption="EmailID" attribute="1" defaultMemberUniqueName="[maintable_2].[EmailID].[All]" allUniqueName="[maintable_2].[EmailID].[All]" dimensionUniqueName="[maintable_2]" displayFolder="" count="0" memberValueDatatype="130" unbalanced="0"/>
    <cacheHierarchy uniqueName="[maintable_2].[Category]" caption="Category" attribute="1" defaultMemberUniqueName="[maintable_2].[Category].[All]" allUniqueName="[maintable_2].[Category].[All]" dimensionUniqueName="[maintable_2]" displayFolder="" count="2" memberValueDatatype="130" unbalanced="0"/>
    <cacheHierarchy uniqueName="[maintable_2].[Product Name]" caption="Product Name" attribute="1" defaultMemberUniqueName="[maintable_2].[Product Name].[All]" allUniqueName="[maintable_2].[Product Name].[All]" dimensionUniqueName="[maintable_2]" displayFolder="" count="0" memberValueDatatype="130" unbalanced="0"/>
    <cacheHierarchy uniqueName="[maintable_2].[Sales]" caption="Sales" attribute="1" defaultMemberUniqueName="[maintable_2].[Sales].[All]" allUniqueName="[maintable_2].[Sales].[All]" dimensionUniqueName="[maintable_2]" displayFolder="" count="0" memberValueDatatype="5" unbalanced="0"/>
    <cacheHierarchy uniqueName="[maintable_2].[Quantity]" caption="Quantity" attribute="1" defaultMemberUniqueName="[maintable_2].[Quantity].[All]" allUniqueName="[maintable_2].[Quantity].[All]" dimensionUniqueName="[maintable_2]" displayFolder="" count="0" memberValueDatatype="20" unbalanced="0"/>
    <cacheHierarchy uniqueName="[maintable_2].[Profit]" caption="Profit" attribute="1" defaultMemberUniqueName="[maintable_2].[Profit].[All]" allUniqueName="[maintable_2].[Profit].[All]" dimensionUniqueName="[maintable_2]" displayFolder="" count="0" memberValueDatatype="5" unbalanced="0"/>
    <cacheHierarchy uniqueName="[maintable_2].[no of Days to delivery]" caption="no of Days to delivery" attribute="1" defaultMemberUniqueName="[maintable_2].[no of Days to delivery].[All]" allUniqueName="[maintable_2].[no of Days to delivery].[All]" dimensionUniqueName="[maintable_2]" displayFolder="" count="0" memberValueDatatype="20" unbalanced="0"/>
    <cacheHierarchy uniqueName="[maintable_2].[YEAR]" caption="YEAR" attribute="1" defaultMemberUniqueName="[maintable_2].[YEAR].[All]" allUniqueName="[maintable_2].[YEAR].[All]" dimensionUniqueName="[maintable_2]" displayFolder="" count="2" memberValueDatatype="20" unbalanced="0"/>
    <cacheHierarchy uniqueName="[maintable_2].[QUARTER]" caption="QUARTER" attribute="1" defaultMemberUniqueName="[maintable_2].[QUARTER].[All]" allUniqueName="[maintable_2].[QUARTER].[All]" dimensionUniqueName="[maintable_2]" displayFolder="" count="0" memberValueDatatype="130" unbalanced="0"/>
    <cacheHierarchy uniqueName="[maintable_2].[Order Date.1 (Year)]" caption="Order Date.1 (Year)" attribute="1" defaultMemberUniqueName="[maintable_2].[Order Date.1 (Year)].[All]" allUniqueName="[maintable_2].[Order Date.1 (Year)].[All]" dimensionUniqueName="[maintable_2]" displayFolder="" count="0" memberValueDatatype="20" unbalanced="0"/>
    <cacheHierarchy uniqueName="[maintable_2].[Order Date.1 (Quarter)]" caption="Order Date.1 (Quarter)" attribute="1" defaultMemberUniqueName="[maintable_2].[Order Date.1 (Quarter)].[All]" allUniqueName="[maintable_2].[Order Date.1 (Quarter)].[All]" dimensionUniqueName="[maintable_2]" displayFolder="" count="0" memberValueDatatype="20" unbalanced="0"/>
    <cacheHierarchy uniqueName="[maintable_2].[Order Date.1 (Month)]" caption="Order Date.1 (Month)" attribute="1" defaultMemberUniqueName="[maintable_2].[Order Date.1 (Month)].[All]" allUniqueName="[maintable_2].[Order Date.1 (Month)].[All]" dimensionUniqueName="[maintable_2]" displayFolder="" count="0" memberValueDatatype="20" unbalanced="0"/>
    <cacheHierarchy uniqueName="[maintable_2].[MONTH]" caption="MONTH" attribute="1" defaultMemberUniqueName="[maintable_2].[MONTH].[All]" allUniqueName="[maintable_2].[MONTH].[All]" dimensionUniqueName="[maintable_2]" displayFolder="" count="2" memberValueDatatype="130" unbalanced="0"/>
    <cacheHierarchy uniqueName="[maintable_2].[Order Date.1 (Month Index)]" caption="Order Date.1 (Month Index)" attribute="1" defaultMemberUniqueName="[maintable_2].[Order Date.1 (Month Index)].[All]" allUniqueName="[maintable_2].[Order Date.1 (Month Index)].[All]" dimensionUniqueName="[maintable_2]" displayFolder="" count="0" memberValueDatatype="20" unbalanced="0" hidden="1"/>
    <cacheHierarchy uniqueName="[Measures].[__XL_Count maintable_2]" caption="__XL_Count maintable_2" measure="1" displayFolder="" measureGroup="maintable_2" count="0" hidden="1"/>
    <cacheHierarchy uniqueName="[Measures].[__No measures defined]" caption="__No measures defined" measure="1" displayFolder="" count="0" hidden="1"/>
    <cacheHierarchy uniqueName="[Measures].[Sum of Sales]" caption="Sum of Sales" measure="1" displayFolder="" measureGroup="maintable_2"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maintable_2" count="0" hidden="1">
      <extLst>
        <ext xmlns:x15="http://schemas.microsoft.com/office/spreadsheetml/2010/11/main" uri="{B97F6D7D-B522-45F9-BDA1-12C45D357490}">
          <x15:cacheHierarchy aggregatedColumn="7"/>
        </ext>
      </extLst>
    </cacheHierarchy>
    <cacheHierarchy uniqueName="[Measures].[Sum of no of Days to delivery]" caption="Sum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Average of no of Days to delivery]" caption="Average of no of Days to delivery" measure="1" displayFolder="" measureGroup="maintable_2" count="0" hidden="1">
      <extLst>
        <ext xmlns:x15="http://schemas.microsoft.com/office/spreadsheetml/2010/11/main" uri="{B97F6D7D-B522-45F9-BDA1-12C45D357490}">
          <x15:cacheHierarchy aggregatedColumn="8"/>
        </ext>
      </extLst>
    </cacheHierarchy>
    <cacheHierarchy uniqueName="[Measures].[Count of Product Name]" caption="Count of Product Name" measure="1" displayFolder="" measureGroup="maintable_2"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maintable_2"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maintable_2" count="0" hidden="1">
      <extLst>
        <ext xmlns:x15="http://schemas.microsoft.com/office/spreadsheetml/2010/11/main" uri="{B97F6D7D-B522-45F9-BDA1-12C45D357490}">
          <x15:cacheHierarchy aggregatedColumn="6"/>
        </ext>
      </extLst>
    </cacheHierarchy>
    <cacheHierarchy uniqueName="[Measures].[Sum of Order Date.1 (Quarter)]" caption="Sum of Order Date.1 (Quarter)" measure="1" displayFolder="" measureGroup="maintable_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maintable_2" count="0" hidden="1">
      <extLst>
        <ext xmlns:x15="http://schemas.microsoft.com/office/spreadsheetml/2010/11/main" uri="{B97F6D7D-B522-45F9-BDA1-12C45D357490}">
          <x15:cacheHierarchy aggregatedColumn="9"/>
        </ext>
      </extLst>
    </cacheHierarchy>
    <cacheHierarchy uniqueName="[Measures].[Count of Order Date]" caption="Count of Order Date" measure="1" displayFolder="" measureGroup="maintable_2" count="0" hidden="1">
      <extLst>
        <ext xmlns:x15="http://schemas.microsoft.com/office/spreadsheetml/2010/11/main" uri="{B97F6D7D-B522-45F9-BDA1-12C45D357490}">
          <x15:cacheHierarchy aggregatedColumn="0"/>
        </ext>
      </extLst>
    </cacheHierarchy>
    <cacheHierarchy uniqueName="[Measures].[Sum of Order Date.1 (Month)]" caption="Sum of Order Date.1 (Month)" measure="1" displayFolder="" measureGroup="maintable_2"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7463186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97BFD9-DA9A-436B-89D0-ED54E2E74A69}" name="bottom 10 products"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QUARTER">
  <location ref="S43:U54"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1" baseField="0" baseItem="0"/>
    <dataField name="Sum of Profit" fld="2"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8">
      <autoFilter ref="A1">
        <filterColumn colId="0">
          <top10 top="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8C5426-C35E-474A-A6B9-D1F32C494F2F}" name="MONTH WISE SALES"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9:A50" firstHeaderRow="1" firstDataRow="1" firstDataCol="0"/>
  <pivotFields count="2">
    <pivotField dataField="1" subtotalTop="0" showAll="0" defaultSubtotal="0"/>
    <pivotField allDrilled="1" subtotalTop="0" showAll="0" measureFilter="1" dataSourceSort="1" defaultSubtotal="0" defaultAttributeDrillState="1">
      <items count="5">
        <item x="0"/>
        <item x="1"/>
        <item x="2"/>
        <item x="3"/>
        <item x="4"/>
      </items>
    </pivotField>
  </pivotFields>
  <rowItems count="1">
    <i/>
  </rowItems>
  <colItems count="1">
    <i/>
  </colItems>
  <dataFields count="1">
    <dataField name="Sum of Sales"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8">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4116B-83EE-4AEE-ACA2-554047B3948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3:B174" firstHeaderRow="1" firstDataRow="1" firstDataCol="0"/>
  <pivotFields count="1">
    <pivotField dataField="1" subtotalTop="0" showAll="0" defaultSubtotal="0"/>
  </pivotFields>
  <rowItems count="1">
    <i/>
  </rowItems>
  <colItems count="1">
    <i/>
  </colItems>
  <dataFields count="1">
    <dataField name="Count of Order Date" fld="0" subtotal="count" baseField="0" baseItem="0"/>
  </dataFields>
  <formats count="1">
    <format dxfId="5">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 of Days to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760173-8880-4B35-AF76-EE4254BFCFE8}" name="QUARTER BY SALES"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5">
  <location ref="B134:C14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formats count="1">
    <format dxfId="6">
      <pivotArea outline="0" collapsedLevelsAreSubtotals="1" fieldPosition="0"/>
    </format>
  </formats>
  <chartFormats count="1">
    <chartFormat chart="4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maintable_2].[MONTH].&amp;[January]"/>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AA3957-833F-4EC7-A4F6-6FFB718053F0}" name="TOP 5 PRODUCTS WISE SALES"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2:I18"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8">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45D03C-A640-4715-A812-315A7AF94218}" name="AVG DELIVERY DAYS BT TEAR"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50:C15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no of Days to delivery" fld="1" subtotal="average" baseField="0" baseItem="0" numFmtId="1"/>
  </dataFields>
  <formats count="1">
    <format dxfId="7">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 of Days to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37D6C1-326D-475E-9860-D7F033D55773}" name="top 10 products"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QUARTER">
  <location ref="O43:Q54"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1" baseField="0" baseItem="0"/>
    <dataField name="Sum of Profit" fld="2"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8">
      <autoFilter ref="A1">
        <filterColumn colId="0">
          <top10 val="10" filterVal="10"/>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1CE8E5-5414-4866-904E-8E13D44E5B36}" name="PROFIT by category"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B83:C101"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 baseField="0" baseItem="0" numFmtId="1"/>
  </dataFields>
  <formats count="1">
    <format dxfId="8">
      <pivotArea outline="0" collapsedLevelsAreSubtotals="1" fieldPosition="0"/>
    </format>
  </formats>
  <chartFormats count="1">
    <chartFormat chart="28"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_2].[MONTH].&amp;[July]"/>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B68900-A1F3-4A75-BC1A-DBC9F477E125}" name="sales by month"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79:C19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9">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 of Days to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F17F06-B84F-4B62-8FB0-CEF0067BAB54}" name="QUANTITY BY CATEGORY"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108:C126"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 baseField="0" baseItem="0"/>
  </dataFields>
  <formats count="1">
    <format dxfId="10">
      <pivotArea outline="0" collapsedLevelsAreSubtotals="1" fieldPosition="0"/>
    </format>
  </formats>
  <chartFormats count="2">
    <chartFormat chart="34"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A50290-D24E-4442-B760-CFF1538AB3E5}" name="BOTTOM 5 PRODUCTS SALE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27:I33"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8">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13EB7F-7EE1-4DC6-A551-753E5D476EF4}"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QUARTER">
  <location ref="E1:E2"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Sum of Profit" fld="1" baseField="0" baseItem="0" numFmtId="165"/>
  </dataFields>
  <formats count="1">
    <format dxfId="11">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8">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74C3AF-03D6-4ED8-82B1-C3B32397ED48}" name="YEAR WISE SALES"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8:B43"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Sales"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8">
      <autoFilter ref="A1">
        <filterColumn colId="0">
          <top10 top="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8C43BB-46B0-4377-BDAE-04018837C980}" name="QUARTER WISE SALES"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QUARTER">
  <location ref="A69:A70" firstHeaderRow="1" firstDataRow="1" firstDataCol="0"/>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Items count="1">
    <i/>
  </rowItems>
  <colItems count="1">
    <i/>
  </colItems>
  <dataFields count="1">
    <dataField name="Sum of Sales"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table_2].[YEAR].&amp;[2012]"/>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8">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55F225-8025-4EF3-B1BD-39D665009635}" name="Category wise sales"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12:B30"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4004EC-B6A0-48B0-9020-AC0D845F6BFF}"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6:B167" firstHeaderRow="1" firstDataRow="1" firstDataCol="0"/>
  <pivotFields count="1">
    <pivotField dataField="1" subtotalTop="0" showAll="0" defaultSubtotal="0"/>
  </pivotFields>
  <rowItems count="1">
    <i/>
  </rowItems>
  <colItems count="1">
    <i/>
  </colItems>
  <dataFields count="1">
    <dataField name="Sum of Quantity" fld="0" baseField="0" baseItem="0"/>
  </dataFields>
  <formats count="1">
    <format dxfId="12">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 of Days to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07DFC27-B155-483C-A7AE-E300671E1E12}"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C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0" baseField="0" baseItem="0" numFmtId="165"/>
    <dataField name="Average of no of Days to delivery" fld="1" subtotal="average" baseField="0" baseItem="1" numFmtId="1"/>
    <dataField name="Count of Product Name" fld="2" subtotal="count" baseField="0" baseItem="0"/>
  </dataFields>
  <formats count="2">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0"/>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no of Days to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dataset.xlsx!maintable_2">
        <x15:activeTabTopLevelEntity name="[maintable_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1CD6DF-C802-4825-915A-C0497365CA4F}" sourceName="[maintable_2].[YEAR]">
  <pivotTables>
    <pivotTable tabId="2" name="top 10 products"/>
    <pivotTable tabId="2" name="YEAR WISE SALES"/>
    <pivotTable tabId="2" name="QUARTER BY SALES"/>
    <pivotTable tabId="2" name="AVG DELIVERY DAYS BT TEAR"/>
    <pivotTable tabId="2" name="sales by month"/>
    <pivotTable tabId="2" name="bottom 10 products"/>
  </pivotTables>
  <data>
    <olap pivotCacheId="746318641">
      <levels count="2">
        <level uniqueName="[maintable_2].[YEAR].[(All)]" sourceCaption="(All)" count="0"/>
        <level uniqueName="[maintable_2].[YEAR].[YEAR]" sourceCaption="YEAR" count="4">
          <ranges>
            <range startItem="0">
              <i n="[maintable_2].[YEAR].&amp;[2011]" c="2011"/>
              <i n="[maintable_2].[YEAR].&amp;[2012]" c="2012"/>
              <i n="[maintable_2].[YEAR].&amp;[2013]" c="2013"/>
              <i n="[maintable_2].[YEAR].&amp;[2014]" c="2014"/>
            </range>
          </ranges>
        </level>
      </levels>
      <selections count="1">
        <selection n="[maintable_2].[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3B0E479-FCBE-4E32-AA7F-E3F9D776B172}" sourceName="[maintable_2].[MONTH]">
  <pivotTables>
    <pivotTable tabId="2" name="sales by month"/>
    <pivotTable tabId="2" name="Category wise sales"/>
  </pivotTables>
  <data>
    <olap pivotCacheId="746318641">
      <levels count="2">
        <level uniqueName="[maintable_2].[MONTH].[(All)]" sourceCaption="(All)" count="0"/>
        <level uniqueName="[maintable_2].[MONTH].[MONTH]" sourceCaption="MONTH" count="12">
          <ranges>
            <range startItem="0">
              <i n="[maintable_2].[MONTH].&amp;[April]" c="April"/>
              <i n="[maintable_2].[MONTH].&amp;[August]" c="August"/>
              <i n="[maintable_2].[MONTH].&amp;[December]" c="December"/>
              <i n="[maintable_2].[MONTH].&amp;[February]" c="February"/>
              <i n="[maintable_2].[MONTH].&amp;[January]" c="January"/>
              <i n="[maintable_2].[MONTH].&amp;[July]" c="July"/>
              <i n="[maintable_2].[MONTH].&amp;[June]" c="June"/>
              <i n="[maintable_2].[MONTH].&amp;[March]" c="March"/>
              <i n="[maintable_2].[MONTH].&amp;[May]" c="May"/>
              <i n="[maintable_2].[MONTH].&amp;[November]" c="November"/>
              <i n="[maintable_2].[MONTH].&amp;[October]" c="October"/>
              <i n="[maintable_2].[MONTH].&amp;[September]" c="September"/>
            </range>
          </ranges>
        </level>
      </levels>
      <selections count="1">
        <selection n="[maintable_2].[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49D29D-490A-45E8-9C7B-C44456C7F790}" sourceName="[maintable_2].[Category]">
  <pivotTables>
    <pivotTable tabId="2" name="Category wise sales"/>
    <pivotTable tabId="2" name="PROFIT by category"/>
    <pivotTable tabId="2" name="QUANTITY BY CATEGORY"/>
    <pivotTable tabId="2" name="bottom 10 products"/>
    <pivotTable tabId="2" name="top 10 products"/>
  </pivotTables>
  <data>
    <olap pivotCacheId="746318641">
      <levels count="2">
        <level uniqueName="[maintable_2].[Category].[(All)]" sourceCaption="(All)" count="0"/>
        <level uniqueName="[maintable_2].[Category].[Category]" sourceCaption="Category" count="17">
          <ranges>
            <range startItem="0">
              <i n="[maintable_2].[Category].&amp;[Accessories]" c="Accessories"/>
              <i n="[maintable_2].[Category].&amp;[Appliances]" c="Appliances"/>
              <i n="[maintable_2].[Category].&amp;[Art]" c="Art"/>
              <i n="[maintable_2].[Category].&amp;[Binders]" c="Binders"/>
              <i n="[maintable_2].[Category].&amp;[Bookcases]" c="Bookcases"/>
              <i n="[maintable_2].[Category].&amp;[Chairs]" c="Chairs"/>
              <i n="[maintable_2].[Category].&amp;[Copiers]" c="Copiers"/>
              <i n="[maintable_2].[Category].&amp;[Envelopes]" c="Envelopes"/>
              <i n="[maintable_2].[Category].&amp;[Fasteners]" c="Fasteners"/>
              <i n="[maintable_2].[Category].&amp;[Furnishings]" c="Furnishings"/>
              <i n="[maintable_2].[Category].&amp;[Labels]" c="Labels"/>
              <i n="[maintable_2].[Category].&amp;[Machines]" c="Machines"/>
              <i n="[maintable_2].[Category].&amp;[Paper]" c="Paper"/>
              <i n="[maintable_2].[Category].&amp;[Phones]" c="Phones"/>
              <i n="[maintable_2].[Category].&amp;[Storage]" c="Storage"/>
              <i n="[maintable_2].[Category].&amp;[Supplies]" c="Supplies"/>
              <i n="[maintable_2].[Category].&amp;[Tables]" c="Tables"/>
            </range>
          </ranges>
        </level>
      </levels>
      <selections count="1">
        <selection n="[maintable_2].[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2795747-0177-4646-8B9A-3814D3846C68}" cache="Slicer_YEAR" caption="YEAR" level="1" style="SlicerStyleOther2" rowHeight="234950"/>
  <slicer name="MONTH" xr10:uid="{2732BF6F-FD8C-47CD-8154-6A0EA7296B54}" cache="Slicer_MONTH" caption="MONTH" level="1" style="SlicerStyleOther2" rowHeight="234950"/>
  <slicer name="Category" xr10:uid="{E315E82D-8701-4C41-B57E-022FEBB350C4}" cache="Slicer_Category" caption="Category" level="1"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1BE93F-4C63-4ABD-975F-38AFC1A94256}" name="maintable_2" displayName="maintable_2" ref="A1:L3204" totalsRowShown="0">
  <autoFilter ref="A1:L3204" xr:uid="{781BE93F-4C63-4ABD-975F-38AFC1A94256}"/>
  <tableColumns count="12">
    <tableColumn id="1" xr3:uid="{FAB52C75-E21B-4C7A-A7AB-7375006EB7C8}" name="Order Date" dataDxfId="21"/>
    <tableColumn id="2" xr3:uid="{7CA1C4A0-4D96-434B-8669-7A21C476E465}" name="Ship Date" dataDxfId="20"/>
    <tableColumn id="3" xr3:uid="{F1CE74E3-D0DE-41E3-B4E9-90BFC7A7347F}" name="EmailID" dataDxfId="19"/>
    <tableColumn id="4" xr3:uid="{67A738D4-7779-4142-B92A-9FAD2B8468EF}" name="Category" dataDxfId="18"/>
    <tableColumn id="5" xr3:uid="{564A7173-3427-4142-BFB0-3200D247D74F}" name="Product Name" dataDxfId="17"/>
    <tableColumn id="6" xr3:uid="{5EDEE594-815A-4C8A-B27C-6877374A93F8}" name="Sales"/>
    <tableColumn id="7" xr3:uid="{C6720929-3E58-413C-9F4C-F5F2068924F7}" name="Quantity"/>
    <tableColumn id="8" xr3:uid="{D38E556D-2F7C-4158-8038-3F1354C39F1B}" name="Profit"/>
    <tableColumn id="9" xr3:uid="{68CD71D7-87D7-47D0-9081-AA174ECF34FA}" name="no of Days to delivery"/>
    <tableColumn id="10" xr3:uid="{4B9D8A8A-5533-4779-9349-9FB6285BF3BF}" name="YEAR"/>
    <tableColumn id="11" xr3:uid="{9B0C1EEB-CD47-4E4D-B872-22B962155516}" name="QUARTER" dataDxfId="16"/>
    <tableColumn id="12" xr3:uid="{DBEC378A-EE10-4E2C-9B90-235155D22FD6}" name="MONTH" dataDxfId="15">
      <calculatedColumnFormula>TEXT(maintable_2[[#This Row],[Order Date]],"mmmm")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A664-8795-4C2F-8884-7760DF65B2CA}">
  <dimension ref="A1:L3204"/>
  <sheetViews>
    <sheetView workbookViewId="0">
      <selection activeCell="O9" sqref="O9"/>
    </sheetView>
  </sheetViews>
  <sheetFormatPr defaultRowHeight="14.4" x14ac:dyDescent="0.3"/>
  <cols>
    <col min="1" max="1" width="13.88671875" style="1" bestFit="1" customWidth="1"/>
    <col min="2" max="2" width="12.77734375" style="1" bestFit="1" customWidth="1"/>
    <col min="3" max="3" width="30.5546875" bestFit="1" customWidth="1"/>
    <col min="4" max="4" width="10.77734375" bestFit="1" customWidth="1"/>
    <col min="5" max="5" width="80.88671875" bestFit="1" customWidth="1"/>
    <col min="6" max="6" width="9" bestFit="1" customWidth="1"/>
    <col min="7" max="7" width="10.5546875" bestFit="1" customWidth="1"/>
    <col min="8" max="8" width="10" bestFit="1" customWidth="1"/>
    <col min="9" max="9" width="21.6640625" bestFit="1" customWidth="1"/>
    <col min="10" max="10" width="7.5546875" bestFit="1" customWidth="1"/>
    <col min="11" max="11" width="12.88671875" bestFit="1" customWidth="1"/>
  </cols>
  <sheetData>
    <row r="1" spans="1:12" x14ac:dyDescent="0.3">
      <c r="A1" s="1" t="s">
        <v>2222</v>
      </c>
      <c r="B1" s="1" t="s">
        <v>2223</v>
      </c>
      <c r="C1" t="s">
        <v>0</v>
      </c>
      <c r="D1" t="s">
        <v>1</v>
      </c>
      <c r="E1" t="s">
        <v>2</v>
      </c>
      <c r="F1" t="s">
        <v>3</v>
      </c>
      <c r="G1" t="s">
        <v>4</v>
      </c>
      <c r="H1" t="s">
        <v>5</v>
      </c>
      <c r="I1" t="s">
        <v>6</v>
      </c>
      <c r="J1" t="s">
        <v>2204</v>
      </c>
      <c r="K1" t="s">
        <v>2219</v>
      </c>
      <c r="L1" t="s">
        <v>2231</v>
      </c>
    </row>
    <row r="2" spans="1:12" x14ac:dyDescent="0.3">
      <c r="A2" s="1">
        <v>41438</v>
      </c>
      <c r="B2" s="1">
        <v>41442</v>
      </c>
      <c r="C2" t="s">
        <v>7</v>
      </c>
      <c r="D2" t="s">
        <v>8</v>
      </c>
      <c r="E2" t="s">
        <v>9</v>
      </c>
      <c r="F2">
        <v>14.62</v>
      </c>
      <c r="G2">
        <v>2</v>
      </c>
      <c r="H2">
        <v>6.8714000000000004</v>
      </c>
      <c r="I2">
        <v>4</v>
      </c>
      <c r="J2">
        <v>2013</v>
      </c>
      <c r="K2" t="s">
        <v>2206</v>
      </c>
      <c r="L2" t="str">
        <f>TEXT(maintable_2[[#This Row],[Order Date]],"mmmm")</f>
        <v>June</v>
      </c>
    </row>
    <row r="3" spans="1:12" x14ac:dyDescent="0.3">
      <c r="A3" s="1">
        <v>40703</v>
      </c>
      <c r="B3" s="1">
        <v>40708</v>
      </c>
      <c r="C3" t="s">
        <v>10</v>
      </c>
      <c r="D3" t="s">
        <v>11</v>
      </c>
      <c r="E3" t="s">
        <v>12</v>
      </c>
      <c r="F3">
        <v>48.86</v>
      </c>
      <c r="G3">
        <v>7</v>
      </c>
      <c r="H3">
        <v>14.1694</v>
      </c>
      <c r="I3">
        <v>5</v>
      </c>
      <c r="J3">
        <v>2011</v>
      </c>
      <c r="K3" t="s">
        <v>2206</v>
      </c>
      <c r="L3" t="str">
        <f>TEXT(maintable_2[[#This Row],[Order Date]],"mmmm")</f>
        <v>June</v>
      </c>
    </row>
    <row r="4" spans="1:12" x14ac:dyDescent="0.3">
      <c r="A4" s="1">
        <v>40703</v>
      </c>
      <c r="B4" s="1">
        <v>40708</v>
      </c>
      <c r="C4" t="s">
        <v>10</v>
      </c>
      <c r="D4" t="s">
        <v>13</v>
      </c>
      <c r="E4" t="s">
        <v>14</v>
      </c>
      <c r="F4">
        <v>7.28</v>
      </c>
      <c r="G4">
        <v>4</v>
      </c>
      <c r="H4">
        <v>1.9656</v>
      </c>
      <c r="I4">
        <v>5</v>
      </c>
      <c r="J4">
        <v>2011</v>
      </c>
      <c r="K4" t="s">
        <v>2206</v>
      </c>
      <c r="L4" t="str">
        <f>TEXT(maintable_2[[#This Row],[Order Date]],"mmmm")</f>
        <v>June</v>
      </c>
    </row>
    <row r="5" spans="1:12" x14ac:dyDescent="0.3">
      <c r="A5" s="1">
        <v>40703</v>
      </c>
      <c r="B5" s="1">
        <v>40708</v>
      </c>
      <c r="C5" t="s">
        <v>10</v>
      </c>
      <c r="D5" t="s">
        <v>15</v>
      </c>
      <c r="E5" t="s">
        <v>16</v>
      </c>
      <c r="F5">
        <v>907.15200000000004</v>
      </c>
      <c r="G5">
        <v>4</v>
      </c>
      <c r="H5">
        <v>90.715199999999996</v>
      </c>
      <c r="I5">
        <v>5</v>
      </c>
      <c r="J5">
        <v>2011</v>
      </c>
      <c r="K5" t="s">
        <v>2206</v>
      </c>
      <c r="L5" t="str">
        <f>TEXT(maintable_2[[#This Row],[Order Date]],"mmmm")</f>
        <v>June</v>
      </c>
    </row>
    <row r="6" spans="1:12" x14ac:dyDescent="0.3">
      <c r="A6" s="1">
        <v>40703</v>
      </c>
      <c r="B6" s="1">
        <v>40708</v>
      </c>
      <c r="C6" t="s">
        <v>10</v>
      </c>
      <c r="D6" t="s">
        <v>17</v>
      </c>
      <c r="E6" t="s">
        <v>18</v>
      </c>
      <c r="F6">
        <v>18.504000000000001</v>
      </c>
      <c r="G6">
        <v>3</v>
      </c>
      <c r="H6">
        <v>5.7824999999999998</v>
      </c>
      <c r="I6">
        <v>5</v>
      </c>
      <c r="J6">
        <v>2011</v>
      </c>
      <c r="K6" t="s">
        <v>2206</v>
      </c>
      <c r="L6" t="str">
        <f>TEXT(maintable_2[[#This Row],[Order Date]],"mmmm")</f>
        <v>June</v>
      </c>
    </row>
    <row r="7" spans="1:12" x14ac:dyDescent="0.3">
      <c r="A7" s="1">
        <v>40703</v>
      </c>
      <c r="B7" s="1">
        <v>40708</v>
      </c>
      <c r="C7" t="s">
        <v>10</v>
      </c>
      <c r="D7" t="s">
        <v>19</v>
      </c>
      <c r="E7" t="s">
        <v>20</v>
      </c>
      <c r="F7">
        <v>114.9</v>
      </c>
      <c r="G7">
        <v>5</v>
      </c>
      <c r="H7">
        <v>34.47</v>
      </c>
      <c r="I7">
        <v>5</v>
      </c>
      <c r="J7">
        <v>2011</v>
      </c>
      <c r="K7" t="s">
        <v>2206</v>
      </c>
      <c r="L7" t="str">
        <f>TEXT(maintable_2[[#This Row],[Order Date]],"mmmm")</f>
        <v>June</v>
      </c>
    </row>
    <row r="8" spans="1:12" x14ac:dyDescent="0.3">
      <c r="A8" s="1">
        <v>40703</v>
      </c>
      <c r="B8" s="1">
        <v>40708</v>
      </c>
      <c r="C8" t="s">
        <v>10</v>
      </c>
      <c r="D8" t="s">
        <v>21</v>
      </c>
      <c r="E8" t="s">
        <v>22</v>
      </c>
      <c r="F8">
        <v>1706.184</v>
      </c>
      <c r="G8">
        <v>9</v>
      </c>
      <c r="H8">
        <v>85.309200000000004</v>
      </c>
      <c r="I8">
        <v>5</v>
      </c>
      <c r="J8">
        <v>2011</v>
      </c>
      <c r="K8" t="s">
        <v>2206</v>
      </c>
      <c r="L8" t="str">
        <f>TEXT(maintable_2[[#This Row],[Order Date]],"mmmm")</f>
        <v>June</v>
      </c>
    </row>
    <row r="9" spans="1:12" x14ac:dyDescent="0.3">
      <c r="A9" s="1">
        <v>40703</v>
      </c>
      <c r="B9" s="1">
        <v>40708</v>
      </c>
      <c r="C9" t="s">
        <v>10</v>
      </c>
      <c r="D9" t="s">
        <v>15</v>
      </c>
      <c r="E9" t="s">
        <v>23</v>
      </c>
      <c r="F9">
        <v>911.42399999999998</v>
      </c>
      <c r="G9">
        <v>4</v>
      </c>
      <c r="H9">
        <v>68.356800000000007</v>
      </c>
      <c r="I9">
        <v>5</v>
      </c>
      <c r="J9">
        <v>2011</v>
      </c>
      <c r="K9" t="s">
        <v>2206</v>
      </c>
      <c r="L9" t="str">
        <f>TEXT(maintable_2[[#This Row],[Order Date]],"mmmm")</f>
        <v>June</v>
      </c>
    </row>
    <row r="10" spans="1:12" x14ac:dyDescent="0.3">
      <c r="A10" s="1">
        <v>41614</v>
      </c>
      <c r="B10" s="1">
        <v>41619</v>
      </c>
      <c r="C10" t="s">
        <v>24</v>
      </c>
      <c r="D10" t="s">
        <v>17</v>
      </c>
      <c r="E10" t="s">
        <v>25</v>
      </c>
      <c r="F10">
        <v>407.976</v>
      </c>
      <c r="G10">
        <v>3</v>
      </c>
      <c r="H10">
        <v>132.59219999999999</v>
      </c>
      <c r="I10">
        <v>5</v>
      </c>
      <c r="J10">
        <v>2013</v>
      </c>
      <c r="K10" t="s">
        <v>2207</v>
      </c>
      <c r="L10" t="str">
        <f>TEXT(maintable_2[[#This Row],[Order Date]],"mmmm")</f>
        <v>December</v>
      </c>
    </row>
    <row r="11" spans="1:12" x14ac:dyDescent="0.3">
      <c r="A11" s="1">
        <v>40676</v>
      </c>
      <c r="B11" s="1">
        <v>40678</v>
      </c>
      <c r="C11" t="s">
        <v>26</v>
      </c>
      <c r="D11" t="s">
        <v>27</v>
      </c>
      <c r="E11" t="s">
        <v>28</v>
      </c>
      <c r="F11">
        <v>55.5</v>
      </c>
      <c r="G11">
        <v>2</v>
      </c>
      <c r="H11">
        <v>9.99</v>
      </c>
      <c r="I11">
        <v>2</v>
      </c>
      <c r="J11">
        <v>2011</v>
      </c>
      <c r="K11" t="s">
        <v>2208</v>
      </c>
      <c r="L11" t="str">
        <f>TEXT(maintable_2[[#This Row],[Order Date]],"mmmm")</f>
        <v>May</v>
      </c>
    </row>
    <row r="12" spans="1:12" x14ac:dyDescent="0.3">
      <c r="A12" s="1">
        <v>40782</v>
      </c>
      <c r="B12" s="1">
        <v>40787</v>
      </c>
      <c r="C12" t="s">
        <v>29</v>
      </c>
      <c r="D12" t="s">
        <v>13</v>
      </c>
      <c r="E12" t="s">
        <v>30</v>
      </c>
      <c r="F12">
        <v>8.56</v>
      </c>
      <c r="G12">
        <v>2</v>
      </c>
      <c r="H12">
        <v>2.4824000000000002</v>
      </c>
      <c r="I12">
        <v>5</v>
      </c>
      <c r="J12">
        <v>2011</v>
      </c>
      <c r="K12" t="s">
        <v>2206</v>
      </c>
      <c r="L12" t="str">
        <f>TEXT(maintable_2[[#This Row],[Order Date]],"mmmm")</f>
        <v>August</v>
      </c>
    </row>
    <row r="13" spans="1:12" x14ac:dyDescent="0.3">
      <c r="A13" s="1">
        <v>40782</v>
      </c>
      <c r="B13" s="1">
        <v>40787</v>
      </c>
      <c r="C13" t="s">
        <v>29</v>
      </c>
      <c r="D13" t="s">
        <v>15</v>
      </c>
      <c r="E13" t="s">
        <v>31</v>
      </c>
      <c r="F13">
        <v>213.48</v>
      </c>
      <c r="G13">
        <v>3</v>
      </c>
      <c r="H13">
        <v>16.010999999999999</v>
      </c>
      <c r="I13">
        <v>5</v>
      </c>
      <c r="J13">
        <v>2011</v>
      </c>
      <c r="K13" t="s">
        <v>2206</v>
      </c>
      <c r="L13" t="str">
        <f>TEXT(maintable_2[[#This Row],[Order Date]],"mmmm")</f>
        <v>August</v>
      </c>
    </row>
    <row r="14" spans="1:12" x14ac:dyDescent="0.3">
      <c r="A14" s="1">
        <v>40782</v>
      </c>
      <c r="B14" s="1">
        <v>40787</v>
      </c>
      <c r="C14" t="s">
        <v>29</v>
      </c>
      <c r="D14" t="s">
        <v>17</v>
      </c>
      <c r="E14" t="s">
        <v>32</v>
      </c>
      <c r="F14">
        <v>22.72</v>
      </c>
      <c r="G14">
        <v>4</v>
      </c>
      <c r="H14">
        <v>7.3840000000000003</v>
      </c>
      <c r="I14">
        <v>5</v>
      </c>
      <c r="J14">
        <v>2011</v>
      </c>
      <c r="K14" t="s">
        <v>2206</v>
      </c>
      <c r="L14" t="str">
        <f>TEXT(maintable_2[[#This Row],[Order Date]],"mmmm")</f>
        <v>August</v>
      </c>
    </row>
    <row r="15" spans="1:12" x14ac:dyDescent="0.3">
      <c r="A15" s="1">
        <v>41177</v>
      </c>
      <c r="B15" s="1">
        <v>41182</v>
      </c>
      <c r="C15" t="s">
        <v>33</v>
      </c>
      <c r="D15" t="s">
        <v>21</v>
      </c>
      <c r="E15" t="s">
        <v>34</v>
      </c>
      <c r="F15">
        <v>1044.6300000000001</v>
      </c>
      <c r="G15">
        <v>3</v>
      </c>
      <c r="H15">
        <v>240.26490000000001</v>
      </c>
      <c r="I15">
        <v>5</v>
      </c>
      <c r="J15">
        <v>2012</v>
      </c>
      <c r="K15" t="s">
        <v>2209</v>
      </c>
      <c r="L15" t="str">
        <f>TEXT(maintable_2[[#This Row],[Order Date]],"mmmm")</f>
        <v>September</v>
      </c>
    </row>
    <row r="16" spans="1:12" x14ac:dyDescent="0.3">
      <c r="A16" s="1">
        <v>41290</v>
      </c>
      <c r="B16" s="1">
        <v>41294</v>
      </c>
      <c r="C16" t="s">
        <v>35</v>
      </c>
      <c r="D16" t="s">
        <v>17</v>
      </c>
      <c r="E16" t="s">
        <v>36</v>
      </c>
      <c r="F16">
        <v>11.648</v>
      </c>
      <c r="G16">
        <v>2</v>
      </c>
      <c r="H16">
        <v>4.2224000000000004</v>
      </c>
      <c r="I16">
        <v>4</v>
      </c>
      <c r="J16">
        <v>2013</v>
      </c>
      <c r="K16" t="s">
        <v>2210</v>
      </c>
      <c r="L16" t="str">
        <f>TEXT(maintable_2[[#This Row],[Order Date]],"mmmm")</f>
        <v>January</v>
      </c>
    </row>
    <row r="17" spans="1:12" x14ac:dyDescent="0.3">
      <c r="A17" s="1">
        <v>41290</v>
      </c>
      <c r="B17" s="1">
        <v>41294</v>
      </c>
      <c r="C17" t="s">
        <v>35</v>
      </c>
      <c r="D17" t="s">
        <v>37</v>
      </c>
      <c r="E17" t="s">
        <v>38</v>
      </c>
      <c r="F17">
        <v>90.57</v>
      </c>
      <c r="G17">
        <v>3</v>
      </c>
      <c r="H17">
        <v>11.774100000000001</v>
      </c>
      <c r="I17">
        <v>4</v>
      </c>
      <c r="J17">
        <v>2013</v>
      </c>
      <c r="K17" t="s">
        <v>2210</v>
      </c>
      <c r="L17" t="str">
        <f>TEXT(maintable_2[[#This Row],[Order Date]],"mmmm")</f>
        <v>January</v>
      </c>
    </row>
    <row r="18" spans="1:12" x14ac:dyDescent="0.3">
      <c r="A18" s="1">
        <v>41473</v>
      </c>
      <c r="B18" s="1">
        <v>41478</v>
      </c>
      <c r="C18" t="s">
        <v>39</v>
      </c>
      <c r="D18" t="s">
        <v>27</v>
      </c>
      <c r="E18" t="s">
        <v>40</v>
      </c>
      <c r="F18">
        <v>77.88</v>
      </c>
      <c r="G18">
        <v>2</v>
      </c>
      <c r="H18">
        <v>3.8940000000000001</v>
      </c>
      <c r="I18">
        <v>5</v>
      </c>
      <c r="J18">
        <v>2013</v>
      </c>
      <c r="K18" t="s">
        <v>2206</v>
      </c>
      <c r="L18" t="str">
        <f>TEXT(maintable_2[[#This Row],[Order Date]],"mmmm")</f>
        <v>July</v>
      </c>
    </row>
    <row r="19" spans="1:12" x14ac:dyDescent="0.3">
      <c r="A19" s="1">
        <v>41237</v>
      </c>
      <c r="B19" s="1">
        <v>41243</v>
      </c>
      <c r="C19" t="s">
        <v>41</v>
      </c>
      <c r="D19" t="s">
        <v>37</v>
      </c>
      <c r="E19" t="s">
        <v>42</v>
      </c>
      <c r="F19">
        <v>13.98</v>
      </c>
      <c r="G19">
        <v>2</v>
      </c>
      <c r="H19">
        <v>6.1512000000000002</v>
      </c>
      <c r="I19">
        <v>6</v>
      </c>
      <c r="J19">
        <v>2012</v>
      </c>
      <c r="K19" t="s">
        <v>2209</v>
      </c>
      <c r="L19" t="str">
        <f>TEXT(maintable_2[[#This Row],[Order Date]],"mmmm")</f>
        <v>November</v>
      </c>
    </row>
    <row r="20" spans="1:12" x14ac:dyDescent="0.3">
      <c r="A20" s="1">
        <v>41237</v>
      </c>
      <c r="B20" s="1">
        <v>41243</v>
      </c>
      <c r="C20" t="s">
        <v>41</v>
      </c>
      <c r="D20" t="s">
        <v>17</v>
      </c>
      <c r="E20" t="s">
        <v>43</v>
      </c>
      <c r="F20">
        <v>25.824000000000002</v>
      </c>
      <c r="G20">
        <v>6</v>
      </c>
      <c r="H20">
        <v>9.3612000000000002</v>
      </c>
      <c r="I20">
        <v>6</v>
      </c>
      <c r="J20">
        <v>2012</v>
      </c>
      <c r="K20" t="s">
        <v>2209</v>
      </c>
      <c r="L20" t="str">
        <f>TEXT(maintable_2[[#This Row],[Order Date]],"mmmm")</f>
        <v>November</v>
      </c>
    </row>
    <row r="21" spans="1:12" x14ac:dyDescent="0.3">
      <c r="A21" s="1">
        <v>41237</v>
      </c>
      <c r="B21" s="1">
        <v>41243</v>
      </c>
      <c r="C21" t="s">
        <v>41</v>
      </c>
      <c r="D21" t="s">
        <v>44</v>
      </c>
      <c r="E21" t="s">
        <v>45</v>
      </c>
      <c r="F21">
        <v>146.72999999999999</v>
      </c>
      <c r="G21">
        <v>3</v>
      </c>
      <c r="H21">
        <v>68.963099999999997</v>
      </c>
      <c r="I21">
        <v>6</v>
      </c>
      <c r="J21">
        <v>2012</v>
      </c>
      <c r="K21" t="s">
        <v>2209</v>
      </c>
      <c r="L21" t="str">
        <f>TEXT(maintable_2[[#This Row],[Order Date]],"mmmm")</f>
        <v>November</v>
      </c>
    </row>
    <row r="22" spans="1:12" x14ac:dyDescent="0.3">
      <c r="A22" s="1">
        <v>41237</v>
      </c>
      <c r="B22" s="1">
        <v>41243</v>
      </c>
      <c r="C22" t="s">
        <v>41</v>
      </c>
      <c r="D22" t="s">
        <v>11</v>
      </c>
      <c r="E22" t="s">
        <v>46</v>
      </c>
      <c r="F22">
        <v>79.760000000000005</v>
      </c>
      <c r="G22">
        <v>4</v>
      </c>
      <c r="H22">
        <v>22.332799999999999</v>
      </c>
      <c r="I22">
        <v>6</v>
      </c>
      <c r="J22">
        <v>2012</v>
      </c>
      <c r="K22" t="s">
        <v>2209</v>
      </c>
      <c r="L22" t="str">
        <f>TEXT(maintable_2[[#This Row],[Order Date]],"mmmm")</f>
        <v>November</v>
      </c>
    </row>
    <row r="23" spans="1:12" x14ac:dyDescent="0.3">
      <c r="A23" s="1">
        <v>40882</v>
      </c>
      <c r="B23" s="1">
        <v>40887</v>
      </c>
      <c r="C23" t="s">
        <v>47</v>
      </c>
      <c r="D23" t="s">
        <v>13</v>
      </c>
      <c r="E23" t="s">
        <v>48</v>
      </c>
      <c r="F23">
        <v>1113.0239999999999</v>
      </c>
      <c r="G23">
        <v>8</v>
      </c>
      <c r="H23">
        <v>111.30240000000001</v>
      </c>
      <c r="I23">
        <v>5</v>
      </c>
      <c r="J23">
        <v>2011</v>
      </c>
      <c r="K23" t="s">
        <v>2207</v>
      </c>
      <c r="L23" t="str">
        <f>TEXT(maintable_2[[#This Row],[Order Date]],"mmmm")</f>
        <v>December</v>
      </c>
    </row>
    <row r="24" spans="1:12" x14ac:dyDescent="0.3">
      <c r="A24" s="1">
        <v>40882</v>
      </c>
      <c r="B24" s="1">
        <v>40887</v>
      </c>
      <c r="C24" t="s">
        <v>47</v>
      </c>
      <c r="D24" t="s">
        <v>15</v>
      </c>
      <c r="E24" t="s">
        <v>49</v>
      </c>
      <c r="F24">
        <v>167.96799999999999</v>
      </c>
      <c r="G24">
        <v>4</v>
      </c>
      <c r="H24">
        <v>62.988</v>
      </c>
      <c r="I24">
        <v>5</v>
      </c>
      <c r="J24">
        <v>2011</v>
      </c>
      <c r="K24" t="s">
        <v>2207</v>
      </c>
      <c r="L24" t="str">
        <f>TEXT(maintable_2[[#This Row],[Order Date]],"mmmm")</f>
        <v>December</v>
      </c>
    </row>
    <row r="25" spans="1:12" x14ac:dyDescent="0.3">
      <c r="A25" s="1">
        <v>40828</v>
      </c>
      <c r="B25" s="1">
        <v>40832</v>
      </c>
      <c r="C25" t="s">
        <v>50</v>
      </c>
      <c r="D25" t="s">
        <v>13</v>
      </c>
      <c r="E25" t="s">
        <v>51</v>
      </c>
      <c r="F25">
        <v>14.9</v>
      </c>
      <c r="G25">
        <v>5</v>
      </c>
      <c r="H25">
        <v>4.1719999999999997</v>
      </c>
      <c r="I25">
        <v>4</v>
      </c>
      <c r="J25">
        <v>2011</v>
      </c>
      <c r="K25" t="s">
        <v>2209</v>
      </c>
      <c r="L25" t="str">
        <f>TEXT(maintable_2[[#This Row],[Order Date]],"mmmm")</f>
        <v>October</v>
      </c>
    </row>
    <row r="26" spans="1:12" x14ac:dyDescent="0.3">
      <c r="A26" s="1">
        <v>40828</v>
      </c>
      <c r="B26" s="1">
        <v>40832</v>
      </c>
      <c r="C26" t="s">
        <v>50</v>
      </c>
      <c r="D26" t="s">
        <v>27</v>
      </c>
      <c r="E26" t="s">
        <v>52</v>
      </c>
      <c r="F26">
        <v>21.39</v>
      </c>
      <c r="G26">
        <v>1</v>
      </c>
      <c r="H26">
        <v>6.2031000000000001</v>
      </c>
      <c r="I26">
        <v>4</v>
      </c>
      <c r="J26">
        <v>2011</v>
      </c>
      <c r="K26" t="s">
        <v>2209</v>
      </c>
      <c r="L26" t="str">
        <f>TEXT(maintable_2[[#This Row],[Order Date]],"mmmm")</f>
        <v>October</v>
      </c>
    </row>
    <row r="27" spans="1:12" x14ac:dyDescent="0.3">
      <c r="A27" s="1">
        <v>41535</v>
      </c>
      <c r="B27" s="1">
        <v>41540</v>
      </c>
      <c r="C27" t="s">
        <v>53</v>
      </c>
      <c r="D27" t="s">
        <v>13</v>
      </c>
      <c r="E27" t="s">
        <v>54</v>
      </c>
      <c r="F27">
        <v>20.100000000000001</v>
      </c>
      <c r="G27">
        <v>3</v>
      </c>
      <c r="H27">
        <v>6.633</v>
      </c>
      <c r="I27">
        <v>5</v>
      </c>
      <c r="J27">
        <v>2013</v>
      </c>
      <c r="K27" t="s">
        <v>2209</v>
      </c>
      <c r="L27" t="str">
        <f>TEXT(maintable_2[[#This Row],[Order Date]],"mmmm")</f>
        <v>September</v>
      </c>
    </row>
    <row r="28" spans="1:12" x14ac:dyDescent="0.3">
      <c r="A28" s="1">
        <v>41535</v>
      </c>
      <c r="B28" s="1">
        <v>41540</v>
      </c>
      <c r="C28" t="s">
        <v>53</v>
      </c>
      <c r="D28" t="s">
        <v>15</v>
      </c>
      <c r="E28" t="s">
        <v>55</v>
      </c>
      <c r="F28">
        <v>73.584000000000003</v>
      </c>
      <c r="G28">
        <v>2</v>
      </c>
      <c r="H28">
        <v>8.2782</v>
      </c>
      <c r="I28">
        <v>5</v>
      </c>
      <c r="J28">
        <v>2013</v>
      </c>
      <c r="K28" t="s">
        <v>2209</v>
      </c>
      <c r="L28" t="str">
        <f>TEXT(maintable_2[[#This Row],[Order Date]],"mmmm")</f>
        <v>September</v>
      </c>
    </row>
    <row r="29" spans="1:12" x14ac:dyDescent="0.3">
      <c r="A29" s="1">
        <v>41535</v>
      </c>
      <c r="B29" s="1">
        <v>41540</v>
      </c>
      <c r="C29" t="s">
        <v>53</v>
      </c>
      <c r="D29" t="s">
        <v>44</v>
      </c>
      <c r="E29" t="s">
        <v>56</v>
      </c>
      <c r="F29">
        <v>6.48</v>
      </c>
      <c r="G29">
        <v>1</v>
      </c>
      <c r="H29">
        <v>3.1103999999999998</v>
      </c>
      <c r="I29">
        <v>5</v>
      </c>
      <c r="J29">
        <v>2013</v>
      </c>
      <c r="K29" t="s">
        <v>2209</v>
      </c>
      <c r="L29" t="str">
        <f>TEXT(maintable_2[[#This Row],[Order Date]],"mmmm")</f>
        <v>September</v>
      </c>
    </row>
    <row r="30" spans="1:12" x14ac:dyDescent="0.3">
      <c r="A30" s="1">
        <v>41950</v>
      </c>
      <c r="B30" s="1">
        <v>41956</v>
      </c>
      <c r="C30" t="s">
        <v>57</v>
      </c>
      <c r="D30" t="s">
        <v>17</v>
      </c>
      <c r="E30" t="s">
        <v>58</v>
      </c>
      <c r="F30">
        <v>5.6820000000000004</v>
      </c>
      <c r="G30">
        <v>1</v>
      </c>
      <c r="H30">
        <v>-3.7879999999999998</v>
      </c>
      <c r="I30">
        <v>6</v>
      </c>
      <c r="J30">
        <v>2014</v>
      </c>
      <c r="K30" t="s">
        <v>2209</v>
      </c>
      <c r="L30" t="str">
        <f>TEXT(maintable_2[[#This Row],[Order Date]],"mmmm")</f>
        <v>November</v>
      </c>
    </row>
    <row r="31" spans="1:12" x14ac:dyDescent="0.3">
      <c r="A31" s="1">
        <v>41808</v>
      </c>
      <c r="B31" s="1">
        <v>41811</v>
      </c>
      <c r="C31" t="s">
        <v>59</v>
      </c>
      <c r="D31" t="s">
        <v>17</v>
      </c>
      <c r="E31" t="s">
        <v>60</v>
      </c>
      <c r="F31">
        <v>51.311999999999998</v>
      </c>
      <c r="G31">
        <v>3</v>
      </c>
      <c r="H31">
        <v>17.959199999999999</v>
      </c>
      <c r="I31">
        <v>3</v>
      </c>
      <c r="J31">
        <v>2014</v>
      </c>
      <c r="K31" t="s">
        <v>2206</v>
      </c>
      <c r="L31" t="str">
        <f>TEXT(maintable_2[[#This Row],[Order Date]],"mmmm")</f>
        <v>June</v>
      </c>
    </row>
    <row r="32" spans="1:12" x14ac:dyDescent="0.3">
      <c r="A32" s="1">
        <v>41226</v>
      </c>
      <c r="B32" s="1">
        <v>41230</v>
      </c>
      <c r="C32" t="s">
        <v>61</v>
      </c>
      <c r="D32" t="s">
        <v>37</v>
      </c>
      <c r="E32" t="s">
        <v>62</v>
      </c>
      <c r="F32">
        <v>238.89599999999999</v>
      </c>
      <c r="G32">
        <v>6</v>
      </c>
      <c r="H32">
        <v>-26.875800000000002</v>
      </c>
      <c r="I32">
        <v>4</v>
      </c>
      <c r="J32">
        <v>2012</v>
      </c>
      <c r="K32" t="s">
        <v>2209</v>
      </c>
      <c r="L32" t="str">
        <f>TEXT(maintable_2[[#This Row],[Order Date]],"mmmm")</f>
        <v>November</v>
      </c>
    </row>
    <row r="33" spans="1:12" x14ac:dyDescent="0.3">
      <c r="A33" s="1">
        <v>41226</v>
      </c>
      <c r="B33" s="1">
        <v>41230</v>
      </c>
      <c r="C33" t="s">
        <v>61</v>
      </c>
      <c r="D33" t="s">
        <v>11</v>
      </c>
      <c r="E33" t="s">
        <v>63</v>
      </c>
      <c r="F33">
        <v>102.36</v>
      </c>
      <c r="G33">
        <v>3</v>
      </c>
      <c r="H33">
        <v>-3.8384999999999998</v>
      </c>
      <c r="I33">
        <v>4</v>
      </c>
      <c r="J33">
        <v>2012</v>
      </c>
      <c r="K33" t="s">
        <v>2209</v>
      </c>
      <c r="L33" t="str">
        <f>TEXT(maintable_2[[#This Row],[Order Date]],"mmmm")</f>
        <v>November</v>
      </c>
    </row>
    <row r="34" spans="1:12" x14ac:dyDescent="0.3">
      <c r="A34" s="1">
        <v>41226</v>
      </c>
      <c r="B34" s="1">
        <v>41230</v>
      </c>
      <c r="C34" t="s">
        <v>61</v>
      </c>
      <c r="D34" t="s">
        <v>17</v>
      </c>
      <c r="E34" t="s">
        <v>64</v>
      </c>
      <c r="F34">
        <v>36.881999999999998</v>
      </c>
      <c r="G34">
        <v>3</v>
      </c>
      <c r="H34">
        <v>-25.817399999999999</v>
      </c>
      <c r="I34">
        <v>4</v>
      </c>
      <c r="J34">
        <v>2012</v>
      </c>
      <c r="K34" t="s">
        <v>2209</v>
      </c>
      <c r="L34" t="str">
        <f>TEXT(maintable_2[[#This Row],[Order Date]],"mmmm")</f>
        <v>November</v>
      </c>
    </row>
    <row r="35" spans="1:12" x14ac:dyDescent="0.3">
      <c r="A35" s="1">
        <v>40970</v>
      </c>
      <c r="B35" s="1">
        <v>40974</v>
      </c>
      <c r="C35" t="s">
        <v>65</v>
      </c>
      <c r="D35" t="s">
        <v>21</v>
      </c>
      <c r="E35" t="s">
        <v>66</v>
      </c>
      <c r="F35">
        <v>787.53</v>
      </c>
      <c r="G35">
        <v>3</v>
      </c>
      <c r="H35">
        <v>165.38130000000001</v>
      </c>
      <c r="I35">
        <v>4</v>
      </c>
      <c r="J35">
        <v>2012</v>
      </c>
      <c r="K35" t="s">
        <v>2208</v>
      </c>
      <c r="L35" t="str">
        <f>TEXT(maintable_2[[#This Row],[Order Date]],"mmmm")</f>
        <v>March</v>
      </c>
    </row>
    <row r="36" spans="1:12" x14ac:dyDescent="0.3">
      <c r="A36" s="1">
        <v>41949</v>
      </c>
      <c r="B36" s="1">
        <v>41956</v>
      </c>
      <c r="C36" t="s">
        <v>67</v>
      </c>
      <c r="D36" t="s">
        <v>17</v>
      </c>
      <c r="E36" t="s">
        <v>68</v>
      </c>
      <c r="F36">
        <v>2.3879999999999999</v>
      </c>
      <c r="G36">
        <v>2</v>
      </c>
      <c r="H36">
        <v>-1.8308</v>
      </c>
      <c r="I36">
        <v>7</v>
      </c>
      <c r="J36">
        <v>2014</v>
      </c>
      <c r="K36" t="s">
        <v>2209</v>
      </c>
      <c r="L36" t="str">
        <f>TEXT(maintable_2[[#This Row],[Order Date]],"mmmm")</f>
        <v>November</v>
      </c>
    </row>
    <row r="37" spans="1:12" x14ac:dyDescent="0.3">
      <c r="A37" s="1">
        <v>41949</v>
      </c>
      <c r="B37" s="1">
        <v>41956</v>
      </c>
      <c r="C37" t="s">
        <v>67</v>
      </c>
      <c r="D37" t="s">
        <v>27</v>
      </c>
      <c r="E37" t="s">
        <v>69</v>
      </c>
      <c r="F37">
        <v>243.99199999999999</v>
      </c>
      <c r="G37">
        <v>7</v>
      </c>
      <c r="H37">
        <v>30.498999999999999</v>
      </c>
      <c r="I37">
        <v>7</v>
      </c>
      <c r="J37">
        <v>2014</v>
      </c>
      <c r="K37" t="s">
        <v>2209</v>
      </c>
      <c r="L37" t="str">
        <f>TEXT(maintable_2[[#This Row],[Order Date]],"mmmm")</f>
        <v>November</v>
      </c>
    </row>
    <row r="38" spans="1:12" x14ac:dyDescent="0.3">
      <c r="A38" s="1">
        <v>41585</v>
      </c>
      <c r="B38" s="1">
        <v>41589</v>
      </c>
      <c r="C38" t="s">
        <v>70</v>
      </c>
      <c r="D38" t="s">
        <v>71</v>
      </c>
      <c r="E38" t="s">
        <v>72</v>
      </c>
      <c r="F38">
        <v>81.424000000000007</v>
      </c>
      <c r="G38">
        <v>2</v>
      </c>
      <c r="H38">
        <v>-9.1601999999999997</v>
      </c>
      <c r="I38">
        <v>4</v>
      </c>
      <c r="J38">
        <v>2013</v>
      </c>
      <c r="K38" t="s">
        <v>2209</v>
      </c>
      <c r="L38" t="str">
        <f>TEXT(maintable_2[[#This Row],[Order Date]],"mmmm")</f>
        <v>November</v>
      </c>
    </row>
    <row r="39" spans="1:12" x14ac:dyDescent="0.3">
      <c r="A39" s="1">
        <v>41585</v>
      </c>
      <c r="B39" s="1">
        <v>41589</v>
      </c>
      <c r="C39" t="s">
        <v>70</v>
      </c>
      <c r="D39" t="s">
        <v>11</v>
      </c>
      <c r="E39" t="s">
        <v>73</v>
      </c>
      <c r="F39">
        <v>238.56</v>
      </c>
      <c r="G39">
        <v>3</v>
      </c>
      <c r="H39">
        <v>26.241599999999998</v>
      </c>
      <c r="I39">
        <v>4</v>
      </c>
      <c r="J39">
        <v>2013</v>
      </c>
      <c r="K39" t="s">
        <v>2209</v>
      </c>
      <c r="L39" t="str">
        <f>TEXT(maintable_2[[#This Row],[Order Date]],"mmmm")</f>
        <v>November</v>
      </c>
    </row>
    <row r="40" spans="1:12" x14ac:dyDescent="0.3">
      <c r="A40" s="1">
        <v>41561</v>
      </c>
      <c r="B40" s="1">
        <v>41567</v>
      </c>
      <c r="C40" t="s">
        <v>74</v>
      </c>
      <c r="D40" t="s">
        <v>44</v>
      </c>
      <c r="E40" t="s">
        <v>75</v>
      </c>
      <c r="F40">
        <v>20.04</v>
      </c>
      <c r="G40">
        <v>3</v>
      </c>
      <c r="H40">
        <v>9.6191999999999993</v>
      </c>
      <c r="I40">
        <v>6</v>
      </c>
      <c r="J40">
        <v>2013</v>
      </c>
      <c r="K40" t="s">
        <v>2209</v>
      </c>
      <c r="L40" t="str">
        <f>TEXT(maintable_2[[#This Row],[Order Date]],"mmmm")</f>
        <v>October</v>
      </c>
    </row>
    <row r="41" spans="1:12" x14ac:dyDescent="0.3">
      <c r="A41" s="1">
        <v>41561</v>
      </c>
      <c r="B41" s="1">
        <v>41567</v>
      </c>
      <c r="C41" t="s">
        <v>74</v>
      </c>
      <c r="D41" t="s">
        <v>44</v>
      </c>
      <c r="E41" t="s">
        <v>76</v>
      </c>
      <c r="F41">
        <v>35.44</v>
      </c>
      <c r="G41">
        <v>1</v>
      </c>
      <c r="H41">
        <v>16.6568</v>
      </c>
      <c r="I41">
        <v>6</v>
      </c>
      <c r="J41">
        <v>2013</v>
      </c>
      <c r="K41" t="s">
        <v>2209</v>
      </c>
      <c r="L41" t="str">
        <f>TEXT(maintable_2[[#This Row],[Order Date]],"mmmm")</f>
        <v>October</v>
      </c>
    </row>
    <row r="42" spans="1:12" x14ac:dyDescent="0.3">
      <c r="A42" s="1">
        <v>41561</v>
      </c>
      <c r="B42" s="1">
        <v>41567</v>
      </c>
      <c r="C42" t="s">
        <v>74</v>
      </c>
      <c r="D42" t="s">
        <v>13</v>
      </c>
      <c r="E42" t="s">
        <v>77</v>
      </c>
      <c r="F42">
        <v>11.52</v>
      </c>
      <c r="G42">
        <v>4</v>
      </c>
      <c r="H42">
        <v>3.456</v>
      </c>
      <c r="I42">
        <v>6</v>
      </c>
      <c r="J42">
        <v>2013</v>
      </c>
      <c r="K42" t="s">
        <v>2209</v>
      </c>
      <c r="L42" t="str">
        <f>TEXT(maintable_2[[#This Row],[Order Date]],"mmmm")</f>
        <v>October</v>
      </c>
    </row>
    <row r="43" spans="1:12" x14ac:dyDescent="0.3">
      <c r="A43" s="1">
        <v>41561</v>
      </c>
      <c r="B43" s="1">
        <v>41567</v>
      </c>
      <c r="C43" t="s">
        <v>74</v>
      </c>
      <c r="D43" t="s">
        <v>78</v>
      </c>
      <c r="E43" t="s">
        <v>79</v>
      </c>
      <c r="F43">
        <v>4.0199999999999996</v>
      </c>
      <c r="G43">
        <v>2</v>
      </c>
      <c r="H43">
        <v>1.9698</v>
      </c>
      <c r="I43">
        <v>6</v>
      </c>
      <c r="J43">
        <v>2013</v>
      </c>
      <c r="K43" t="s">
        <v>2209</v>
      </c>
      <c r="L43" t="str">
        <f>TEXT(maintable_2[[#This Row],[Order Date]],"mmmm")</f>
        <v>October</v>
      </c>
    </row>
    <row r="44" spans="1:12" x14ac:dyDescent="0.3">
      <c r="A44" s="1">
        <v>41561</v>
      </c>
      <c r="B44" s="1">
        <v>41567</v>
      </c>
      <c r="C44" t="s">
        <v>74</v>
      </c>
      <c r="D44" t="s">
        <v>17</v>
      </c>
      <c r="E44" t="s">
        <v>80</v>
      </c>
      <c r="F44">
        <v>76.176000000000002</v>
      </c>
      <c r="G44">
        <v>3</v>
      </c>
      <c r="H44">
        <v>26.6616</v>
      </c>
      <c r="I44">
        <v>6</v>
      </c>
      <c r="J44">
        <v>2013</v>
      </c>
      <c r="K44" t="s">
        <v>2209</v>
      </c>
      <c r="L44" t="str">
        <f>TEXT(maintable_2[[#This Row],[Order Date]],"mmmm")</f>
        <v>October</v>
      </c>
    </row>
    <row r="45" spans="1:12" x14ac:dyDescent="0.3">
      <c r="A45" s="1">
        <v>41561</v>
      </c>
      <c r="B45" s="1">
        <v>41567</v>
      </c>
      <c r="C45" t="s">
        <v>74</v>
      </c>
      <c r="D45" t="s">
        <v>81</v>
      </c>
      <c r="E45" t="s">
        <v>82</v>
      </c>
      <c r="F45">
        <v>65.88</v>
      </c>
      <c r="G45">
        <v>6</v>
      </c>
      <c r="H45">
        <v>18.446400000000001</v>
      </c>
      <c r="I45">
        <v>6</v>
      </c>
      <c r="J45">
        <v>2013</v>
      </c>
      <c r="K45" t="s">
        <v>2209</v>
      </c>
      <c r="L45" t="str">
        <f>TEXT(maintable_2[[#This Row],[Order Date]],"mmmm")</f>
        <v>October</v>
      </c>
    </row>
    <row r="46" spans="1:12" x14ac:dyDescent="0.3">
      <c r="A46" s="1">
        <v>41561</v>
      </c>
      <c r="B46" s="1">
        <v>41567</v>
      </c>
      <c r="C46" t="s">
        <v>74</v>
      </c>
      <c r="D46" t="s">
        <v>11</v>
      </c>
      <c r="E46" t="s">
        <v>83</v>
      </c>
      <c r="F46">
        <v>43.12</v>
      </c>
      <c r="G46">
        <v>14</v>
      </c>
      <c r="H46">
        <v>20.697600000000001</v>
      </c>
      <c r="I46">
        <v>6</v>
      </c>
      <c r="J46">
        <v>2013</v>
      </c>
      <c r="K46" t="s">
        <v>2209</v>
      </c>
      <c r="L46" t="str">
        <f>TEXT(maintable_2[[#This Row],[Order Date]],"mmmm")</f>
        <v>October</v>
      </c>
    </row>
    <row r="47" spans="1:12" x14ac:dyDescent="0.3">
      <c r="A47" s="1">
        <v>41901</v>
      </c>
      <c r="B47" s="1">
        <v>41906</v>
      </c>
      <c r="C47" t="s">
        <v>84</v>
      </c>
      <c r="D47" t="s">
        <v>13</v>
      </c>
      <c r="E47" t="s">
        <v>85</v>
      </c>
      <c r="F47">
        <v>8.82</v>
      </c>
      <c r="G47">
        <v>3</v>
      </c>
      <c r="H47">
        <v>2.3814000000000002</v>
      </c>
      <c r="I47">
        <v>5</v>
      </c>
      <c r="J47">
        <v>2014</v>
      </c>
      <c r="K47" t="s">
        <v>2209</v>
      </c>
      <c r="L47" t="str">
        <f>TEXT(maintable_2[[#This Row],[Order Date]],"mmmm")</f>
        <v>September</v>
      </c>
    </row>
    <row r="48" spans="1:12" x14ac:dyDescent="0.3">
      <c r="A48" s="1">
        <v>41901</v>
      </c>
      <c r="B48" s="1">
        <v>41906</v>
      </c>
      <c r="C48" t="s">
        <v>84</v>
      </c>
      <c r="D48" t="s">
        <v>86</v>
      </c>
      <c r="E48" t="s">
        <v>87</v>
      </c>
      <c r="F48">
        <v>10.86</v>
      </c>
      <c r="G48">
        <v>3</v>
      </c>
      <c r="H48">
        <v>5.1041999999999996</v>
      </c>
      <c r="I48">
        <v>5</v>
      </c>
      <c r="J48">
        <v>2014</v>
      </c>
      <c r="K48" t="s">
        <v>2209</v>
      </c>
      <c r="L48" t="str">
        <f>TEXT(maintable_2[[#This Row],[Order Date]],"mmmm")</f>
        <v>September</v>
      </c>
    </row>
    <row r="49" spans="1:12" x14ac:dyDescent="0.3">
      <c r="A49" s="1">
        <v>41901</v>
      </c>
      <c r="B49" s="1">
        <v>41906</v>
      </c>
      <c r="C49" t="s">
        <v>84</v>
      </c>
      <c r="D49" t="s">
        <v>44</v>
      </c>
      <c r="E49" t="s">
        <v>88</v>
      </c>
      <c r="F49">
        <v>143.69999999999999</v>
      </c>
      <c r="G49">
        <v>3</v>
      </c>
      <c r="H49">
        <v>68.975999999999999</v>
      </c>
      <c r="I49">
        <v>5</v>
      </c>
      <c r="J49">
        <v>2014</v>
      </c>
      <c r="K49" t="s">
        <v>2209</v>
      </c>
      <c r="L49" t="str">
        <f>TEXT(maintable_2[[#This Row],[Order Date]],"mmmm")</f>
        <v>September</v>
      </c>
    </row>
    <row r="50" spans="1:12" x14ac:dyDescent="0.3">
      <c r="A50" s="1">
        <v>41159</v>
      </c>
      <c r="B50" s="1">
        <v>41164</v>
      </c>
      <c r="C50" t="s">
        <v>89</v>
      </c>
      <c r="D50" t="s">
        <v>27</v>
      </c>
      <c r="E50" t="s">
        <v>90</v>
      </c>
      <c r="F50">
        <v>671.93</v>
      </c>
      <c r="G50">
        <v>7</v>
      </c>
      <c r="H50">
        <v>20.157900000000001</v>
      </c>
      <c r="I50">
        <v>5</v>
      </c>
      <c r="J50">
        <v>2012</v>
      </c>
      <c r="K50" t="s">
        <v>2209</v>
      </c>
      <c r="L50" t="str">
        <f>TEXT(maintable_2[[#This Row],[Order Date]],"mmmm")</f>
        <v>September</v>
      </c>
    </row>
    <row r="51" spans="1:12" x14ac:dyDescent="0.3">
      <c r="A51" s="1">
        <v>41347</v>
      </c>
      <c r="B51" s="1">
        <v>41350</v>
      </c>
      <c r="C51" t="s">
        <v>91</v>
      </c>
      <c r="D51" t="s">
        <v>19</v>
      </c>
      <c r="E51" t="s">
        <v>92</v>
      </c>
      <c r="F51">
        <v>157.91999999999999</v>
      </c>
      <c r="G51">
        <v>5</v>
      </c>
      <c r="H51">
        <v>17.765999999999998</v>
      </c>
      <c r="I51">
        <v>3</v>
      </c>
      <c r="J51">
        <v>2013</v>
      </c>
      <c r="K51" t="s">
        <v>2208</v>
      </c>
      <c r="L51" t="str">
        <f>TEXT(maintable_2[[#This Row],[Order Date]],"mmmm")</f>
        <v>March</v>
      </c>
    </row>
    <row r="52" spans="1:12" x14ac:dyDescent="0.3">
      <c r="A52" s="1">
        <v>41347</v>
      </c>
      <c r="B52" s="1">
        <v>41350</v>
      </c>
      <c r="C52" t="s">
        <v>91</v>
      </c>
      <c r="D52" t="s">
        <v>15</v>
      </c>
      <c r="E52" t="s">
        <v>93</v>
      </c>
      <c r="F52">
        <v>203.184</v>
      </c>
      <c r="G52">
        <v>2</v>
      </c>
      <c r="H52">
        <v>15.238799999999999</v>
      </c>
      <c r="I52">
        <v>3</v>
      </c>
      <c r="J52">
        <v>2013</v>
      </c>
      <c r="K52" t="s">
        <v>2208</v>
      </c>
      <c r="L52" t="str">
        <f>TEXT(maintable_2[[#This Row],[Order Date]],"mmmm")</f>
        <v>March</v>
      </c>
    </row>
    <row r="53" spans="1:12" x14ac:dyDescent="0.3">
      <c r="A53" s="1">
        <v>41060</v>
      </c>
      <c r="B53" s="1">
        <v>41062</v>
      </c>
      <c r="C53" t="s">
        <v>94</v>
      </c>
      <c r="D53" t="s">
        <v>44</v>
      </c>
      <c r="E53" t="s">
        <v>95</v>
      </c>
      <c r="F53">
        <v>58.38</v>
      </c>
      <c r="G53">
        <v>7</v>
      </c>
      <c r="H53">
        <v>26.271000000000001</v>
      </c>
      <c r="I53">
        <v>2</v>
      </c>
      <c r="J53">
        <v>2012</v>
      </c>
      <c r="K53" t="s">
        <v>2208</v>
      </c>
      <c r="L53" t="str">
        <f>TEXT(maintable_2[[#This Row],[Order Date]],"mmmm")</f>
        <v>May</v>
      </c>
    </row>
    <row r="54" spans="1:12" x14ac:dyDescent="0.3">
      <c r="A54" s="1">
        <v>41060</v>
      </c>
      <c r="B54" s="1">
        <v>41062</v>
      </c>
      <c r="C54" t="s">
        <v>94</v>
      </c>
      <c r="D54" t="s">
        <v>44</v>
      </c>
      <c r="E54" t="s">
        <v>96</v>
      </c>
      <c r="F54">
        <v>105.52</v>
      </c>
      <c r="G54">
        <v>4</v>
      </c>
      <c r="H54">
        <v>48.539200000000001</v>
      </c>
      <c r="I54">
        <v>2</v>
      </c>
      <c r="J54">
        <v>2012</v>
      </c>
      <c r="K54" t="s">
        <v>2208</v>
      </c>
      <c r="L54" t="str">
        <f>TEXT(maintable_2[[#This Row],[Order Date]],"mmmm")</f>
        <v>May</v>
      </c>
    </row>
    <row r="55" spans="1:12" x14ac:dyDescent="0.3">
      <c r="A55" s="1">
        <v>41060</v>
      </c>
      <c r="B55" s="1">
        <v>41062</v>
      </c>
      <c r="C55" t="s">
        <v>94</v>
      </c>
      <c r="D55" t="s">
        <v>27</v>
      </c>
      <c r="E55" t="s">
        <v>97</v>
      </c>
      <c r="F55">
        <v>80.88</v>
      </c>
      <c r="G55">
        <v>6</v>
      </c>
      <c r="H55">
        <v>21.0288</v>
      </c>
      <c r="I55">
        <v>2</v>
      </c>
      <c r="J55">
        <v>2012</v>
      </c>
      <c r="K55" t="s">
        <v>2208</v>
      </c>
      <c r="L55" t="str">
        <f>TEXT(maintable_2[[#This Row],[Order Date]],"mmmm")</f>
        <v>May</v>
      </c>
    </row>
    <row r="56" spans="1:12" x14ac:dyDescent="0.3">
      <c r="A56" s="1">
        <v>41057</v>
      </c>
      <c r="B56" s="1">
        <v>41063</v>
      </c>
      <c r="C56" t="s">
        <v>98</v>
      </c>
      <c r="D56" t="s">
        <v>13</v>
      </c>
      <c r="E56" t="s">
        <v>99</v>
      </c>
      <c r="F56">
        <v>6.63</v>
      </c>
      <c r="G56">
        <v>3</v>
      </c>
      <c r="H56">
        <v>1.7901</v>
      </c>
      <c r="I56">
        <v>6</v>
      </c>
      <c r="J56">
        <v>2012</v>
      </c>
      <c r="K56" t="s">
        <v>2208</v>
      </c>
      <c r="L56" t="str">
        <f>TEXT(maintable_2[[#This Row],[Order Date]],"mmmm")</f>
        <v>May</v>
      </c>
    </row>
    <row r="57" spans="1:12" x14ac:dyDescent="0.3">
      <c r="A57" s="1">
        <v>40603</v>
      </c>
      <c r="B57" s="1">
        <v>40608</v>
      </c>
      <c r="C57" t="s">
        <v>100</v>
      </c>
      <c r="D57" t="s">
        <v>71</v>
      </c>
      <c r="E57" t="s">
        <v>101</v>
      </c>
      <c r="F57">
        <v>457.56799999999998</v>
      </c>
      <c r="G57">
        <v>2</v>
      </c>
      <c r="H57">
        <v>51.476399999999998</v>
      </c>
      <c r="I57">
        <v>5</v>
      </c>
      <c r="J57">
        <v>2011</v>
      </c>
      <c r="K57" t="s">
        <v>2210</v>
      </c>
      <c r="L57" t="str">
        <f>TEXT(maintable_2[[#This Row],[Order Date]],"mmmm")</f>
        <v>March</v>
      </c>
    </row>
    <row r="58" spans="1:12" x14ac:dyDescent="0.3">
      <c r="A58" s="1">
        <v>41406</v>
      </c>
      <c r="B58" s="1">
        <v>41407</v>
      </c>
      <c r="C58" t="s">
        <v>102</v>
      </c>
      <c r="D58" t="s">
        <v>44</v>
      </c>
      <c r="E58" t="s">
        <v>103</v>
      </c>
      <c r="F58">
        <v>5.98</v>
      </c>
      <c r="G58">
        <v>1</v>
      </c>
      <c r="H58">
        <v>2.6909999999999998</v>
      </c>
      <c r="I58">
        <v>1</v>
      </c>
      <c r="J58">
        <v>2013</v>
      </c>
      <c r="K58" t="s">
        <v>2208</v>
      </c>
      <c r="L58" t="str">
        <f>TEXT(maintable_2[[#This Row],[Order Date]],"mmmm")</f>
        <v>May</v>
      </c>
    </row>
    <row r="59" spans="1:12" x14ac:dyDescent="0.3">
      <c r="A59" s="1">
        <v>41595</v>
      </c>
      <c r="B59" s="1">
        <v>41599</v>
      </c>
      <c r="C59" t="s">
        <v>104</v>
      </c>
      <c r="D59" t="s">
        <v>86</v>
      </c>
      <c r="E59" t="s">
        <v>105</v>
      </c>
      <c r="F59">
        <v>28.4</v>
      </c>
      <c r="G59">
        <v>5</v>
      </c>
      <c r="H59">
        <v>13.348000000000001</v>
      </c>
      <c r="I59">
        <v>4</v>
      </c>
      <c r="J59">
        <v>2013</v>
      </c>
      <c r="K59" t="s">
        <v>2209</v>
      </c>
      <c r="L59" t="str">
        <f>TEXT(maintable_2[[#This Row],[Order Date]],"mmmm")</f>
        <v>November</v>
      </c>
    </row>
    <row r="60" spans="1:12" x14ac:dyDescent="0.3">
      <c r="A60" s="1">
        <v>41586</v>
      </c>
      <c r="B60" s="1">
        <v>41590</v>
      </c>
      <c r="C60" t="s">
        <v>106</v>
      </c>
      <c r="D60" t="s">
        <v>17</v>
      </c>
      <c r="E60" t="s">
        <v>107</v>
      </c>
      <c r="F60">
        <v>27.68</v>
      </c>
      <c r="G60">
        <v>2</v>
      </c>
      <c r="H60">
        <v>9.6880000000000006</v>
      </c>
      <c r="I60">
        <v>4</v>
      </c>
      <c r="J60">
        <v>2013</v>
      </c>
      <c r="K60" t="s">
        <v>2209</v>
      </c>
      <c r="L60" t="str">
        <f>TEXT(maintable_2[[#This Row],[Order Date]],"mmmm")</f>
        <v>November</v>
      </c>
    </row>
    <row r="61" spans="1:12" x14ac:dyDescent="0.3">
      <c r="A61" s="1">
        <v>40760</v>
      </c>
      <c r="B61" s="1">
        <v>40764</v>
      </c>
      <c r="C61" t="s">
        <v>108</v>
      </c>
      <c r="D61" t="s">
        <v>44</v>
      </c>
      <c r="E61" t="s">
        <v>109</v>
      </c>
      <c r="F61">
        <v>20.94</v>
      </c>
      <c r="G61">
        <v>3</v>
      </c>
      <c r="H61">
        <v>9.8417999999999992</v>
      </c>
      <c r="I61">
        <v>4</v>
      </c>
      <c r="J61">
        <v>2011</v>
      </c>
      <c r="K61" t="s">
        <v>2206</v>
      </c>
      <c r="L61" t="str">
        <f>TEXT(maintable_2[[#This Row],[Order Date]],"mmmm")</f>
        <v>August</v>
      </c>
    </row>
    <row r="62" spans="1:12" x14ac:dyDescent="0.3">
      <c r="A62" s="1">
        <v>40760</v>
      </c>
      <c r="B62" s="1">
        <v>40764</v>
      </c>
      <c r="C62" t="s">
        <v>108</v>
      </c>
      <c r="D62" t="s">
        <v>44</v>
      </c>
      <c r="E62" t="s">
        <v>110</v>
      </c>
      <c r="F62">
        <v>110.96</v>
      </c>
      <c r="G62">
        <v>2</v>
      </c>
      <c r="H62">
        <v>53.260800000000003</v>
      </c>
      <c r="I62">
        <v>4</v>
      </c>
      <c r="J62">
        <v>2011</v>
      </c>
      <c r="K62" t="s">
        <v>2206</v>
      </c>
      <c r="L62" t="str">
        <f>TEXT(maintable_2[[#This Row],[Order Date]],"mmmm")</f>
        <v>August</v>
      </c>
    </row>
    <row r="63" spans="1:12" x14ac:dyDescent="0.3">
      <c r="A63" s="1">
        <v>40760</v>
      </c>
      <c r="B63" s="1">
        <v>40764</v>
      </c>
      <c r="C63" t="s">
        <v>108</v>
      </c>
      <c r="D63" t="s">
        <v>71</v>
      </c>
      <c r="E63" t="s">
        <v>111</v>
      </c>
      <c r="F63">
        <v>340.14400000000001</v>
      </c>
      <c r="G63">
        <v>7</v>
      </c>
      <c r="H63">
        <v>21.259</v>
      </c>
      <c r="I63">
        <v>4</v>
      </c>
      <c r="J63">
        <v>2011</v>
      </c>
      <c r="K63" t="s">
        <v>2206</v>
      </c>
      <c r="L63" t="str">
        <f>TEXT(maintable_2[[#This Row],[Order Date]],"mmmm")</f>
        <v>August</v>
      </c>
    </row>
    <row r="64" spans="1:12" x14ac:dyDescent="0.3">
      <c r="A64" s="1">
        <v>40781</v>
      </c>
      <c r="B64" s="1">
        <v>40785</v>
      </c>
      <c r="C64" t="s">
        <v>112</v>
      </c>
      <c r="D64" t="s">
        <v>37</v>
      </c>
      <c r="E64" t="s">
        <v>113</v>
      </c>
      <c r="F64">
        <v>176.8</v>
      </c>
      <c r="G64">
        <v>8</v>
      </c>
      <c r="H64">
        <v>22.984000000000002</v>
      </c>
      <c r="I64">
        <v>4</v>
      </c>
      <c r="J64">
        <v>2011</v>
      </c>
      <c r="K64" t="s">
        <v>2206</v>
      </c>
      <c r="L64" t="str">
        <f>TEXT(maintable_2[[#This Row],[Order Date]],"mmmm")</f>
        <v>August</v>
      </c>
    </row>
    <row r="65" spans="1:12" x14ac:dyDescent="0.3">
      <c r="A65" s="1">
        <v>41213</v>
      </c>
      <c r="B65" s="1">
        <v>41219</v>
      </c>
      <c r="C65" t="s">
        <v>114</v>
      </c>
      <c r="D65" t="s">
        <v>86</v>
      </c>
      <c r="E65" t="s">
        <v>115</v>
      </c>
      <c r="F65">
        <v>14.28</v>
      </c>
      <c r="G65">
        <v>7</v>
      </c>
      <c r="H65">
        <v>6.7115999999999998</v>
      </c>
      <c r="I65">
        <v>6</v>
      </c>
      <c r="J65">
        <v>2012</v>
      </c>
      <c r="K65" t="s">
        <v>2209</v>
      </c>
      <c r="L65" t="str">
        <f>TEXT(maintable_2[[#This Row],[Order Date]],"mmmm")</f>
        <v>October</v>
      </c>
    </row>
    <row r="66" spans="1:12" x14ac:dyDescent="0.3">
      <c r="A66" s="1">
        <v>40758</v>
      </c>
      <c r="B66" s="1">
        <v>40760</v>
      </c>
      <c r="C66" t="s">
        <v>116</v>
      </c>
      <c r="D66" t="s">
        <v>21</v>
      </c>
      <c r="E66" t="s">
        <v>117</v>
      </c>
      <c r="F66">
        <v>218.75</v>
      </c>
      <c r="G66">
        <v>2</v>
      </c>
      <c r="H66">
        <v>-161.875</v>
      </c>
      <c r="I66">
        <v>2</v>
      </c>
      <c r="J66">
        <v>2011</v>
      </c>
      <c r="K66" t="s">
        <v>2206</v>
      </c>
      <c r="L66" t="str">
        <f>TEXT(maintable_2[[#This Row],[Order Date]],"mmmm")</f>
        <v>August</v>
      </c>
    </row>
    <row r="67" spans="1:12" x14ac:dyDescent="0.3">
      <c r="A67" s="1">
        <v>40758</v>
      </c>
      <c r="B67" s="1">
        <v>40760</v>
      </c>
      <c r="C67" t="s">
        <v>116</v>
      </c>
      <c r="D67" t="s">
        <v>19</v>
      </c>
      <c r="E67" t="s">
        <v>118</v>
      </c>
      <c r="F67">
        <v>2.6</v>
      </c>
      <c r="G67">
        <v>1</v>
      </c>
      <c r="H67">
        <v>0.29249999999999998</v>
      </c>
      <c r="I67">
        <v>2</v>
      </c>
      <c r="J67">
        <v>2011</v>
      </c>
      <c r="K67" t="s">
        <v>2206</v>
      </c>
      <c r="L67" t="str">
        <f>TEXT(maintable_2[[#This Row],[Order Date]],"mmmm")</f>
        <v>August</v>
      </c>
    </row>
    <row r="68" spans="1:12" x14ac:dyDescent="0.3">
      <c r="A68" s="1">
        <v>41983</v>
      </c>
      <c r="B68" s="1">
        <v>41988</v>
      </c>
      <c r="C68" t="s">
        <v>119</v>
      </c>
      <c r="D68" t="s">
        <v>15</v>
      </c>
      <c r="E68" t="s">
        <v>120</v>
      </c>
      <c r="F68">
        <v>444.76799999999997</v>
      </c>
      <c r="G68">
        <v>4</v>
      </c>
      <c r="H68">
        <v>44.476799999999997</v>
      </c>
      <c r="I68">
        <v>5</v>
      </c>
      <c r="J68">
        <v>2014</v>
      </c>
      <c r="K68" t="s">
        <v>2207</v>
      </c>
      <c r="L68" t="str">
        <f>TEXT(maintable_2[[#This Row],[Order Date]],"mmmm")</f>
        <v>December</v>
      </c>
    </row>
    <row r="69" spans="1:12" x14ac:dyDescent="0.3">
      <c r="A69" s="1">
        <v>41576</v>
      </c>
      <c r="B69" s="1">
        <v>41580</v>
      </c>
      <c r="C69" t="s">
        <v>121</v>
      </c>
      <c r="D69" t="s">
        <v>27</v>
      </c>
      <c r="E69" t="s">
        <v>122</v>
      </c>
      <c r="F69">
        <v>93.06</v>
      </c>
      <c r="G69">
        <v>6</v>
      </c>
      <c r="H69">
        <v>26.056799999999999</v>
      </c>
      <c r="I69">
        <v>4</v>
      </c>
      <c r="J69">
        <v>2013</v>
      </c>
      <c r="K69" t="s">
        <v>2209</v>
      </c>
      <c r="L69" t="str">
        <f>TEXT(maintable_2[[#This Row],[Order Date]],"mmmm")</f>
        <v>October</v>
      </c>
    </row>
    <row r="70" spans="1:12" x14ac:dyDescent="0.3">
      <c r="A70" s="1">
        <v>41576</v>
      </c>
      <c r="B70" s="1">
        <v>41580</v>
      </c>
      <c r="C70" t="s">
        <v>121</v>
      </c>
      <c r="D70" t="s">
        <v>15</v>
      </c>
      <c r="E70" t="s">
        <v>123</v>
      </c>
      <c r="F70">
        <v>302.37599999999998</v>
      </c>
      <c r="G70">
        <v>3</v>
      </c>
      <c r="H70">
        <v>22.6782</v>
      </c>
      <c r="I70">
        <v>4</v>
      </c>
      <c r="J70">
        <v>2013</v>
      </c>
      <c r="K70" t="s">
        <v>2209</v>
      </c>
      <c r="L70" t="str">
        <f>TEXT(maintable_2[[#This Row],[Order Date]],"mmmm")</f>
        <v>October</v>
      </c>
    </row>
    <row r="71" spans="1:12" x14ac:dyDescent="0.3">
      <c r="A71" s="1">
        <v>41956</v>
      </c>
      <c r="B71" s="1">
        <v>41960</v>
      </c>
      <c r="C71" t="s">
        <v>124</v>
      </c>
      <c r="D71" t="s">
        <v>44</v>
      </c>
      <c r="E71" t="s">
        <v>125</v>
      </c>
      <c r="F71">
        <v>10.56</v>
      </c>
      <c r="G71">
        <v>2</v>
      </c>
      <c r="H71">
        <v>4.7519999999999998</v>
      </c>
      <c r="I71">
        <v>4</v>
      </c>
      <c r="J71">
        <v>2014</v>
      </c>
      <c r="K71" t="s">
        <v>2209</v>
      </c>
      <c r="L71" t="str">
        <f>TEXT(maintable_2[[#This Row],[Order Date]],"mmmm")</f>
        <v>November</v>
      </c>
    </row>
    <row r="72" spans="1:12" x14ac:dyDescent="0.3">
      <c r="A72" s="1">
        <v>41619</v>
      </c>
      <c r="B72" s="1">
        <v>41624</v>
      </c>
      <c r="C72" t="s">
        <v>126</v>
      </c>
      <c r="D72" t="s">
        <v>71</v>
      </c>
      <c r="E72" t="s">
        <v>127</v>
      </c>
      <c r="F72">
        <v>321.56799999999998</v>
      </c>
      <c r="G72">
        <v>2</v>
      </c>
      <c r="H72">
        <v>28.1372</v>
      </c>
      <c r="I72">
        <v>5</v>
      </c>
      <c r="J72">
        <v>2013</v>
      </c>
      <c r="K72" t="s">
        <v>2207</v>
      </c>
      <c r="L72" t="str">
        <f>TEXT(maintable_2[[#This Row],[Order Date]],"mmmm")</f>
        <v>December</v>
      </c>
    </row>
    <row r="73" spans="1:12" x14ac:dyDescent="0.3">
      <c r="A73" s="1">
        <v>41529</v>
      </c>
      <c r="B73" s="1">
        <v>41535</v>
      </c>
      <c r="C73" t="s">
        <v>128</v>
      </c>
      <c r="D73" t="s">
        <v>44</v>
      </c>
      <c r="E73" t="s">
        <v>129</v>
      </c>
      <c r="F73">
        <v>7.61</v>
      </c>
      <c r="G73">
        <v>1</v>
      </c>
      <c r="H73">
        <v>3.5767000000000002</v>
      </c>
      <c r="I73">
        <v>6</v>
      </c>
      <c r="J73">
        <v>2013</v>
      </c>
      <c r="K73" t="s">
        <v>2209</v>
      </c>
      <c r="L73" t="str">
        <f>TEXT(maintable_2[[#This Row],[Order Date]],"mmmm")</f>
        <v>September</v>
      </c>
    </row>
    <row r="74" spans="1:12" x14ac:dyDescent="0.3">
      <c r="A74" s="1">
        <v>41529</v>
      </c>
      <c r="B74" s="1">
        <v>41535</v>
      </c>
      <c r="C74" t="s">
        <v>128</v>
      </c>
      <c r="D74" t="s">
        <v>37</v>
      </c>
      <c r="E74" t="s">
        <v>130</v>
      </c>
      <c r="F74">
        <v>3347.37</v>
      </c>
      <c r="G74">
        <v>13</v>
      </c>
      <c r="H74">
        <v>636.00030000000004</v>
      </c>
      <c r="I74">
        <v>6</v>
      </c>
      <c r="J74">
        <v>2013</v>
      </c>
      <c r="K74" t="s">
        <v>2209</v>
      </c>
      <c r="L74" t="str">
        <f>TEXT(maintable_2[[#This Row],[Order Date]],"mmmm")</f>
        <v>September</v>
      </c>
    </row>
    <row r="75" spans="1:12" x14ac:dyDescent="0.3">
      <c r="A75" s="1">
        <v>41223</v>
      </c>
      <c r="B75" s="1">
        <v>41228</v>
      </c>
      <c r="C75" t="s">
        <v>131</v>
      </c>
      <c r="D75" t="s">
        <v>37</v>
      </c>
      <c r="E75" t="s">
        <v>132</v>
      </c>
      <c r="F75">
        <v>79.900000000000006</v>
      </c>
      <c r="G75">
        <v>2</v>
      </c>
      <c r="H75">
        <v>35.155999999999999</v>
      </c>
      <c r="I75">
        <v>5</v>
      </c>
      <c r="J75">
        <v>2012</v>
      </c>
      <c r="K75" t="s">
        <v>2209</v>
      </c>
      <c r="L75" t="str">
        <f>TEXT(maintable_2[[#This Row],[Order Date]],"mmmm")</f>
        <v>November</v>
      </c>
    </row>
    <row r="76" spans="1:12" x14ac:dyDescent="0.3">
      <c r="A76" s="1">
        <v>42002</v>
      </c>
      <c r="B76" s="1">
        <v>42007</v>
      </c>
      <c r="C76" t="s">
        <v>133</v>
      </c>
      <c r="D76" t="s">
        <v>27</v>
      </c>
      <c r="E76" t="s">
        <v>134</v>
      </c>
      <c r="F76">
        <v>725.84</v>
      </c>
      <c r="G76">
        <v>4</v>
      </c>
      <c r="H76">
        <v>210.49359999999999</v>
      </c>
      <c r="I76">
        <v>5</v>
      </c>
      <c r="J76">
        <v>2014</v>
      </c>
      <c r="K76" t="s">
        <v>2207</v>
      </c>
      <c r="L76" t="str">
        <f>TEXT(maintable_2[[#This Row],[Order Date]],"mmmm")</f>
        <v>December</v>
      </c>
    </row>
    <row r="77" spans="1:12" x14ac:dyDescent="0.3">
      <c r="A77" s="1">
        <v>41120</v>
      </c>
      <c r="B77" s="1">
        <v>41121</v>
      </c>
      <c r="C77" t="s">
        <v>89</v>
      </c>
      <c r="D77" t="s">
        <v>37</v>
      </c>
      <c r="E77" t="s">
        <v>135</v>
      </c>
      <c r="F77">
        <v>209.93</v>
      </c>
      <c r="G77">
        <v>7</v>
      </c>
      <c r="H77">
        <v>92.369200000000006</v>
      </c>
      <c r="I77">
        <v>1</v>
      </c>
      <c r="J77">
        <v>2012</v>
      </c>
      <c r="K77" t="s">
        <v>2206</v>
      </c>
      <c r="L77" t="str">
        <f>TEXT(maintable_2[[#This Row],[Order Date]],"mmmm")</f>
        <v>July</v>
      </c>
    </row>
    <row r="78" spans="1:12" x14ac:dyDescent="0.3">
      <c r="A78" s="1">
        <v>41120</v>
      </c>
      <c r="B78" s="1">
        <v>41121</v>
      </c>
      <c r="C78" t="s">
        <v>89</v>
      </c>
      <c r="D78" t="s">
        <v>11</v>
      </c>
      <c r="E78" t="s">
        <v>136</v>
      </c>
      <c r="F78">
        <v>5.28</v>
      </c>
      <c r="G78">
        <v>3</v>
      </c>
      <c r="H78">
        <v>2.3231999999999999</v>
      </c>
      <c r="I78">
        <v>1</v>
      </c>
      <c r="J78">
        <v>2012</v>
      </c>
      <c r="K78" t="s">
        <v>2206</v>
      </c>
      <c r="L78" t="str">
        <f>TEXT(maintable_2[[#This Row],[Order Date]],"mmmm")</f>
        <v>July</v>
      </c>
    </row>
    <row r="79" spans="1:12" x14ac:dyDescent="0.3">
      <c r="A79" s="1">
        <v>41120</v>
      </c>
      <c r="B79" s="1">
        <v>41121</v>
      </c>
      <c r="C79" t="s">
        <v>89</v>
      </c>
      <c r="D79" t="s">
        <v>17</v>
      </c>
      <c r="E79" t="s">
        <v>137</v>
      </c>
      <c r="F79">
        <v>10.92</v>
      </c>
      <c r="G79">
        <v>3</v>
      </c>
      <c r="H79">
        <v>4.0949999999999998</v>
      </c>
      <c r="I79">
        <v>1</v>
      </c>
      <c r="J79">
        <v>2012</v>
      </c>
      <c r="K79" t="s">
        <v>2206</v>
      </c>
      <c r="L79" t="str">
        <f>TEXT(maintable_2[[#This Row],[Order Date]],"mmmm")</f>
        <v>July</v>
      </c>
    </row>
    <row r="80" spans="1:12" x14ac:dyDescent="0.3">
      <c r="A80" s="1">
        <v>41899</v>
      </c>
      <c r="B80" s="1">
        <v>41900</v>
      </c>
      <c r="C80" t="s">
        <v>138</v>
      </c>
      <c r="D80" t="s">
        <v>44</v>
      </c>
      <c r="E80" t="s">
        <v>139</v>
      </c>
      <c r="F80">
        <v>8.82</v>
      </c>
      <c r="G80">
        <v>2</v>
      </c>
      <c r="H80">
        <v>4.0571999999999999</v>
      </c>
      <c r="I80">
        <v>1</v>
      </c>
      <c r="J80">
        <v>2014</v>
      </c>
      <c r="K80" t="s">
        <v>2209</v>
      </c>
      <c r="L80" t="str">
        <f>TEXT(maintable_2[[#This Row],[Order Date]],"mmmm")</f>
        <v>September</v>
      </c>
    </row>
    <row r="81" spans="1:12" x14ac:dyDescent="0.3">
      <c r="A81" s="1">
        <v>41899</v>
      </c>
      <c r="B81" s="1">
        <v>41900</v>
      </c>
      <c r="C81" t="s">
        <v>138</v>
      </c>
      <c r="D81" t="s">
        <v>13</v>
      </c>
      <c r="E81" t="s">
        <v>140</v>
      </c>
      <c r="F81">
        <v>5.98</v>
      </c>
      <c r="G81">
        <v>1</v>
      </c>
      <c r="H81">
        <v>1.5548</v>
      </c>
      <c r="I81">
        <v>1</v>
      </c>
      <c r="J81">
        <v>2014</v>
      </c>
      <c r="K81" t="s">
        <v>2209</v>
      </c>
      <c r="L81" t="str">
        <f>TEXT(maintable_2[[#This Row],[Order Date]],"mmmm")</f>
        <v>September</v>
      </c>
    </row>
    <row r="82" spans="1:12" x14ac:dyDescent="0.3">
      <c r="A82" s="1">
        <v>41215</v>
      </c>
      <c r="B82" s="1">
        <v>41219</v>
      </c>
      <c r="C82" t="s">
        <v>141</v>
      </c>
      <c r="D82" t="s">
        <v>21</v>
      </c>
      <c r="E82" t="s">
        <v>142</v>
      </c>
      <c r="F82">
        <v>1038.8399999999999</v>
      </c>
      <c r="G82">
        <v>5</v>
      </c>
      <c r="H82">
        <v>51.942</v>
      </c>
      <c r="I82">
        <v>4</v>
      </c>
      <c r="J82">
        <v>2012</v>
      </c>
      <c r="K82" t="s">
        <v>2209</v>
      </c>
      <c r="L82" t="str">
        <f>TEXT(maintable_2[[#This Row],[Order Date]],"mmmm")</f>
        <v>November</v>
      </c>
    </row>
    <row r="83" spans="1:12" x14ac:dyDescent="0.3">
      <c r="A83" s="1">
        <v>41178</v>
      </c>
      <c r="B83" s="1">
        <v>41184</v>
      </c>
      <c r="C83" t="s">
        <v>143</v>
      </c>
      <c r="D83" t="s">
        <v>44</v>
      </c>
      <c r="E83" t="s">
        <v>105</v>
      </c>
      <c r="F83">
        <v>141.76</v>
      </c>
      <c r="G83">
        <v>5</v>
      </c>
      <c r="H83">
        <v>47.844000000000001</v>
      </c>
      <c r="I83">
        <v>6</v>
      </c>
      <c r="J83">
        <v>2012</v>
      </c>
      <c r="K83" t="s">
        <v>2209</v>
      </c>
      <c r="L83" t="str">
        <f>TEXT(maintable_2[[#This Row],[Order Date]],"mmmm")</f>
        <v>September</v>
      </c>
    </row>
    <row r="84" spans="1:12" x14ac:dyDescent="0.3">
      <c r="A84" s="1">
        <v>41178</v>
      </c>
      <c r="B84" s="1">
        <v>41184</v>
      </c>
      <c r="C84" t="s">
        <v>143</v>
      </c>
      <c r="D84" t="s">
        <v>37</v>
      </c>
      <c r="E84" t="s">
        <v>144</v>
      </c>
      <c r="F84">
        <v>239.8</v>
      </c>
      <c r="G84">
        <v>5</v>
      </c>
      <c r="H84">
        <v>47.96</v>
      </c>
      <c r="I84">
        <v>6</v>
      </c>
      <c r="J84">
        <v>2012</v>
      </c>
      <c r="K84" t="s">
        <v>2209</v>
      </c>
      <c r="L84" t="str">
        <f>TEXT(maintable_2[[#This Row],[Order Date]],"mmmm")</f>
        <v>September</v>
      </c>
    </row>
    <row r="85" spans="1:12" x14ac:dyDescent="0.3">
      <c r="A85" s="1">
        <v>41178</v>
      </c>
      <c r="B85" s="1">
        <v>41184</v>
      </c>
      <c r="C85" t="s">
        <v>143</v>
      </c>
      <c r="D85" t="s">
        <v>44</v>
      </c>
      <c r="E85" t="s">
        <v>145</v>
      </c>
      <c r="F85">
        <v>31.103999999999999</v>
      </c>
      <c r="G85">
        <v>6</v>
      </c>
      <c r="H85">
        <v>10.8864</v>
      </c>
      <c r="I85">
        <v>6</v>
      </c>
      <c r="J85">
        <v>2012</v>
      </c>
      <c r="K85" t="s">
        <v>2209</v>
      </c>
      <c r="L85" t="str">
        <f>TEXT(maintable_2[[#This Row],[Order Date]],"mmmm")</f>
        <v>September</v>
      </c>
    </row>
    <row r="86" spans="1:12" x14ac:dyDescent="0.3">
      <c r="A86" s="1">
        <v>40903</v>
      </c>
      <c r="B86" s="1">
        <v>40905</v>
      </c>
      <c r="C86" t="s">
        <v>146</v>
      </c>
      <c r="D86" t="s">
        <v>11</v>
      </c>
      <c r="E86" t="s">
        <v>147</v>
      </c>
      <c r="F86">
        <v>300.416</v>
      </c>
      <c r="G86">
        <v>8</v>
      </c>
      <c r="H86">
        <v>78.859200000000001</v>
      </c>
      <c r="I86">
        <v>2</v>
      </c>
      <c r="J86">
        <v>2011</v>
      </c>
      <c r="K86" t="s">
        <v>2207</v>
      </c>
      <c r="L86" t="str">
        <f>TEXT(maintable_2[[#This Row],[Order Date]],"mmmm")</f>
        <v>December</v>
      </c>
    </row>
    <row r="87" spans="1:12" x14ac:dyDescent="0.3">
      <c r="A87" s="1">
        <v>40903</v>
      </c>
      <c r="B87" s="1">
        <v>40905</v>
      </c>
      <c r="C87" t="s">
        <v>146</v>
      </c>
      <c r="D87" t="s">
        <v>71</v>
      </c>
      <c r="E87" t="s">
        <v>148</v>
      </c>
      <c r="F87">
        <v>230.352</v>
      </c>
      <c r="G87">
        <v>3</v>
      </c>
      <c r="H87">
        <v>20.155799999999999</v>
      </c>
      <c r="I87">
        <v>2</v>
      </c>
      <c r="J87">
        <v>2011</v>
      </c>
      <c r="K87" t="s">
        <v>2207</v>
      </c>
      <c r="L87" t="str">
        <f>TEXT(maintable_2[[#This Row],[Order Date]],"mmmm")</f>
        <v>December</v>
      </c>
    </row>
    <row r="88" spans="1:12" x14ac:dyDescent="0.3">
      <c r="A88" s="1">
        <v>40903</v>
      </c>
      <c r="B88" s="1">
        <v>40905</v>
      </c>
      <c r="C88" t="s">
        <v>146</v>
      </c>
      <c r="D88" t="s">
        <v>11</v>
      </c>
      <c r="E88" t="s">
        <v>149</v>
      </c>
      <c r="F88">
        <v>218.352</v>
      </c>
      <c r="G88">
        <v>3</v>
      </c>
      <c r="H88">
        <v>-24.564599999999999</v>
      </c>
      <c r="I88">
        <v>2</v>
      </c>
      <c r="J88">
        <v>2011</v>
      </c>
      <c r="K88" t="s">
        <v>2207</v>
      </c>
      <c r="L88" t="str">
        <f>TEXT(maintable_2[[#This Row],[Order Date]],"mmmm")</f>
        <v>December</v>
      </c>
    </row>
    <row r="89" spans="1:12" x14ac:dyDescent="0.3">
      <c r="A89" s="1">
        <v>40903</v>
      </c>
      <c r="B89" s="1">
        <v>40905</v>
      </c>
      <c r="C89" t="s">
        <v>146</v>
      </c>
      <c r="D89" t="s">
        <v>17</v>
      </c>
      <c r="E89" t="s">
        <v>150</v>
      </c>
      <c r="F89">
        <v>78.599999999999994</v>
      </c>
      <c r="G89">
        <v>5</v>
      </c>
      <c r="H89">
        <v>-62.88</v>
      </c>
      <c r="I89">
        <v>2</v>
      </c>
      <c r="J89">
        <v>2011</v>
      </c>
      <c r="K89" t="s">
        <v>2207</v>
      </c>
      <c r="L89" t="str">
        <f>TEXT(maintable_2[[#This Row],[Order Date]],"mmmm")</f>
        <v>December</v>
      </c>
    </row>
    <row r="90" spans="1:12" x14ac:dyDescent="0.3">
      <c r="A90" s="1">
        <v>40903</v>
      </c>
      <c r="B90" s="1">
        <v>40905</v>
      </c>
      <c r="C90" t="s">
        <v>146</v>
      </c>
      <c r="D90" t="s">
        <v>78</v>
      </c>
      <c r="E90" t="s">
        <v>151</v>
      </c>
      <c r="F90">
        <v>27.552</v>
      </c>
      <c r="G90">
        <v>3</v>
      </c>
      <c r="H90">
        <v>9.2988</v>
      </c>
      <c r="I90">
        <v>2</v>
      </c>
      <c r="J90">
        <v>2011</v>
      </c>
      <c r="K90" t="s">
        <v>2207</v>
      </c>
      <c r="L90" t="str">
        <f>TEXT(maintable_2[[#This Row],[Order Date]],"mmmm")</f>
        <v>December</v>
      </c>
    </row>
    <row r="91" spans="1:12" x14ac:dyDescent="0.3">
      <c r="A91" s="1">
        <v>41530</v>
      </c>
      <c r="B91" s="1">
        <v>41532</v>
      </c>
      <c r="C91" t="s">
        <v>152</v>
      </c>
      <c r="D91" t="s">
        <v>11</v>
      </c>
      <c r="E91" t="s">
        <v>153</v>
      </c>
      <c r="F91">
        <v>15.135999999999999</v>
      </c>
      <c r="G91">
        <v>4</v>
      </c>
      <c r="H91">
        <v>3.5948000000000002</v>
      </c>
      <c r="I91">
        <v>2</v>
      </c>
      <c r="J91">
        <v>2013</v>
      </c>
      <c r="K91" t="s">
        <v>2209</v>
      </c>
      <c r="L91" t="str">
        <f>TEXT(maintable_2[[#This Row],[Order Date]],"mmmm")</f>
        <v>September</v>
      </c>
    </row>
    <row r="92" spans="1:12" x14ac:dyDescent="0.3">
      <c r="A92" s="1">
        <v>41530</v>
      </c>
      <c r="B92" s="1">
        <v>41532</v>
      </c>
      <c r="C92" t="s">
        <v>152</v>
      </c>
      <c r="D92" t="s">
        <v>71</v>
      </c>
      <c r="E92" t="s">
        <v>154</v>
      </c>
      <c r="F92">
        <v>466.76799999999997</v>
      </c>
      <c r="G92">
        <v>2</v>
      </c>
      <c r="H92">
        <v>52.511400000000002</v>
      </c>
      <c r="I92">
        <v>2</v>
      </c>
      <c r="J92">
        <v>2013</v>
      </c>
      <c r="K92" t="s">
        <v>2209</v>
      </c>
      <c r="L92" t="str">
        <f>TEXT(maintable_2[[#This Row],[Order Date]],"mmmm")</f>
        <v>September</v>
      </c>
    </row>
    <row r="93" spans="1:12" x14ac:dyDescent="0.3">
      <c r="A93" s="1">
        <v>41530</v>
      </c>
      <c r="B93" s="1">
        <v>41532</v>
      </c>
      <c r="C93" t="s">
        <v>152</v>
      </c>
      <c r="D93" t="s">
        <v>11</v>
      </c>
      <c r="E93" t="s">
        <v>155</v>
      </c>
      <c r="F93">
        <v>15.231999999999999</v>
      </c>
      <c r="G93">
        <v>1</v>
      </c>
      <c r="H93">
        <v>1.7136</v>
      </c>
      <c r="I93">
        <v>2</v>
      </c>
      <c r="J93">
        <v>2013</v>
      </c>
      <c r="K93" t="s">
        <v>2209</v>
      </c>
      <c r="L93" t="str">
        <f>TEXT(maintable_2[[#This Row],[Order Date]],"mmmm")</f>
        <v>September</v>
      </c>
    </row>
    <row r="94" spans="1:12" x14ac:dyDescent="0.3">
      <c r="A94" s="1">
        <v>41530</v>
      </c>
      <c r="B94" s="1">
        <v>41532</v>
      </c>
      <c r="C94" t="s">
        <v>152</v>
      </c>
      <c r="D94" t="s">
        <v>8</v>
      </c>
      <c r="E94" t="s">
        <v>156</v>
      </c>
      <c r="F94">
        <v>6.2640000000000002</v>
      </c>
      <c r="G94">
        <v>3</v>
      </c>
      <c r="H94">
        <v>2.0358000000000001</v>
      </c>
      <c r="I94">
        <v>2</v>
      </c>
      <c r="J94">
        <v>2013</v>
      </c>
      <c r="K94" t="s">
        <v>2209</v>
      </c>
      <c r="L94" t="str">
        <f>TEXT(maintable_2[[#This Row],[Order Date]],"mmmm")</f>
        <v>September</v>
      </c>
    </row>
    <row r="95" spans="1:12" x14ac:dyDescent="0.3">
      <c r="A95" s="1">
        <v>40805</v>
      </c>
      <c r="B95" s="1">
        <v>40810</v>
      </c>
      <c r="C95" t="s">
        <v>157</v>
      </c>
      <c r="D95" t="s">
        <v>78</v>
      </c>
      <c r="E95" t="s">
        <v>158</v>
      </c>
      <c r="F95">
        <v>7.16</v>
      </c>
      <c r="G95">
        <v>2</v>
      </c>
      <c r="H95">
        <v>3.58</v>
      </c>
      <c r="I95">
        <v>5</v>
      </c>
      <c r="J95">
        <v>2011</v>
      </c>
      <c r="K95" t="s">
        <v>2209</v>
      </c>
      <c r="L95" t="str">
        <f>TEXT(maintable_2[[#This Row],[Order Date]],"mmmm")</f>
        <v>September</v>
      </c>
    </row>
    <row r="96" spans="1:12" x14ac:dyDescent="0.3">
      <c r="A96" s="1">
        <v>41388</v>
      </c>
      <c r="B96" s="1">
        <v>41392</v>
      </c>
      <c r="C96" t="s">
        <v>159</v>
      </c>
      <c r="D96" t="s">
        <v>17</v>
      </c>
      <c r="E96" t="s">
        <v>150</v>
      </c>
      <c r="F96">
        <v>251.52</v>
      </c>
      <c r="G96">
        <v>6</v>
      </c>
      <c r="H96">
        <v>81.744</v>
      </c>
      <c r="I96">
        <v>4</v>
      </c>
      <c r="J96">
        <v>2013</v>
      </c>
      <c r="K96" t="s">
        <v>2208</v>
      </c>
      <c r="L96" t="str">
        <f>TEXT(maintable_2[[#This Row],[Order Date]],"mmmm")</f>
        <v>April</v>
      </c>
    </row>
    <row r="97" spans="1:12" x14ac:dyDescent="0.3">
      <c r="A97" s="1">
        <v>41388</v>
      </c>
      <c r="B97" s="1">
        <v>41392</v>
      </c>
      <c r="C97" t="s">
        <v>159</v>
      </c>
      <c r="D97" t="s">
        <v>37</v>
      </c>
      <c r="E97" t="s">
        <v>160</v>
      </c>
      <c r="F97">
        <v>99.99</v>
      </c>
      <c r="G97">
        <v>1</v>
      </c>
      <c r="H97">
        <v>34.996499999999997</v>
      </c>
      <c r="I97">
        <v>4</v>
      </c>
      <c r="J97">
        <v>2013</v>
      </c>
      <c r="K97" t="s">
        <v>2208</v>
      </c>
      <c r="L97" t="str">
        <f>TEXT(maintable_2[[#This Row],[Order Date]],"mmmm")</f>
        <v>April</v>
      </c>
    </row>
    <row r="98" spans="1:12" x14ac:dyDescent="0.3">
      <c r="A98" s="1">
        <v>41153</v>
      </c>
      <c r="B98" s="1">
        <v>41156</v>
      </c>
      <c r="C98" t="s">
        <v>161</v>
      </c>
      <c r="D98" t="s">
        <v>17</v>
      </c>
      <c r="E98" t="s">
        <v>162</v>
      </c>
      <c r="F98">
        <v>4.7519999999999998</v>
      </c>
      <c r="G98">
        <v>1</v>
      </c>
      <c r="H98">
        <v>1.6037999999999999</v>
      </c>
      <c r="I98">
        <v>3</v>
      </c>
      <c r="J98">
        <v>2012</v>
      </c>
      <c r="K98" t="s">
        <v>2206</v>
      </c>
      <c r="L98" t="str">
        <f>TEXT(maintable_2[[#This Row],[Order Date]],"mmmm")</f>
        <v>September</v>
      </c>
    </row>
    <row r="99" spans="1:12" x14ac:dyDescent="0.3">
      <c r="A99" s="1">
        <v>41153</v>
      </c>
      <c r="B99" s="1">
        <v>41156</v>
      </c>
      <c r="C99" t="s">
        <v>161</v>
      </c>
      <c r="D99" t="s">
        <v>163</v>
      </c>
      <c r="E99" t="s">
        <v>164</v>
      </c>
      <c r="F99">
        <v>959.98400000000004</v>
      </c>
      <c r="G99">
        <v>2</v>
      </c>
      <c r="H99">
        <v>335.99439999999998</v>
      </c>
      <c r="I99">
        <v>3</v>
      </c>
      <c r="J99">
        <v>2012</v>
      </c>
      <c r="K99" t="s">
        <v>2206</v>
      </c>
      <c r="L99" t="str">
        <f>TEXT(maintable_2[[#This Row],[Order Date]],"mmmm")</f>
        <v>September</v>
      </c>
    </row>
    <row r="100" spans="1:12" x14ac:dyDescent="0.3">
      <c r="A100" s="1">
        <v>41153</v>
      </c>
      <c r="B100" s="1">
        <v>41156</v>
      </c>
      <c r="C100" t="s">
        <v>161</v>
      </c>
      <c r="D100" t="s">
        <v>17</v>
      </c>
      <c r="E100" t="s">
        <v>165</v>
      </c>
      <c r="F100">
        <v>14.368</v>
      </c>
      <c r="G100">
        <v>4</v>
      </c>
      <c r="H100">
        <v>4.49</v>
      </c>
      <c r="I100">
        <v>3</v>
      </c>
      <c r="J100">
        <v>2012</v>
      </c>
      <c r="K100" t="s">
        <v>2206</v>
      </c>
      <c r="L100" t="str">
        <f>TEXT(maintable_2[[#This Row],[Order Date]],"mmmm")</f>
        <v>September</v>
      </c>
    </row>
    <row r="101" spans="1:12" x14ac:dyDescent="0.3">
      <c r="A101" s="1">
        <v>40736</v>
      </c>
      <c r="B101" s="1">
        <v>40741</v>
      </c>
      <c r="C101" t="s">
        <v>166</v>
      </c>
      <c r="D101" t="s">
        <v>17</v>
      </c>
      <c r="E101" t="s">
        <v>167</v>
      </c>
      <c r="F101">
        <v>7.7119999999999997</v>
      </c>
      <c r="G101">
        <v>2</v>
      </c>
      <c r="H101">
        <v>2.7955999999999999</v>
      </c>
      <c r="I101">
        <v>5</v>
      </c>
      <c r="J101">
        <v>2011</v>
      </c>
      <c r="K101" t="s">
        <v>2206</v>
      </c>
      <c r="L101" t="str">
        <f>TEXT(maintable_2[[#This Row],[Order Date]],"mmmm")</f>
        <v>July</v>
      </c>
    </row>
    <row r="102" spans="1:12" x14ac:dyDescent="0.3">
      <c r="A102" s="1">
        <v>40736</v>
      </c>
      <c r="B102" s="1">
        <v>40741</v>
      </c>
      <c r="C102" t="s">
        <v>166</v>
      </c>
      <c r="D102" t="s">
        <v>21</v>
      </c>
      <c r="E102" t="s">
        <v>168</v>
      </c>
      <c r="F102">
        <v>698.35199999999998</v>
      </c>
      <c r="G102">
        <v>3</v>
      </c>
      <c r="H102">
        <v>-17.4588</v>
      </c>
      <c r="I102">
        <v>5</v>
      </c>
      <c r="J102">
        <v>2011</v>
      </c>
      <c r="K102" t="s">
        <v>2206</v>
      </c>
      <c r="L102" t="str">
        <f>TEXT(maintable_2[[#This Row],[Order Date]],"mmmm")</f>
        <v>July</v>
      </c>
    </row>
    <row r="103" spans="1:12" x14ac:dyDescent="0.3">
      <c r="A103" s="1">
        <v>41082</v>
      </c>
      <c r="B103" s="1">
        <v>41086</v>
      </c>
      <c r="C103" t="s">
        <v>169</v>
      </c>
      <c r="D103" t="s">
        <v>78</v>
      </c>
      <c r="E103" t="s">
        <v>170</v>
      </c>
      <c r="F103">
        <v>4.96</v>
      </c>
      <c r="G103">
        <v>4</v>
      </c>
      <c r="H103">
        <v>2.3311999999999999</v>
      </c>
      <c r="I103">
        <v>4</v>
      </c>
      <c r="J103">
        <v>2012</v>
      </c>
      <c r="K103" t="s">
        <v>2206</v>
      </c>
      <c r="L103" t="str">
        <f>TEXT(maintable_2[[#This Row],[Order Date]],"mmmm")</f>
        <v>June</v>
      </c>
    </row>
    <row r="104" spans="1:12" x14ac:dyDescent="0.3">
      <c r="A104" s="1">
        <v>41806</v>
      </c>
      <c r="B104" s="1">
        <v>41810</v>
      </c>
      <c r="C104" t="s">
        <v>171</v>
      </c>
      <c r="D104" t="s">
        <v>15</v>
      </c>
      <c r="E104" t="s">
        <v>172</v>
      </c>
      <c r="F104">
        <v>47.975999999999999</v>
      </c>
      <c r="G104">
        <v>3</v>
      </c>
      <c r="H104">
        <v>4.7976000000000001</v>
      </c>
      <c r="I104">
        <v>4</v>
      </c>
      <c r="J104">
        <v>2014</v>
      </c>
      <c r="K104" t="s">
        <v>2206</v>
      </c>
      <c r="L104" t="str">
        <f>TEXT(maintable_2[[#This Row],[Order Date]],"mmmm")</f>
        <v>June</v>
      </c>
    </row>
    <row r="105" spans="1:12" x14ac:dyDescent="0.3">
      <c r="A105" s="1">
        <v>40810</v>
      </c>
      <c r="B105" s="1">
        <v>40815</v>
      </c>
      <c r="C105" t="s">
        <v>173</v>
      </c>
      <c r="D105" t="s">
        <v>27</v>
      </c>
      <c r="E105" t="s">
        <v>174</v>
      </c>
      <c r="F105">
        <v>211.96</v>
      </c>
      <c r="G105">
        <v>4</v>
      </c>
      <c r="H105">
        <v>8.4784000000000006</v>
      </c>
      <c r="I105">
        <v>5</v>
      </c>
      <c r="J105">
        <v>2011</v>
      </c>
      <c r="K105" t="s">
        <v>2209</v>
      </c>
      <c r="L105" t="str">
        <f>TEXT(maintable_2[[#This Row],[Order Date]],"mmmm")</f>
        <v>September</v>
      </c>
    </row>
    <row r="106" spans="1:12" x14ac:dyDescent="0.3">
      <c r="A106" s="1">
        <v>40747</v>
      </c>
      <c r="B106" s="1">
        <v>40751</v>
      </c>
      <c r="C106" t="s">
        <v>175</v>
      </c>
      <c r="D106" t="s">
        <v>17</v>
      </c>
      <c r="E106" t="s">
        <v>176</v>
      </c>
      <c r="F106">
        <v>8.16</v>
      </c>
      <c r="G106">
        <v>5</v>
      </c>
      <c r="H106">
        <v>-5.7119999999999997</v>
      </c>
      <c r="I106">
        <v>4</v>
      </c>
      <c r="J106">
        <v>2011</v>
      </c>
      <c r="K106" t="s">
        <v>2206</v>
      </c>
      <c r="L106" t="str">
        <f>TEXT(maintable_2[[#This Row],[Order Date]],"mmmm")</f>
        <v>July</v>
      </c>
    </row>
    <row r="107" spans="1:12" x14ac:dyDescent="0.3">
      <c r="A107" s="1">
        <v>40747</v>
      </c>
      <c r="B107" s="1">
        <v>40751</v>
      </c>
      <c r="C107" t="s">
        <v>175</v>
      </c>
      <c r="D107" t="s">
        <v>37</v>
      </c>
      <c r="E107" t="s">
        <v>177</v>
      </c>
      <c r="F107">
        <v>1023.936</v>
      </c>
      <c r="G107">
        <v>8</v>
      </c>
      <c r="H107">
        <v>179.18879999999999</v>
      </c>
      <c r="I107">
        <v>4</v>
      </c>
      <c r="J107">
        <v>2011</v>
      </c>
      <c r="K107" t="s">
        <v>2206</v>
      </c>
      <c r="L107" t="str">
        <f>TEXT(maintable_2[[#This Row],[Order Date]],"mmmm")</f>
        <v>July</v>
      </c>
    </row>
    <row r="108" spans="1:12" x14ac:dyDescent="0.3">
      <c r="A108" s="1">
        <v>40747</v>
      </c>
      <c r="B108" s="1">
        <v>40751</v>
      </c>
      <c r="C108" t="s">
        <v>175</v>
      </c>
      <c r="D108" t="s">
        <v>13</v>
      </c>
      <c r="E108" t="s">
        <v>178</v>
      </c>
      <c r="F108">
        <v>9.24</v>
      </c>
      <c r="G108">
        <v>1</v>
      </c>
      <c r="H108">
        <v>0.92400000000000004</v>
      </c>
      <c r="I108">
        <v>4</v>
      </c>
      <c r="J108">
        <v>2011</v>
      </c>
      <c r="K108" t="s">
        <v>2206</v>
      </c>
      <c r="L108" t="str">
        <f>TEXT(maintable_2[[#This Row],[Order Date]],"mmmm")</f>
        <v>July</v>
      </c>
    </row>
    <row r="109" spans="1:12" x14ac:dyDescent="0.3">
      <c r="A109" s="1">
        <v>40747</v>
      </c>
      <c r="B109" s="1">
        <v>40751</v>
      </c>
      <c r="C109" t="s">
        <v>175</v>
      </c>
      <c r="D109" t="s">
        <v>37</v>
      </c>
      <c r="E109" t="s">
        <v>179</v>
      </c>
      <c r="F109">
        <v>479.04</v>
      </c>
      <c r="G109">
        <v>10</v>
      </c>
      <c r="H109">
        <v>-29.94</v>
      </c>
      <c r="I109">
        <v>4</v>
      </c>
      <c r="J109">
        <v>2011</v>
      </c>
      <c r="K109" t="s">
        <v>2206</v>
      </c>
      <c r="L109" t="str">
        <f>TEXT(maintable_2[[#This Row],[Order Date]],"mmmm")</f>
        <v>July</v>
      </c>
    </row>
    <row r="110" spans="1:12" x14ac:dyDescent="0.3">
      <c r="A110" s="1">
        <v>41576</v>
      </c>
      <c r="B110" s="1">
        <v>41577</v>
      </c>
      <c r="C110" t="s">
        <v>180</v>
      </c>
      <c r="D110" t="s">
        <v>44</v>
      </c>
      <c r="E110" t="s">
        <v>181</v>
      </c>
      <c r="F110">
        <v>50.96</v>
      </c>
      <c r="G110">
        <v>7</v>
      </c>
      <c r="H110">
        <v>25.48</v>
      </c>
      <c r="I110">
        <v>1</v>
      </c>
      <c r="J110">
        <v>2013</v>
      </c>
      <c r="K110" t="s">
        <v>2209</v>
      </c>
      <c r="L110" t="str">
        <f>TEXT(maintable_2[[#This Row],[Order Date]],"mmmm")</f>
        <v>October</v>
      </c>
    </row>
    <row r="111" spans="1:12" x14ac:dyDescent="0.3">
      <c r="A111" s="1">
        <v>41576</v>
      </c>
      <c r="B111" s="1">
        <v>41577</v>
      </c>
      <c r="C111" t="s">
        <v>180</v>
      </c>
      <c r="D111" t="s">
        <v>17</v>
      </c>
      <c r="E111" t="s">
        <v>182</v>
      </c>
      <c r="F111">
        <v>49.536000000000001</v>
      </c>
      <c r="G111">
        <v>3</v>
      </c>
      <c r="H111">
        <v>17.337599999999998</v>
      </c>
      <c r="I111">
        <v>1</v>
      </c>
      <c r="J111">
        <v>2013</v>
      </c>
      <c r="K111" t="s">
        <v>2209</v>
      </c>
      <c r="L111" t="str">
        <f>TEXT(maintable_2[[#This Row],[Order Date]],"mmmm")</f>
        <v>October</v>
      </c>
    </row>
    <row r="112" spans="1:12" x14ac:dyDescent="0.3">
      <c r="A112" s="1">
        <v>40807</v>
      </c>
      <c r="B112" s="1">
        <v>40809</v>
      </c>
      <c r="C112" t="s">
        <v>183</v>
      </c>
      <c r="D112" t="s">
        <v>15</v>
      </c>
      <c r="E112" t="s">
        <v>184</v>
      </c>
      <c r="F112">
        <v>246.38399999999999</v>
      </c>
      <c r="G112">
        <v>2</v>
      </c>
      <c r="H112">
        <v>27.7182</v>
      </c>
      <c r="I112">
        <v>2</v>
      </c>
      <c r="J112">
        <v>2011</v>
      </c>
      <c r="K112" t="s">
        <v>2209</v>
      </c>
      <c r="L112" t="str">
        <f>TEXT(maintable_2[[#This Row],[Order Date]],"mmmm")</f>
        <v>September</v>
      </c>
    </row>
    <row r="113" spans="1:12" x14ac:dyDescent="0.3">
      <c r="A113" s="1">
        <v>40807</v>
      </c>
      <c r="B113" s="1">
        <v>40809</v>
      </c>
      <c r="C113" t="s">
        <v>183</v>
      </c>
      <c r="D113" t="s">
        <v>163</v>
      </c>
      <c r="E113" t="s">
        <v>185</v>
      </c>
      <c r="F113">
        <v>1799.97</v>
      </c>
      <c r="G113">
        <v>3</v>
      </c>
      <c r="H113">
        <v>701.98829999999998</v>
      </c>
      <c r="I113">
        <v>2</v>
      </c>
      <c r="J113">
        <v>2011</v>
      </c>
      <c r="K113" t="s">
        <v>2209</v>
      </c>
      <c r="L113" t="str">
        <f>TEXT(maintable_2[[#This Row],[Order Date]],"mmmm")</f>
        <v>September</v>
      </c>
    </row>
    <row r="114" spans="1:12" x14ac:dyDescent="0.3">
      <c r="A114" s="1">
        <v>41821</v>
      </c>
      <c r="B114" s="1">
        <v>41826</v>
      </c>
      <c r="C114" t="s">
        <v>186</v>
      </c>
      <c r="D114" t="s">
        <v>17</v>
      </c>
      <c r="E114" t="s">
        <v>187</v>
      </c>
      <c r="F114">
        <v>75.792000000000002</v>
      </c>
      <c r="G114">
        <v>3</v>
      </c>
      <c r="H114">
        <v>25.579799999999999</v>
      </c>
      <c r="I114">
        <v>5</v>
      </c>
      <c r="J114">
        <v>2014</v>
      </c>
      <c r="K114" t="s">
        <v>2206</v>
      </c>
      <c r="L114" t="str">
        <f>TEXT(maintable_2[[#This Row],[Order Date]],"mmmm")</f>
        <v>July</v>
      </c>
    </row>
    <row r="115" spans="1:12" x14ac:dyDescent="0.3">
      <c r="A115" s="1">
        <v>41982</v>
      </c>
      <c r="B115" s="1">
        <v>41986</v>
      </c>
      <c r="C115" t="s">
        <v>188</v>
      </c>
      <c r="D115" t="s">
        <v>37</v>
      </c>
      <c r="E115" t="s">
        <v>189</v>
      </c>
      <c r="F115">
        <v>179.95</v>
      </c>
      <c r="G115">
        <v>5</v>
      </c>
      <c r="H115">
        <v>37.789499999999997</v>
      </c>
      <c r="I115">
        <v>4</v>
      </c>
      <c r="J115">
        <v>2014</v>
      </c>
      <c r="K115" t="s">
        <v>2207</v>
      </c>
      <c r="L115" t="str">
        <f>TEXT(maintable_2[[#This Row],[Order Date]],"mmmm")</f>
        <v>December</v>
      </c>
    </row>
    <row r="116" spans="1:12" x14ac:dyDescent="0.3">
      <c r="A116" s="1">
        <v>41982</v>
      </c>
      <c r="B116" s="1">
        <v>41986</v>
      </c>
      <c r="C116" t="s">
        <v>188</v>
      </c>
      <c r="D116" t="s">
        <v>163</v>
      </c>
      <c r="E116" t="s">
        <v>190</v>
      </c>
      <c r="F116">
        <v>1199.9760000000001</v>
      </c>
      <c r="G116">
        <v>3</v>
      </c>
      <c r="H116">
        <v>434.99130000000002</v>
      </c>
      <c r="I116">
        <v>4</v>
      </c>
      <c r="J116">
        <v>2014</v>
      </c>
      <c r="K116" t="s">
        <v>2207</v>
      </c>
      <c r="L116" t="str">
        <f>TEXT(maintable_2[[#This Row],[Order Date]],"mmmm")</f>
        <v>December</v>
      </c>
    </row>
    <row r="117" spans="1:12" x14ac:dyDescent="0.3">
      <c r="A117" s="1">
        <v>41982</v>
      </c>
      <c r="B117" s="1">
        <v>41986</v>
      </c>
      <c r="C117" t="s">
        <v>188</v>
      </c>
      <c r="D117" t="s">
        <v>44</v>
      </c>
      <c r="E117" t="s">
        <v>191</v>
      </c>
      <c r="F117">
        <v>27.15</v>
      </c>
      <c r="G117">
        <v>5</v>
      </c>
      <c r="H117">
        <v>13.3035</v>
      </c>
      <c r="I117">
        <v>4</v>
      </c>
      <c r="J117">
        <v>2014</v>
      </c>
      <c r="K117" t="s">
        <v>2207</v>
      </c>
      <c r="L117" t="str">
        <f>TEXT(maintable_2[[#This Row],[Order Date]],"mmmm")</f>
        <v>December</v>
      </c>
    </row>
    <row r="118" spans="1:12" x14ac:dyDescent="0.3">
      <c r="A118" s="1">
        <v>41982</v>
      </c>
      <c r="B118" s="1">
        <v>41986</v>
      </c>
      <c r="C118" t="s">
        <v>188</v>
      </c>
      <c r="D118" t="s">
        <v>21</v>
      </c>
      <c r="E118" t="s">
        <v>192</v>
      </c>
      <c r="F118">
        <v>1004.024</v>
      </c>
      <c r="G118">
        <v>7</v>
      </c>
      <c r="H118">
        <v>-112.95269999999999</v>
      </c>
      <c r="I118">
        <v>4</v>
      </c>
      <c r="J118">
        <v>2014</v>
      </c>
      <c r="K118" t="s">
        <v>2207</v>
      </c>
      <c r="L118" t="str">
        <f>TEXT(maintable_2[[#This Row],[Order Date]],"mmmm")</f>
        <v>December</v>
      </c>
    </row>
    <row r="119" spans="1:12" x14ac:dyDescent="0.3">
      <c r="A119" s="1">
        <v>41982</v>
      </c>
      <c r="B119" s="1">
        <v>41986</v>
      </c>
      <c r="C119" t="s">
        <v>188</v>
      </c>
      <c r="D119" t="s">
        <v>44</v>
      </c>
      <c r="E119" t="s">
        <v>193</v>
      </c>
      <c r="F119">
        <v>9.68</v>
      </c>
      <c r="G119">
        <v>1</v>
      </c>
      <c r="H119">
        <v>4.6463999999999999</v>
      </c>
      <c r="I119">
        <v>4</v>
      </c>
      <c r="J119">
        <v>2014</v>
      </c>
      <c r="K119" t="s">
        <v>2207</v>
      </c>
      <c r="L119" t="str">
        <f>TEXT(maintable_2[[#This Row],[Order Date]],"mmmm")</f>
        <v>December</v>
      </c>
    </row>
    <row r="120" spans="1:12" x14ac:dyDescent="0.3">
      <c r="A120" s="1">
        <v>41982</v>
      </c>
      <c r="B120" s="1">
        <v>41986</v>
      </c>
      <c r="C120" t="s">
        <v>188</v>
      </c>
      <c r="D120" t="s">
        <v>8</v>
      </c>
      <c r="E120" t="s">
        <v>194</v>
      </c>
      <c r="F120">
        <v>28.35</v>
      </c>
      <c r="G120">
        <v>9</v>
      </c>
      <c r="H120">
        <v>13.608000000000001</v>
      </c>
      <c r="I120">
        <v>4</v>
      </c>
      <c r="J120">
        <v>2014</v>
      </c>
      <c r="K120" t="s">
        <v>2207</v>
      </c>
      <c r="L120" t="str">
        <f>TEXT(maintable_2[[#This Row],[Order Date]],"mmmm")</f>
        <v>December</v>
      </c>
    </row>
    <row r="121" spans="1:12" x14ac:dyDescent="0.3">
      <c r="A121" s="1">
        <v>41982</v>
      </c>
      <c r="B121" s="1">
        <v>41986</v>
      </c>
      <c r="C121" t="s">
        <v>188</v>
      </c>
      <c r="D121" t="s">
        <v>44</v>
      </c>
      <c r="E121" t="s">
        <v>195</v>
      </c>
      <c r="F121">
        <v>55.98</v>
      </c>
      <c r="G121">
        <v>1</v>
      </c>
      <c r="H121">
        <v>27.430199999999999</v>
      </c>
      <c r="I121">
        <v>4</v>
      </c>
      <c r="J121">
        <v>2014</v>
      </c>
      <c r="K121" t="s">
        <v>2207</v>
      </c>
      <c r="L121" t="str">
        <f>TEXT(maintable_2[[#This Row],[Order Date]],"mmmm")</f>
        <v>December</v>
      </c>
    </row>
    <row r="122" spans="1:12" x14ac:dyDescent="0.3">
      <c r="A122" s="1">
        <v>41982</v>
      </c>
      <c r="B122" s="1">
        <v>41986</v>
      </c>
      <c r="C122" t="s">
        <v>188</v>
      </c>
      <c r="D122" t="s">
        <v>196</v>
      </c>
      <c r="E122" t="s">
        <v>197</v>
      </c>
      <c r="F122">
        <v>1336.829</v>
      </c>
      <c r="G122">
        <v>13</v>
      </c>
      <c r="H122">
        <v>31.454799999999999</v>
      </c>
      <c r="I122">
        <v>4</v>
      </c>
      <c r="J122">
        <v>2014</v>
      </c>
      <c r="K122" t="s">
        <v>2207</v>
      </c>
      <c r="L122" t="str">
        <f>TEXT(maintable_2[[#This Row],[Order Date]],"mmmm")</f>
        <v>December</v>
      </c>
    </row>
    <row r="123" spans="1:12" x14ac:dyDescent="0.3">
      <c r="A123" s="1">
        <v>41982</v>
      </c>
      <c r="B123" s="1">
        <v>41986</v>
      </c>
      <c r="C123" t="s">
        <v>188</v>
      </c>
      <c r="D123" t="s">
        <v>71</v>
      </c>
      <c r="E123" t="s">
        <v>198</v>
      </c>
      <c r="F123">
        <v>113.568</v>
      </c>
      <c r="G123">
        <v>2</v>
      </c>
      <c r="H123">
        <v>-18.454799999999999</v>
      </c>
      <c r="I123">
        <v>4</v>
      </c>
      <c r="J123">
        <v>2014</v>
      </c>
      <c r="K123" t="s">
        <v>2207</v>
      </c>
      <c r="L123" t="str">
        <f>TEXT(maintable_2[[#This Row],[Order Date]],"mmmm")</f>
        <v>December</v>
      </c>
    </row>
    <row r="124" spans="1:12" x14ac:dyDescent="0.3">
      <c r="A124" s="1">
        <v>41947</v>
      </c>
      <c r="B124" s="1">
        <v>41951</v>
      </c>
      <c r="C124" t="s">
        <v>199</v>
      </c>
      <c r="D124" t="s">
        <v>44</v>
      </c>
      <c r="E124" t="s">
        <v>200</v>
      </c>
      <c r="F124">
        <v>139.86000000000001</v>
      </c>
      <c r="G124">
        <v>7</v>
      </c>
      <c r="H124">
        <v>65.734200000000001</v>
      </c>
      <c r="I124">
        <v>4</v>
      </c>
      <c r="J124">
        <v>2014</v>
      </c>
      <c r="K124" t="s">
        <v>2209</v>
      </c>
      <c r="L124" t="str">
        <f>TEXT(maintable_2[[#This Row],[Order Date]],"mmmm")</f>
        <v>November</v>
      </c>
    </row>
    <row r="125" spans="1:12" x14ac:dyDescent="0.3">
      <c r="A125" s="1">
        <v>41947</v>
      </c>
      <c r="B125" s="1">
        <v>41951</v>
      </c>
      <c r="C125" t="s">
        <v>199</v>
      </c>
      <c r="D125" t="s">
        <v>71</v>
      </c>
      <c r="E125" t="s">
        <v>148</v>
      </c>
      <c r="F125">
        <v>307.13600000000002</v>
      </c>
      <c r="G125">
        <v>4</v>
      </c>
      <c r="H125">
        <v>26.874400000000001</v>
      </c>
      <c r="I125">
        <v>4</v>
      </c>
      <c r="J125">
        <v>2014</v>
      </c>
      <c r="K125" t="s">
        <v>2209</v>
      </c>
      <c r="L125" t="str">
        <f>TEXT(maintable_2[[#This Row],[Order Date]],"mmmm")</f>
        <v>November</v>
      </c>
    </row>
    <row r="126" spans="1:12" x14ac:dyDescent="0.3">
      <c r="A126" s="1">
        <v>41815</v>
      </c>
      <c r="B126" s="1">
        <v>41819</v>
      </c>
      <c r="C126" t="s">
        <v>201</v>
      </c>
      <c r="D126" t="s">
        <v>13</v>
      </c>
      <c r="E126" t="s">
        <v>202</v>
      </c>
      <c r="F126">
        <v>95.92</v>
      </c>
      <c r="G126">
        <v>8</v>
      </c>
      <c r="H126">
        <v>25.898399999999999</v>
      </c>
      <c r="I126">
        <v>4</v>
      </c>
      <c r="J126">
        <v>2014</v>
      </c>
      <c r="K126" t="s">
        <v>2206</v>
      </c>
      <c r="L126" t="str">
        <f>TEXT(maintable_2[[#This Row],[Order Date]],"mmmm")</f>
        <v>June</v>
      </c>
    </row>
    <row r="127" spans="1:12" x14ac:dyDescent="0.3">
      <c r="A127" s="1">
        <v>41379</v>
      </c>
      <c r="B127" s="1">
        <v>41383</v>
      </c>
      <c r="C127" t="s">
        <v>203</v>
      </c>
      <c r="D127" t="s">
        <v>71</v>
      </c>
      <c r="E127" t="s">
        <v>204</v>
      </c>
      <c r="F127">
        <v>383.8</v>
      </c>
      <c r="G127">
        <v>5</v>
      </c>
      <c r="H127">
        <v>38.380000000000003</v>
      </c>
      <c r="I127">
        <v>4</v>
      </c>
      <c r="J127">
        <v>2013</v>
      </c>
      <c r="K127" t="s">
        <v>2208</v>
      </c>
      <c r="L127" t="str">
        <f>TEXT(maintable_2[[#This Row],[Order Date]],"mmmm")</f>
        <v>April</v>
      </c>
    </row>
    <row r="128" spans="1:12" x14ac:dyDescent="0.3">
      <c r="A128" s="1">
        <v>41703</v>
      </c>
      <c r="B128" s="1">
        <v>41708</v>
      </c>
      <c r="C128" t="s">
        <v>205</v>
      </c>
      <c r="D128" t="s">
        <v>13</v>
      </c>
      <c r="E128" t="s">
        <v>206</v>
      </c>
      <c r="F128">
        <v>9.32</v>
      </c>
      <c r="G128">
        <v>4</v>
      </c>
      <c r="H128">
        <v>2.7027999999999999</v>
      </c>
      <c r="I128">
        <v>5</v>
      </c>
      <c r="J128">
        <v>2014</v>
      </c>
      <c r="K128" t="s">
        <v>2208</v>
      </c>
      <c r="L128" t="str">
        <f>TEXT(maintable_2[[#This Row],[Order Date]],"mmmm")</f>
        <v>March</v>
      </c>
    </row>
    <row r="129" spans="1:12" x14ac:dyDescent="0.3">
      <c r="A129" s="1">
        <v>41703</v>
      </c>
      <c r="B129" s="1">
        <v>41708</v>
      </c>
      <c r="C129" t="s">
        <v>205</v>
      </c>
      <c r="D129" t="s">
        <v>86</v>
      </c>
      <c r="E129" t="s">
        <v>207</v>
      </c>
      <c r="F129">
        <v>15.25</v>
      </c>
      <c r="G129">
        <v>1</v>
      </c>
      <c r="H129">
        <v>7.0149999999999997</v>
      </c>
      <c r="I129">
        <v>5</v>
      </c>
      <c r="J129">
        <v>2014</v>
      </c>
      <c r="K129" t="s">
        <v>2208</v>
      </c>
      <c r="L129" t="str">
        <f>TEXT(maintable_2[[#This Row],[Order Date]],"mmmm")</f>
        <v>March</v>
      </c>
    </row>
    <row r="130" spans="1:12" x14ac:dyDescent="0.3">
      <c r="A130" s="1">
        <v>40716</v>
      </c>
      <c r="B130" s="1">
        <v>40719</v>
      </c>
      <c r="C130" t="s">
        <v>208</v>
      </c>
      <c r="D130" t="s">
        <v>37</v>
      </c>
      <c r="E130" t="s">
        <v>209</v>
      </c>
      <c r="F130">
        <v>196.75200000000001</v>
      </c>
      <c r="G130">
        <v>6</v>
      </c>
      <c r="H130">
        <v>56.566200000000002</v>
      </c>
      <c r="I130">
        <v>3</v>
      </c>
      <c r="J130">
        <v>2011</v>
      </c>
      <c r="K130" t="s">
        <v>2206</v>
      </c>
      <c r="L130" t="str">
        <f>TEXT(maintable_2[[#This Row],[Order Date]],"mmmm")</f>
        <v>June</v>
      </c>
    </row>
    <row r="131" spans="1:12" x14ac:dyDescent="0.3">
      <c r="A131" s="1">
        <v>40587</v>
      </c>
      <c r="B131" s="1">
        <v>40593</v>
      </c>
      <c r="C131" t="s">
        <v>210</v>
      </c>
      <c r="D131" t="s">
        <v>71</v>
      </c>
      <c r="E131" t="s">
        <v>211</v>
      </c>
      <c r="F131">
        <v>129.56800000000001</v>
      </c>
      <c r="G131">
        <v>2</v>
      </c>
      <c r="H131">
        <v>-24.294</v>
      </c>
      <c r="I131">
        <v>6</v>
      </c>
      <c r="J131">
        <v>2011</v>
      </c>
      <c r="K131" t="s">
        <v>2210</v>
      </c>
      <c r="L131" t="str">
        <f>TEXT(maintable_2[[#This Row],[Order Date]],"mmmm")</f>
        <v>February</v>
      </c>
    </row>
    <row r="132" spans="1:12" x14ac:dyDescent="0.3">
      <c r="A132" s="1">
        <v>41258</v>
      </c>
      <c r="B132" s="1">
        <v>41265</v>
      </c>
      <c r="C132" t="s">
        <v>212</v>
      </c>
      <c r="D132" t="s">
        <v>19</v>
      </c>
      <c r="E132" t="s">
        <v>213</v>
      </c>
      <c r="F132">
        <v>103.92</v>
      </c>
      <c r="G132">
        <v>4</v>
      </c>
      <c r="H132">
        <v>36.372</v>
      </c>
      <c r="I132">
        <v>7</v>
      </c>
      <c r="J132">
        <v>2012</v>
      </c>
      <c r="K132" t="s">
        <v>2207</v>
      </c>
      <c r="L132" t="str">
        <f>TEXT(maintable_2[[#This Row],[Order Date]],"mmmm")</f>
        <v>December</v>
      </c>
    </row>
    <row r="133" spans="1:12" x14ac:dyDescent="0.3">
      <c r="A133" s="1">
        <v>41258</v>
      </c>
      <c r="B133" s="1">
        <v>41265</v>
      </c>
      <c r="C133" t="s">
        <v>212</v>
      </c>
      <c r="D133" t="s">
        <v>37</v>
      </c>
      <c r="E133" t="s">
        <v>214</v>
      </c>
      <c r="F133">
        <v>899.91</v>
      </c>
      <c r="G133">
        <v>9</v>
      </c>
      <c r="H133">
        <v>377.9622</v>
      </c>
      <c r="I133">
        <v>7</v>
      </c>
      <c r="J133">
        <v>2012</v>
      </c>
      <c r="K133" t="s">
        <v>2207</v>
      </c>
      <c r="L133" t="str">
        <f>TEXT(maintable_2[[#This Row],[Order Date]],"mmmm")</f>
        <v>December</v>
      </c>
    </row>
    <row r="134" spans="1:12" x14ac:dyDescent="0.3">
      <c r="A134" s="1">
        <v>41258</v>
      </c>
      <c r="B134" s="1">
        <v>41265</v>
      </c>
      <c r="C134" t="s">
        <v>212</v>
      </c>
      <c r="D134" t="s">
        <v>17</v>
      </c>
      <c r="E134" t="s">
        <v>215</v>
      </c>
      <c r="F134">
        <v>51.311999999999998</v>
      </c>
      <c r="G134">
        <v>3</v>
      </c>
      <c r="H134">
        <v>18.6006</v>
      </c>
      <c r="I134">
        <v>7</v>
      </c>
      <c r="J134">
        <v>2012</v>
      </c>
      <c r="K134" t="s">
        <v>2207</v>
      </c>
      <c r="L134" t="str">
        <f>TEXT(maintable_2[[#This Row],[Order Date]],"mmmm")</f>
        <v>December</v>
      </c>
    </row>
    <row r="135" spans="1:12" x14ac:dyDescent="0.3">
      <c r="A135" s="1">
        <v>41387</v>
      </c>
      <c r="B135" s="1">
        <v>41394</v>
      </c>
      <c r="C135" t="s">
        <v>216</v>
      </c>
      <c r="D135" t="s">
        <v>11</v>
      </c>
      <c r="E135" t="s">
        <v>217</v>
      </c>
      <c r="F135">
        <v>23.56</v>
      </c>
      <c r="G135">
        <v>5</v>
      </c>
      <c r="H135">
        <v>7.0679999999999996</v>
      </c>
      <c r="I135">
        <v>7</v>
      </c>
      <c r="J135">
        <v>2013</v>
      </c>
      <c r="K135" t="s">
        <v>2208</v>
      </c>
      <c r="L135" t="str">
        <f>TEXT(maintable_2[[#This Row],[Order Date]],"mmmm")</f>
        <v>April</v>
      </c>
    </row>
    <row r="136" spans="1:12" x14ac:dyDescent="0.3">
      <c r="A136" s="1">
        <v>41387</v>
      </c>
      <c r="B136" s="1">
        <v>41394</v>
      </c>
      <c r="C136" t="s">
        <v>216</v>
      </c>
      <c r="D136" t="s">
        <v>21</v>
      </c>
      <c r="E136" t="s">
        <v>218</v>
      </c>
      <c r="F136">
        <v>1272.6300000000001</v>
      </c>
      <c r="G136">
        <v>6</v>
      </c>
      <c r="H136">
        <v>-814.48320000000001</v>
      </c>
      <c r="I136">
        <v>7</v>
      </c>
      <c r="J136">
        <v>2013</v>
      </c>
      <c r="K136" t="s">
        <v>2208</v>
      </c>
      <c r="L136" t="str">
        <f>TEXT(maintable_2[[#This Row],[Order Date]],"mmmm")</f>
        <v>April</v>
      </c>
    </row>
    <row r="137" spans="1:12" x14ac:dyDescent="0.3">
      <c r="A137" s="1">
        <v>41387</v>
      </c>
      <c r="B137" s="1">
        <v>41394</v>
      </c>
      <c r="C137" t="s">
        <v>216</v>
      </c>
      <c r="D137" t="s">
        <v>17</v>
      </c>
      <c r="E137" t="s">
        <v>219</v>
      </c>
      <c r="F137">
        <v>28.484999999999999</v>
      </c>
      <c r="G137">
        <v>5</v>
      </c>
      <c r="H137">
        <v>-20.888999999999999</v>
      </c>
      <c r="I137">
        <v>7</v>
      </c>
      <c r="J137">
        <v>2013</v>
      </c>
      <c r="K137" t="s">
        <v>2208</v>
      </c>
      <c r="L137" t="str">
        <f>TEXT(maintable_2[[#This Row],[Order Date]],"mmmm")</f>
        <v>April</v>
      </c>
    </row>
    <row r="138" spans="1:12" x14ac:dyDescent="0.3">
      <c r="A138" s="1">
        <v>41387</v>
      </c>
      <c r="B138" s="1">
        <v>41394</v>
      </c>
      <c r="C138" t="s">
        <v>216</v>
      </c>
      <c r="D138" t="s">
        <v>81</v>
      </c>
      <c r="E138" t="s">
        <v>220</v>
      </c>
      <c r="F138">
        <v>185.376</v>
      </c>
      <c r="G138">
        <v>2</v>
      </c>
      <c r="H138">
        <v>-34.758000000000003</v>
      </c>
      <c r="I138">
        <v>7</v>
      </c>
      <c r="J138">
        <v>2013</v>
      </c>
      <c r="K138" t="s">
        <v>2208</v>
      </c>
      <c r="L138" t="str">
        <f>TEXT(maintable_2[[#This Row],[Order Date]],"mmmm")</f>
        <v>April</v>
      </c>
    </row>
    <row r="139" spans="1:12" x14ac:dyDescent="0.3">
      <c r="A139" s="1">
        <v>41387</v>
      </c>
      <c r="B139" s="1">
        <v>41394</v>
      </c>
      <c r="C139" t="s">
        <v>216</v>
      </c>
      <c r="D139" t="s">
        <v>19</v>
      </c>
      <c r="E139" t="s">
        <v>221</v>
      </c>
      <c r="F139">
        <v>78.272000000000006</v>
      </c>
      <c r="G139">
        <v>2</v>
      </c>
      <c r="H139">
        <v>5.8704000000000001</v>
      </c>
      <c r="I139">
        <v>7</v>
      </c>
      <c r="J139">
        <v>2013</v>
      </c>
      <c r="K139" t="s">
        <v>2208</v>
      </c>
      <c r="L139" t="str">
        <f>TEXT(maintable_2[[#This Row],[Order Date]],"mmmm")</f>
        <v>April</v>
      </c>
    </row>
    <row r="140" spans="1:12" x14ac:dyDescent="0.3">
      <c r="A140" s="1">
        <v>40856</v>
      </c>
      <c r="B140" s="1">
        <v>40858</v>
      </c>
      <c r="C140" t="s">
        <v>222</v>
      </c>
      <c r="D140" t="s">
        <v>27</v>
      </c>
      <c r="E140" t="s">
        <v>223</v>
      </c>
      <c r="F140">
        <v>340.92</v>
      </c>
      <c r="G140">
        <v>3</v>
      </c>
      <c r="H140">
        <v>3.4091999999999998</v>
      </c>
      <c r="I140">
        <v>2</v>
      </c>
      <c r="J140">
        <v>2011</v>
      </c>
      <c r="K140" t="s">
        <v>2209</v>
      </c>
      <c r="L140" t="str">
        <f>TEXT(maintable_2[[#This Row],[Order Date]],"mmmm")</f>
        <v>November</v>
      </c>
    </row>
    <row r="141" spans="1:12" x14ac:dyDescent="0.3">
      <c r="A141" s="1">
        <v>40856</v>
      </c>
      <c r="B141" s="1">
        <v>40858</v>
      </c>
      <c r="C141" t="s">
        <v>222</v>
      </c>
      <c r="D141" t="s">
        <v>196</v>
      </c>
      <c r="E141" t="s">
        <v>224</v>
      </c>
      <c r="F141">
        <v>222.666</v>
      </c>
      <c r="G141">
        <v>2</v>
      </c>
      <c r="H141">
        <v>10.478400000000001</v>
      </c>
      <c r="I141">
        <v>2</v>
      </c>
      <c r="J141">
        <v>2011</v>
      </c>
      <c r="K141" t="s">
        <v>2209</v>
      </c>
      <c r="L141" t="str">
        <f>TEXT(maintable_2[[#This Row],[Order Date]],"mmmm")</f>
        <v>November</v>
      </c>
    </row>
    <row r="142" spans="1:12" x14ac:dyDescent="0.3">
      <c r="A142" s="1">
        <v>40856</v>
      </c>
      <c r="B142" s="1">
        <v>40858</v>
      </c>
      <c r="C142" t="s">
        <v>222</v>
      </c>
      <c r="D142" t="s">
        <v>15</v>
      </c>
      <c r="E142" t="s">
        <v>225</v>
      </c>
      <c r="F142">
        <v>703.96799999999996</v>
      </c>
      <c r="G142">
        <v>4</v>
      </c>
      <c r="H142">
        <v>87.995999999999995</v>
      </c>
      <c r="I142">
        <v>2</v>
      </c>
      <c r="J142">
        <v>2011</v>
      </c>
      <c r="K142" t="s">
        <v>2209</v>
      </c>
      <c r="L142" t="str">
        <f>TEXT(maintable_2[[#This Row],[Order Date]],"mmmm")</f>
        <v>November</v>
      </c>
    </row>
    <row r="143" spans="1:12" x14ac:dyDescent="0.3">
      <c r="A143" s="1">
        <v>40856</v>
      </c>
      <c r="B143" s="1">
        <v>40858</v>
      </c>
      <c r="C143" t="s">
        <v>222</v>
      </c>
      <c r="D143" t="s">
        <v>27</v>
      </c>
      <c r="E143" t="s">
        <v>226</v>
      </c>
      <c r="F143">
        <v>92.52</v>
      </c>
      <c r="G143">
        <v>6</v>
      </c>
      <c r="H143">
        <v>24.980399999999999</v>
      </c>
      <c r="I143">
        <v>2</v>
      </c>
      <c r="J143">
        <v>2011</v>
      </c>
      <c r="K143" t="s">
        <v>2209</v>
      </c>
      <c r="L143" t="str">
        <f>TEXT(maintable_2[[#This Row],[Order Date]],"mmmm")</f>
        <v>November</v>
      </c>
    </row>
    <row r="144" spans="1:12" x14ac:dyDescent="0.3">
      <c r="A144" s="1">
        <v>40856</v>
      </c>
      <c r="B144" s="1">
        <v>40858</v>
      </c>
      <c r="C144" t="s">
        <v>222</v>
      </c>
      <c r="D144" t="s">
        <v>44</v>
      </c>
      <c r="E144" t="s">
        <v>227</v>
      </c>
      <c r="F144">
        <v>62.65</v>
      </c>
      <c r="G144">
        <v>7</v>
      </c>
      <c r="H144">
        <v>28.818999999999999</v>
      </c>
      <c r="I144">
        <v>2</v>
      </c>
      <c r="J144">
        <v>2011</v>
      </c>
      <c r="K144" t="s">
        <v>2209</v>
      </c>
      <c r="L144" t="str">
        <f>TEXT(maintable_2[[#This Row],[Order Date]],"mmmm")</f>
        <v>November</v>
      </c>
    </row>
    <row r="145" spans="1:12" x14ac:dyDescent="0.3">
      <c r="A145" s="1">
        <v>40856</v>
      </c>
      <c r="B145" s="1">
        <v>40858</v>
      </c>
      <c r="C145" t="s">
        <v>222</v>
      </c>
      <c r="D145" t="s">
        <v>44</v>
      </c>
      <c r="E145" t="s">
        <v>228</v>
      </c>
      <c r="F145">
        <v>94.85</v>
      </c>
      <c r="G145">
        <v>5</v>
      </c>
      <c r="H145">
        <v>45.527999999999999</v>
      </c>
      <c r="I145">
        <v>2</v>
      </c>
      <c r="J145">
        <v>2011</v>
      </c>
      <c r="K145" t="s">
        <v>2209</v>
      </c>
      <c r="L145" t="str">
        <f>TEXT(maintable_2[[#This Row],[Order Date]],"mmmm")</f>
        <v>November</v>
      </c>
    </row>
    <row r="146" spans="1:12" x14ac:dyDescent="0.3">
      <c r="A146" s="1">
        <v>41468</v>
      </c>
      <c r="B146" s="1">
        <v>41475</v>
      </c>
      <c r="C146" t="s">
        <v>133</v>
      </c>
      <c r="D146" t="s">
        <v>15</v>
      </c>
      <c r="E146" t="s">
        <v>229</v>
      </c>
      <c r="F146">
        <v>95.76</v>
      </c>
      <c r="G146">
        <v>6</v>
      </c>
      <c r="H146">
        <v>7.1820000000000004</v>
      </c>
      <c r="I146">
        <v>7</v>
      </c>
      <c r="J146">
        <v>2013</v>
      </c>
      <c r="K146" t="s">
        <v>2206</v>
      </c>
      <c r="L146" t="str">
        <f>TEXT(maintable_2[[#This Row],[Order Date]],"mmmm")</f>
        <v>July</v>
      </c>
    </row>
    <row r="147" spans="1:12" x14ac:dyDescent="0.3">
      <c r="A147" s="1">
        <v>40822</v>
      </c>
      <c r="B147" s="1">
        <v>40826</v>
      </c>
      <c r="C147" t="s">
        <v>230</v>
      </c>
      <c r="D147" t="s">
        <v>37</v>
      </c>
      <c r="E147" t="s">
        <v>231</v>
      </c>
      <c r="F147">
        <v>9.09</v>
      </c>
      <c r="G147">
        <v>3</v>
      </c>
      <c r="H147">
        <v>1.9089</v>
      </c>
      <c r="I147">
        <v>4</v>
      </c>
      <c r="J147">
        <v>2011</v>
      </c>
      <c r="K147" t="s">
        <v>2209</v>
      </c>
      <c r="L147" t="str">
        <f>TEXT(maintable_2[[#This Row],[Order Date]],"mmmm")</f>
        <v>October</v>
      </c>
    </row>
    <row r="148" spans="1:12" x14ac:dyDescent="0.3">
      <c r="A148" s="1">
        <v>41801</v>
      </c>
      <c r="B148" s="1">
        <v>41804</v>
      </c>
      <c r="C148" t="s">
        <v>232</v>
      </c>
      <c r="D148" t="s">
        <v>8</v>
      </c>
      <c r="E148" t="s">
        <v>233</v>
      </c>
      <c r="F148">
        <v>29.6</v>
      </c>
      <c r="G148">
        <v>2</v>
      </c>
      <c r="H148">
        <v>14.8</v>
      </c>
      <c r="I148">
        <v>3</v>
      </c>
      <c r="J148">
        <v>2014</v>
      </c>
      <c r="K148" t="s">
        <v>2206</v>
      </c>
      <c r="L148" t="str">
        <f>TEXT(maintable_2[[#This Row],[Order Date]],"mmmm")</f>
        <v>June</v>
      </c>
    </row>
    <row r="149" spans="1:12" x14ac:dyDescent="0.3">
      <c r="A149" s="1">
        <v>41801</v>
      </c>
      <c r="B149" s="1">
        <v>41804</v>
      </c>
      <c r="C149" t="s">
        <v>232</v>
      </c>
      <c r="D149" t="s">
        <v>196</v>
      </c>
      <c r="E149" t="s">
        <v>234</v>
      </c>
      <c r="F149">
        <v>514.16499999999996</v>
      </c>
      <c r="G149">
        <v>5</v>
      </c>
      <c r="H149">
        <v>-30.245000000000001</v>
      </c>
      <c r="I149">
        <v>3</v>
      </c>
      <c r="J149">
        <v>2014</v>
      </c>
      <c r="K149" t="s">
        <v>2206</v>
      </c>
      <c r="L149" t="str">
        <f>TEXT(maintable_2[[#This Row],[Order Date]],"mmmm")</f>
        <v>June</v>
      </c>
    </row>
    <row r="150" spans="1:12" x14ac:dyDescent="0.3">
      <c r="A150" s="1">
        <v>41801</v>
      </c>
      <c r="B150" s="1">
        <v>41804</v>
      </c>
      <c r="C150" t="s">
        <v>232</v>
      </c>
      <c r="D150" t="s">
        <v>15</v>
      </c>
      <c r="E150" t="s">
        <v>235</v>
      </c>
      <c r="F150">
        <v>279.95999999999998</v>
      </c>
      <c r="G150">
        <v>5</v>
      </c>
      <c r="H150">
        <v>17.497499999999999</v>
      </c>
      <c r="I150">
        <v>3</v>
      </c>
      <c r="J150">
        <v>2014</v>
      </c>
      <c r="K150" t="s">
        <v>2206</v>
      </c>
      <c r="L150" t="str">
        <f>TEXT(maintable_2[[#This Row],[Order Date]],"mmmm")</f>
        <v>June</v>
      </c>
    </row>
    <row r="151" spans="1:12" x14ac:dyDescent="0.3">
      <c r="A151" s="1">
        <v>41404</v>
      </c>
      <c r="B151" s="1">
        <v>41409</v>
      </c>
      <c r="C151" t="s">
        <v>236</v>
      </c>
      <c r="D151" t="s">
        <v>37</v>
      </c>
      <c r="E151" t="s">
        <v>237</v>
      </c>
      <c r="F151">
        <v>93.98</v>
      </c>
      <c r="G151">
        <v>2</v>
      </c>
      <c r="H151">
        <v>13.1572</v>
      </c>
      <c r="I151">
        <v>5</v>
      </c>
      <c r="J151">
        <v>2013</v>
      </c>
      <c r="K151" t="s">
        <v>2208</v>
      </c>
      <c r="L151" t="str">
        <f>TEXT(maintable_2[[#This Row],[Order Date]],"mmmm")</f>
        <v>May</v>
      </c>
    </row>
    <row r="152" spans="1:12" x14ac:dyDescent="0.3">
      <c r="A152" s="1">
        <v>41481</v>
      </c>
      <c r="B152" s="1">
        <v>41487</v>
      </c>
      <c r="C152" t="s">
        <v>210</v>
      </c>
      <c r="D152" t="s">
        <v>17</v>
      </c>
      <c r="E152" t="s">
        <v>238</v>
      </c>
      <c r="F152">
        <v>119.616</v>
      </c>
      <c r="G152">
        <v>8</v>
      </c>
      <c r="H152">
        <v>40.370399999999997</v>
      </c>
      <c r="I152">
        <v>6</v>
      </c>
      <c r="J152">
        <v>2013</v>
      </c>
      <c r="K152" t="s">
        <v>2206</v>
      </c>
      <c r="L152" t="str">
        <f>TEXT(maintable_2[[#This Row],[Order Date]],"mmmm")</f>
        <v>July</v>
      </c>
    </row>
    <row r="153" spans="1:12" x14ac:dyDescent="0.3">
      <c r="A153" s="1">
        <v>41481</v>
      </c>
      <c r="B153" s="1">
        <v>41487</v>
      </c>
      <c r="C153" t="s">
        <v>210</v>
      </c>
      <c r="D153" t="s">
        <v>11</v>
      </c>
      <c r="E153" t="s">
        <v>239</v>
      </c>
      <c r="F153">
        <v>255.76</v>
      </c>
      <c r="G153">
        <v>4</v>
      </c>
      <c r="H153">
        <v>81.843199999999996</v>
      </c>
      <c r="I153">
        <v>6</v>
      </c>
      <c r="J153">
        <v>2013</v>
      </c>
      <c r="K153" t="s">
        <v>2206</v>
      </c>
      <c r="L153" t="str">
        <f>TEXT(maintable_2[[#This Row],[Order Date]],"mmmm")</f>
        <v>July</v>
      </c>
    </row>
    <row r="154" spans="1:12" x14ac:dyDescent="0.3">
      <c r="A154" s="1">
        <v>41481</v>
      </c>
      <c r="B154" s="1">
        <v>41487</v>
      </c>
      <c r="C154" t="s">
        <v>210</v>
      </c>
      <c r="D154" t="s">
        <v>71</v>
      </c>
      <c r="E154" t="s">
        <v>240</v>
      </c>
      <c r="F154">
        <v>241.56800000000001</v>
      </c>
      <c r="G154">
        <v>2</v>
      </c>
      <c r="H154">
        <v>18.117599999999999</v>
      </c>
      <c r="I154">
        <v>6</v>
      </c>
      <c r="J154">
        <v>2013</v>
      </c>
      <c r="K154" t="s">
        <v>2206</v>
      </c>
      <c r="L154" t="str">
        <f>TEXT(maintable_2[[#This Row],[Order Date]],"mmmm")</f>
        <v>July</v>
      </c>
    </row>
    <row r="155" spans="1:12" x14ac:dyDescent="0.3">
      <c r="A155" s="1">
        <v>41481</v>
      </c>
      <c r="B155" s="1">
        <v>41487</v>
      </c>
      <c r="C155" t="s">
        <v>210</v>
      </c>
      <c r="D155" t="s">
        <v>11</v>
      </c>
      <c r="E155" t="s">
        <v>241</v>
      </c>
      <c r="F155">
        <v>69.3</v>
      </c>
      <c r="G155">
        <v>9</v>
      </c>
      <c r="H155">
        <v>22.869</v>
      </c>
      <c r="I155">
        <v>6</v>
      </c>
      <c r="J155">
        <v>2013</v>
      </c>
      <c r="K155" t="s">
        <v>2206</v>
      </c>
      <c r="L155" t="str">
        <f>TEXT(maintable_2[[#This Row],[Order Date]],"mmmm")</f>
        <v>July</v>
      </c>
    </row>
    <row r="156" spans="1:12" x14ac:dyDescent="0.3">
      <c r="A156" s="1">
        <v>41425</v>
      </c>
      <c r="B156" s="1">
        <v>41430</v>
      </c>
      <c r="C156" t="s">
        <v>242</v>
      </c>
      <c r="D156" t="s">
        <v>17</v>
      </c>
      <c r="E156" t="s">
        <v>243</v>
      </c>
      <c r="F156">
        <v>22.62</v>
      </c>
      <c r="G156">
        <v>2</v>
      </c>
      <c r="H156">
        <v>-15.08</v>
      </c>
      <c r="I156">
        <v>5</v>
      </c>
      <c r="J156">
        <v>2013</v>
      </c>
      <c r="K156" t="s">
        <v>2208</v>
      </c>
      <c r="L156" t="str">
        <f>TEXT(maintable_2[[#This Row],[Order Date]],"mmmm")</f>
        <v>May</v>
      </c>
    </row>
    <row r="157" spans="1:12" x14ac:dyDescent="0.3">
      <c r="A157" s="1">
        <v>41425</v>
      </c>
      <c r="B157" s="1">
        <v>41430</v>
      </c>
      <c r="C157" t="s">
        <v>242</v>
      </c>
      <c r="D157" t="s">
        <v>17</v>
      </c>
      <c r="E157" t="s">
        <v>244</v>
      </c>
      <c r="F157">
        <v>14.952</v>
      </c>
      <c r="G157">
        <v>2</v>
      </c>
      <c r="H157">
        <v>-11.961600000000001</v>
      </c>
      <c r="I157">
        <v>5</v>
      </c>
      <c r="J157">
        <v>2013</v>
      </c>
      <c r="K157" t="s">
        <v>2208</v>
      </c>
      <c r="L157" t="str">
        <f>TEXT(maintable_2[[#This Row],[Order Date]],"mmmm")</f>
        <v>May</v>
      </c>
    </row>
    <row r="158" spans="1:12" x14ac:dyDescent="0.3">
      <c r="A158" s="1">
        <v>41425</v>
      </c>
      <c r="B158" s="1">
        <v>41430</v>
      </c>
      <c r="C158" t="s">
        <v>242</v>
      </c>
      <c r="D158" t="s">
        <v>71</v>
      </c>
      <c r="E158" t="s">
        <v>245</v>
      </c>
      <c r="F158">
        <v>801.56799999999998</v>
      </c>
      <c r="G158">
        <v>2</v>
      </c>
      <c r="H158">
        <v>50.097999999999999</v>
      </c>
      <c r="I158">
        <v>5</v>
      </c>
      <c r="J158">
        <v>2013</v>
      </c>
      <c r="K158" t="s">
        <v>2208</v>
      </c>
      <c r="L158" t="str">
        <f>TEXT(maintable_2[[#This Row],[Order Date]],"mmmm")</f>
        <v>May</v>
      </c>
    </row>
    <row r="159" spans="1:12" x14ac:dyDescent="0.3">
      <c r="A159" s="1">
        <v>41425</v>
      </c>
      <c r="B159" s="1">
        <v>41430</v>
      </c>
      <c r="C159" t="s">
        <v>242</v>
      </c>
      <c r="D159" t="s">
        <v>17</v>
      </c>
      <c r="E159" t="s">
        <v>246</v>
      </c>
      <c r="F159">
        <v>2.3759999999999999</v>
      </c>
      <c r="G159">
        <v>3</v>
      </c>
      <c r="H159">
        <v>-1.9008</v>
      </c>
      <c r="I159">
        <v>5</v>
      </c>
      <c r="J159">
        <v>2013</v>
      </c>
      <c r="K159" t="s">
        <v>2208</v>
      </c>
      <c r="L159" t="str">
        <f>TEXT(maintable_2[[#This Row],[Order Date]],"mmmm")</f>
        <v>May</v>
      </c>
    </row>
    <row r="160" spans="1:12" x14ac:dyDescent="0.3">
      <c r="A160" s="1">
        <v>41425</v>
      </c>
      <c r="B160" s="1">
        <v>41430</v>
      </c>
      <c r="C160" t="s">
        <v>242</v>
      </c>
      <c r="D160" t="s">
        <v>44</v>
      </c>
      <c r="E160" t="s">
        <v>247</v>
      </c>
      <c r="F160">
        <v>32.792000000000002</v>
      </c>
      <c r="G160">
        <v>1</v>
      </c>
      <c r="H160">
        <v>11.8871</v>
      </c>
      <c r="I160">
        <v>5</v>
      </c>
      <c r="J160">
        <v>2013</v>
      </c>
      <c r="K160" t="s">
        <v>2208</v>
      </c>
      <c r="L160" t="str">
        <f>TEXT(maintable_2[[#This Row],[Order Date]],"mmmm")</f>
        <v>May</v>
      </c>
    </row>
    <row r="161" spans="1:12" x14ac:dyDescent="0.3">
      <c r="A161" s="1">
        <v>41995</v>
      </c>
      <c r="B161" s="1">
        <v>41999</v>
      </c>
      <c r="C161" t="s">
        <v>248</v>
      </c>
      <c r="D161" t="s">
        <v>13</v>
      </c>
      <c r="E161" t="s">
        <v>249</v>
      </c>
      <c r="F161">
        <v>6.63</v>
      </c>
      <c r="G161">
        <v>3</v>
      </c>
      <c r="H161">
        <v>1.7901</v>
      </c>
      <c r="I161">
        <v>4</v>
      </c>
      <c r="J161">
        <v>2014</v>
      </c>
      <c r="K161" t="s">
        <v>2207</v>
      </c>
      <c r="L161" t="str">
        <f>TEXT(maintable_2[[#This Row],[Order Date]],"mmmm")</f>
        <v>December</v>
      </c>
    </row>
    <row r="162" spans="1:12" x14ac:dyDescent="0.3">
      <c r="A162" s="1">
        <v>41995</v>
      </c>
      <c r="B162" s="1">
        <v>41999</v>
      </c>
      <c r="C162" t="s">
        <v>248</v>
      </c>
      <c r="D162" t="s">
        <v>13</v>
      </c>
      <c r="E162" t="s">
        <v>250</v>
      </c>
      <c r="F162">
        <v>5.88</v>
      </c>
      <c r="G162">
        <v>2</v>
      </c>
      <c r="H162">
        <v>1.7052</v>
      </c>
      <c r="I162">
        <v>4</v>
      </c>
      <c r="J162">
        <v>2014</v>
      </c>
      <c r="K162" t="s">
        <v>2207</v>
      </c>
      <c r="L162" t="str">
        <f>TEXT(maintable_2[[#This Row],[Order Date]],"mmmm")</f>
        <v>December</v>
      </c>
    </row>
    <row r="163" spans="1:12" x14ac:dyDescent="0.3">
      <c r="A163" s="1">
        <v>41662</v>
      </c>
      <c r="B163" s="1">
        <v>41667</v>
      </c>
      <c r="C163" t="s">
        <v>251</v>
      </c>
      <c r="D163" t="s">
        <v>163</v>
      </c>
      <c r="E163" t="s">
        <v>252</v>
      </c>
      <c r="F163">
        <v>2999.95</v>
      </c>
      <c r="G163">
        <v>5</v>
      </c>
      <c r="H163">
        <v>1379.9770000000001</v>
      </c>
      <c r="I163">
        <v>5</v>
      </c>
      <c r="J163">
        <v>2014</v>
      </c>
      <c r="K163" t="s">
        <v>2210</v>
      </c>
      <c r="L163" t="str">
        <f>TEXT(maintable_2[[#This Row],[Order Date]],"mmmm")</f>
        <v>January</v>
      </c>
    </row>
    <row r="164" spans="1:12" x14ac:dyDescent="0.3">
      <c r="A164" s="1">
        <v>41662</v>
      </c>
      <c r="B164" s="1">
        <v>41667</v>
      </c>
      <c r="C164" t="s">
        <v>251</v>
      </c>
      <c r="D164" t="s">
        <v>27</v>
      </c>
      <c r="E164" t="s">
        <v>253</v>
      </c>
      <c r="F164">
        <v>51.45</v>
      </c>
      <c r="G164">
        <v>3</v>
      </c>
      <c r="H164">
        <v>13.891500000000001</v>
      </c>
      <c r="I164">
        <v>5</v>
      </c>
      <c r="J164">
        <v>2014</v>
      </c>
      <c r="K164" t="s">
        <v>2210</v>
      </c>
      <c r="L164" t="str">
        <f>TEXT(maintable_2[[#This Row],[Order Date]],"mmmm")</f>
        <v>January</v>
      </c>
    </row>
    <row r="165" spans="1:12" x14ac:dyDescent="0.3">
      <c r="A165" s="1">
        <v>41662</v>
      </c>
      <c r="B165" s="1">
        <v>41667</v>
      </c>
      <c r="C165" t="s">
        <v>251</v>
      </c>
      <c r="D165" t="s">
        <v>44</v>
      </c>
      <c r="E165" t="s">
        <v>254</v>
      </c>
      <c r="F165">
        <v>11.96</v>
      </c>
      <c r="G165">
        <v>2</v>
      </c>
      <c r="H165">
        <v>5.3819999999999997</v>
      </c>
      <c r="I165">
        <v>5</v>
      </c>
      <c r="J165">
        <v>2014</v>
      </c>
      <c r="K165" t="s">
        <v>2210</v>
      </c>
      <c r="L165" t="str">
        <f>TEXT(maintable_2[[#This Row],[Order Date]],"mmmm")</f>
        <v>January</v>
      </c>
    </row>
    <row r="166" spans="1:12" x14ac:dyDescent="0.3">
      <c r="A166" s="1">
        <v>41662</v>
      </c>
      <c r="B166" s="1">
        <v>41667</v>
      </c>
      <c r="C166" t="s">
        <v>251</v>
      </c>
      <c r="D166" t="s">
        <v>27</v>
      </c>
      <c r="E166" t="s">
        <v>255</v>
      </c>
      <c r="F166">
        <v>1126.02</v>
      </c>
      <c r="G166">
        <v>3</v>
      </c>
      <c r="H166">
        <v>56.301000000000002</v>
      </c>
      <c r="I166">
        <v>5</v>
      </c>
      <c r="J166">
        <v>2014</v>
      </c>
      <c r="K166" t="s">
        <v>2210</v>
      </c>
      <c r="L166" t="str">
        <f>TEXT(maintable_2[[#This Row],[Order Date]],"mmmm")</f>
        <v>January</v>
      </c>
    </row>
    <row r="167" spans="1:12" x14ac:dyDescent="0.3">
      <c r="A167" s="1">
        <v>41416</v>
      </c>
      <c r="B167" s="1">
        <v>41418</v>
      </c>
      <c r="C167" t="s">
        <v>126</v>
      </c>
      <c r="D167" t="s">
        <v>15</v>
      </c>
      <c r="E167" t="s">
        <v>256</v>
      </c>
      <c r="F167">
        <v>55.176000000000002</v>
      </c>
      <c r="G167">
        <v>3</v>
      </c>
      <c r="H167">
        <v>-12.4146</v>
      </c>
      <c r="I167">
        <v>2</v>
      </c>
      <c r="J167">
        <v>2013</v>
      </c>
      <c r="K167" t="s">
        <v>2208</v>
      </c>
      <c r="L167" t="str">
        <f>TEXT(maintable_2[[#This Row],[Order Date]],"mmmm")</f>
        <v>May</v>
      </c>
    </row>
    <row r="168" spans="1:12" x14ac:dyDescent="0.3">
      <c r="A168" s="1">
        <v>41416</v>
      </c>
      <c r="B168" s="1">
        <v>41418</v>
      </c>
      <c r="C168" t="s">
        <v>126</v>
      </c>
      <c r="D168" t="s">
        <v>37</v>
      </c>
      <c r="E168" t="s">
        <v>257</v>
      </c>
      <c r="F168">
        <v>66.260000000000005</v>
      </c>
      <c r="G168">
        <v>2</v>
      </c>
      <c r="H168">
        <v>27.166599999999999</v>
      </c>
      <c r="I168">
        <v>2</v>
      </c>
      <c r="J168">
        <v>2013</v>
      </c>
      <c r="K168" t="s">
        <v>2208</v>
      </c>
      <c r="L168" t="str">
        <f>TEXT(maintable_2[[#This Row],[Order Date]],"mmmm")</f>
        <v>May</v>
      </c>
    </row>
    <row r="169" spans="1:12" x14ac:dyDescent="0.3">
      <c r="A169" s="1">
        <v>41220</v>
      </c>
      <c r="B169" s="1">
        <v>41222</v>
      </c>
      <c r="C169" t="s">
        <v>258</v>
      </c>
      <c r="D169" t="s">
        <v>71</v>
      </c>
      <c r="E169" t="s">
        <v>259</v>
      </c>
      <c r="F169">
        <v>190.72</v>
      </c>
      <c r="G169">
        <v>1</v>
      </c>
      <c r="H169">
        <v>11.92</v>
      </c>
      <c r="I169">
        <v>2</v>
      </c>
      <c r="J169">
        <v>2012</v>
      </c>
      <c r="K169" t="s">
        <v>2209</v>
      </c>
      <c r="L169" t="str">
        <f>TEXT(maintable_2[[#This Row],[Order Date]],"mmmm")</f>
        <v>November</v>
      </c>
    </row>
    <row r="170" spans="1:12" x14ac:dyDescent="0.3">
      <c r="A170" s="1">
        <v>41890</v>
      </c>
      <c r="B170" s="1">
        <v>41894</v>
      </c>
      <c r="C170" t="s">
        <v>260</v>
      </c>
      <c r="D170" t="s">
        <v>11</v>
      </c>
      <c r="E170" t="s">
        <v>261</v>
      </c>
      <c r="F170">
        <v>47.94</v>
      </c>
      <c r="G170">
        <v>3</v>
      </c>
      <c r="H170">
        <v>2.3969999999999998</v>
      </c>
      <c r="I170">
        <v>4</v>
      </c>
      <c r="J170">
        <v>2014</v>
      </c>
      <c r="K170" t="s">
        <v>2209</v>
      </c>
      <c r="L170" t="str">
        <f>TEXT(maintable_2[[#This Row],[Order Date]],"mmmm")</f>
        <v>September</v>
      </c>
    </row>
    <row r="171" spans="1:12" x14ac:dyDescent="0.3">
      <c r="A171" s="1">
        <v>41466</v>
      </c>
      <c r="B171" s="1">
        <v>41472</v>
      </c>
      <c r="C171" t="s">
        <v>262</v>
      </c>
      <c r="D171" t="s">
        <v>27</v>
      </c>
      <c r="E171" t="s">
        <v>263</v>
      </c>
      <c r="F171">
        <v>16.768000000000001</v>
      </c>
      <c r="G171">
        <v>2</v>
      </c>
      <c r="H171">
        <v>1.4672000000000001</v>
      </c>
      <c r="I171">
        <v>6</v>
      </c>
      <c r="J171">
        <v>2013</v>
      </c>
      <c r="K171" t="s">
        <v>2206</v>
      </c>
      <c r="L171" t="str">
        <f>TEXT(maintable_2[[#This Row],[Order Date]],"mmmm")</f>
        <v>July</v>
      </c>
    </row>
    <row r="172" spans="1:12" x14ac:dyDescent="0.3">
      <c r="A172" s="1">
        <v>41470</v>
      </c>
      <c r="B172" s="1">
        <v>41473</v>
      </c>
      <c r="C172" t="s">
        <v>264</v>
      </c>
      <c r="D172" t="s">
        <v>15</v>
      </c>
      <c r="E172" t="s">
        <v>265</v>
      </c>
      <c r="F172">
        <v>380.86399999999998</v>
      </c>
      <c r="G172">
        <v>8</v>
      </c>
      <c r="H172">
        <v>38.086399999999998</v>
      </c>
      <c r="I172">
        <v>3</v>
      </c>
      <c r="J172">
        <v>2013</v>
      </c>
      <c r="K172" t="s">
        <v>2206</v>
      </c>
      <c r="L172" t="str">
        <f>TEXT(maintable_2[[#This Row],[Order Date]],"mmmm")</f>
        <v>July</v>
      </c>
    </row>
    <row r="173" spans="1:12" x14ac:dyDescent="0.3">
      <c r="A173" s="1">
        <v>41380</v>
      </c>
      <c r="B173" s="1">
        <v>41382</v>
      </c>
      <c r="C173" t="s">
        <v>266</v>
      </c>
      <c r="D173" t="s">
        <v>71</v>
      </c>
      <c r="E173" t="s">
        <v>267</v>
      </c>
      <c r="F173">
        <v>1121.568</v>
      </c>
      <c r="G173">
        <v>2</v>
      </c>
      <c r="H173">
        <v>0</v>
      </c>
      <c r="I173">
        <v>2</v>
      </c>
      <c r="J173">
        <v>2013</v>
      </c>
      <c r="K173" t="s">
        <v>2208</v>
      </c>
      <c r="L173" t="str">
        <f>TEXT(maintable_2[[#This Row],[Order Date]],"mmmm")</f>
        <v>April</v>
      </c>
    </row>
    <row r="174" spans="1:12" x14ac:dyDescent="0.3">
      <c r="A174" s="1">
        <v>41820</v>
      </c>
      <c r="B174" s="1">
        <v>41824</v>
      </c>
      <c r="C174" t="s">
        <v>268</v>
      </c>
      <c r="D174" t="s">
        <v>27</v>
      </c>
      <c r="E174" t="s">
        <v>269</v>
      </c>
      <c r="F174">
        <v>1295.78</v>
      </c>
      <c r="G174">
        <v>2</v>
      </c>
      <c r="H174">
        <v>310.98719999999997</v>
      </c>
      <c r="I174">
        <v>4</v>
      </c>
      <c r="J174">
        <v>2014</v>
      </c>
      <c r="K174" t="s">
        <v>2206</v>
      </c>
      <c r="L174" t="str">
        <f>TEXT(maintable_2[[#This Row],[Order Date]],"mmmm")</f>
        <v>June</v>
      </c>
    </row>
    <row r="175" spans="1:12" x14ac:dyDescent="0.3">
      <c r="A175" s="1">
        <v>41436</v>
      </c>
      <c r="B175" s="1">
        <v>41441</v>
      </c>
      <c r="C175" t="s">
        <v>270</v>
      </c>
      <c r="D175" t="s">
        <v>8</v>
      </c>
      <c r="E175" t="s">
        <v>271</v>
      </c>
      <c r="F175">
        <v>20.7</v>
      </c>
      <c r="G175">
        <v>2</v>
      </c>
      <c r="H175">
        <v>9.9359999999999999</v>
      </c>
      <c r="I175">
        <v>5</v>
      </c>
      <c r="J175">
        <v>2013</v>
      </c>
      <c r="K175" t="s">
        <v>2206</v>
      </c>
      <c r="L175" t="str">
        <f>TEXT(maintable_2[[#This Row],[Order Date]],"mmmm")</f>
        <v>June</v>
      </c>
    </row>
    <row r="176" spans="1:12" x14ac:dyDescent="0.3">
      <c r="A176" s="1">
        <v>41436</v>
      </c>
      <c r="B176" s="1">
        <v>41441</v>
      </c>
      <c r="C176" t="s">
        <v>270</v>
      </c>
      <c r="D176" t="s">
        <v>21</v>
      </c>
      <c r="E176" t="s">
        <v>272</v>
      </c>
      <c r="F176">
        <v>1335.68</v>
      </c>
      <c r="G176">
        <v>4</v>
      </c>
      <c r="H176">
        <v>-217.048</v>
      </c>
      <c r="I176">
        <v>5</v>
      </c>
      <c r="J176">
        <v>2013</v>
      </c>
      <c r="K176" t="s">
        <v>2206</v>
      </c>
      <c r="L176" t="str">
        <f>TEXT(maintable_2[[#This Row],[Order Date]],"mmmm")</f>
        <v>June</v>
      </c>
    </row>
    <row r="177" spans="1:12" x14ac:dyDescent="0.3">
      <c r="A177" s="1">
        <v>41436</v>
      </c>
      <c r="B177" s="1">
        <v>41441</v>
      </c>
      <c r="C177" t="s">
        <v>270</v>
      </c>
      <c r="D177" t="s">
        <v>44</v>
      </c>
      <c r="E177" t="s">
        <v>273</v>
      </c>
      <c r="F177">
        <v>32.4</v>
      </c>
      <c r="G177">
        <v>5</v>
      </c>
      <c r="H177">
        <v>15.552</v>
      </c>
      <c r="I177">
        <v>5</v>
      </c>
      <c r="J177">
        <v>2013</v>
      </c>
      <c r="K177" t="s">
        <v>2206</v>
      </c>
      <c r="L177" t="str">
        <f>TEXT(maintable_2[[#This Row],[Order Date]],"mmmm")</f>
        <v>June</v>
      </c>
    </row>
    <row r="178" spans="1:12" x14ac:dyDescent="0.3">
      <c r="A178" s="1">
        <v>41964</v>
      </c>
      <c r="B178" s="1">
        <v>41966</v>
      </c>
      <c r="C178" t="s">
        <v>274</v>
      </c>
      <c r="D178" t="s">
        <v>11</v>
      </c>
      <c r="E178" t="s">
        <v>275</v>
      </c>
      <c r="F178">
        <v>42.6</v>
      </c>
      <c r="G178">
        <v>3</v>
      </c>
      <c r="H178">
        <v>16.614000000000001</v>
      </c>
      <c r="I178">
        <v>2</v>
      </c>
      <c r="J178">
        <v>2014</v>
      </c>
      <c r="K178" t="s">
        <v>2209</v>
      </c>
      <c r="L178" t="str">
        <f>TEXT(maintable_2[[#This Row],[Order Date]],"mmmm")</f>
        <v>November</v>
      </c>
    </row>
    <row r="179" spans="1:12" x14ac:dyDescent="0.3">
      <c r="A179" s="1">
        <v>41964</v>
      </c>
      <c r="B179" s="1">
        <v>41966</v>
      </c>
      <c r="C179" t="s">
        <v>274</v>
      </c>
      <c r="D179" t="s">
        <v>17</v>
      </c>
      <c r="E179" t="s">
        <v>276</v>
      </c>
      <c r="F179">
        <v>84.055999999999997</v>
      </c>
      <c r="G179">
        <v>7</v>
      </c>
      <c r="H179">
        <v>27.318200000000001</v>
      </c>
      <c r="I179">
        <v>2</v>
      </c>
      <c r="J179">
        <v>2014</v>
      </c>
      <c r="K179" t="s">
        <v>2209</v>
      </c>
      <c r="L179" t="str">
        <f>TEXT(maintable_2[[#This Row],[Order Date]],"mmmm")</f>
        <v>November</v>
      </c>
    </row>
    <row r="180" spans="1:12" x14ac:dyDescent="0.3">
      <c r="A180" s="1">
        <v>41250</v>
      </c>
      <c r="B180" s="1">
        <v>41252</v>
      </c>
      <c r="C180" t="s">
        <v>277</v>
      </c>
      <c r="D180" t="s">
        <v>78</v>
      </c>
      <c r="E180" t="s">
        <v>278</v>
      </c>
      <c r="F180">
        <v>3.96</v>
      </c>
      <c r="G180">
        <v>2</v>
      </c>
      <c r="H180">
        <v>0</v>
      </c>
      <c r="I180">
        <v>2</v>
      </c>
      <c r="J180">
        <v>2012</v>
      </c>
      <c r="K180" t="s">
        <v>2207</v>
      </c>
      <c r="L180" t="str">
        <f>TEXT(maintable_2[[#This Row],[Order Date]],"mmmm")</f>
        <v>December</v>
      </c>
    </row>
    <row r="181" spans="1:12" x14ac:dyDescent="0.3">
      <c r="A181" s="1">
        <v>41250</v>
      </c>
      <c r="B181" s="1">
        <v>41252</v>
      </c>
      <c r="C181" t="s">
        <v>277</v>
      </c>
      <c r="D181" t="s">
        <v>8</v>
      </c>
      <c r="E181" t="s">
        <v>156</v>
      </c>
      <c r="F181">
        <v>2.61</v>
      </c>
      <c r="G181">
        <v>1</v>
      </c>
      <c r="H181">
        <v>1.2005999999999999</v>
      </c>
      <c r="I181">
        <v>2</v>
      </c>
      <c r="J181">
        <v>2012</v>
      </c>
      <c r="K181" t="s">
        <v>2207</v>
      </c>
      <c r="L181" t="str">
        <f>TEXT(maintable_2[[#This Row],[Order Date]],"mmmm")</f>
        <v>December</v>
      </c>
    </row>
    <row r="182" spans="1:12" x14ac:dyDescent="0.3">
      <c r="A182" s="1">
        <v>41981</v>
      </c>
      <c r="B182" s="1">
        <v>41984</v>
      </c>
      <c r="C182" t="s">
        <v>279</v>
      </c>
      <c r="D182" t="s">
        <v>15</v>
      </c>
      <c r="E182" t="s">
        <v>280</v>
      </c>
      <c r="F182">
        <v>374.37599999999998</v>
      </c>
      <c r="G182">
        <v>3</v>
      </c>
      <c r="H182">
        <v>46.796999999999997</v>
      </c>
      <c r="I182">
        <v>3</v>
      </c>
      <c r="J182">
        <v>2014</v>
      </c>
      <c r="K182" t="s">
        <v>2207</v>
      </c>
      <c r="L182" t="str">
        <f>TEXT(maintable_2[[#This Row],[Order Date]],"mmmm")</f>
        <v>December</v>
      </c>
    </row>
    <row r="183" spans="1:12" x14ac:dyDescent="0.3">
      <c r="A183" s="1">
        <v>41914</v>
      </c>
      <c r="B183" s="1">
        <v>41921</v>
      </c>
      <c r="C183" t="s">
        <v>281</v>
      </c>
      <c r="D183" t="s">
        <v>44</v>
      </c>
      <c r="E183" t="s">
        <v>282</v>
      </c>
      <c r="F183">
        <v>91.84</v>
      </c>
      <c r="G183">
        <v>8</v>
      </c>
      <c r="H183">
        <v>45.001600000000003</v>
      </c>
      <c r="I183">
        <v>7</v>
      </c>
      <c r="J183">
        <v>2014</v>
      </c>
      <c r="K183" t="s">
        <v>2209</v>
      </c>
      <c r="L183" t="str">
        <f>TEXT(maintable_2[[#This Row],[Order Date]],"mmmm")</f>
        <v>October</v>
      </c>
    </row>
    <row r="184" spans="1:12" x14ac:dyDescent="0.3">
      <c r="A184" s="1">
        <v>41914</v>
      </c>
      <c r="B184" s="1">
        <v>41921</v>
      </c>
      <c r="C184" t="s">
        <v>281</v>
      </c>
      <c r="D184" t="s">
        <v>17</v>
      </c>
      <c r="E184" t="s">
        <v>283</v>
      </c>
      <c r="F184">
        <v>81.087999999999994</v>
      </c>
      <c r="G184">
        <v>7</v>
      </c>
      <c r="H184">
        <v>27.3672</v>
      </c>
      <c r="I184">
        <v>7</v>
      </c>
      <c r="J184">
        <v>2014</v>
      </c>
      <c r="K184" t="s">
        <v>2209</v>
      </c>
      <c r="L184" t="str">
        <f>TEXT(maintable_2[[#This Row],[Order Date]],"mmmm")</f>
        <v>October</v>
      </c>
    </row>
    <row r="185" spans="1:12" x14ac:dyDescent="0.3">
      <c r="A185" s="1">
        <v>41914</v>
      </c>
      <c r="B185" s="1">
        <v>41921</v>
      </c>
      <c r="C185" t="s">
        <v>281</v>
      </c>
      <c r="D185" t="s">
        <v>44</v>
      </c>
      <c r="E185" t="s">
        <v>284</v>
      </c>
      <c r="F185">
        <v>19.440000000000001</v>
      </c>
      <c r="G185">
        <v>3</v>
      </c>
      <c r="H185">
        <v>9.3312000000000008</v>
      </c>
      <c r="I185">
        <v>7</v>
      </c>
      <c r="J185">
        <v>2014</v>
      </c>
      <c r="K185" t="s">
        <v>2209</v>
      </c>
      <c r="L185" t="str">
        <f>TEXT(maintable_2[[#This Row],[Order Date]],"mmmm")</f>
        <v>October</v>
      </c>
    </row>
    <row r="186" spans="1:12" x14ac:dyDescent="0.3">
      <c r="A186" s="1">
        <v>41914</v>
      </c>
      <c r="B186" s="1">
        <v>41921</v>
      </c>
      <c r="C186" t="s">
        <v>281</v>
      </c>
      <c r="D186" t="s">
        <v>71</v>
      </c>
      <c r="E186" t="s">
        <v>285</v>
      </c>
      <c r="F186">
        <v>451.15199999999999</v>
      </c>
      <c r="G186">
        <v>3</v>
      </c>
      <c r="H186">
        <v>0</v>
      </c>
      <c r="I186">
        <v>7</v>
      </c>
      <c r="J186">
        <v>2014</v>
      </c>
      <c r="K186" t="s">
        <v>2209</v>
      </c>
      <c r="L186" t="str">
        <f>TEXT(maintable_2[[#This Row],[Order Date]],"mmmm")</f>
        <v>October</v>
      </c>
    </row>
    <row r="187" spans="1:12" x14ac:dyDescent="0.3">
      <c r="A187" s="1">
        <v>41582</v>
      </c>
      <c r="B187" s="1">
        <v>41586</v>
      </c>
      <c r="C187" t="s">
        <v>286</v>
      </c>
      <c r="D187" t="s">
        <v>13</v>
      </c>
      <c r="E187" t="s">
        <v>287</v>
      </c>
      <c r="F187">
        <v>8.82</v>
      </c>
      <c r="G187">
        <v>3</v>
      </c>
      <c r="H187">
        <v>2.3814000000000002</v>
      </c>
      <c r="I187">
        <v>4</v>
      </c>
      <c r="J187">
        <v>2013</v>
      </c>
      <c r="K187" t="s">
        <v>2209</v>
      </c>
      <c r="L187" t="str">
        <f>TEXT(maintable_2[[#This Row],[Order Date]],"mmmm")</f>
        <v>November</v>
      </c>
    </row>
    <row r="188" spans="1:12" x14ac:dyDescent="0.3">
      <c r="A188" s="1">
        <v>41170</v>
      </c>
      <c r="B188" s="1">
        <v>41174</v>
      </c>
      <c r="C188" t="s">
        <v>288</v>
      </c>
      <c r="D188" t="s">
        <v>44</v>
      </c>
      <c r="E188" t="s">
        <v>282</v>
      </c>
      <c r="F188">
        <v>160.72</v>
      </c>
      <c r="G188">
        <v>14</v>
      </c>
      <c r="H188">
        <v>78.752799999999993</v>
      </c>
      <c r="I188">
        <v>4</v>
      </c>
      <c r="J188">
        <v>2012</v>
      </c>
      <c r="K188" t="s">
        <v>2209</v>
      </c>
      <c r="L188" t="str">
        <f>TEXT(maintable_2[[#This Row],[Order Date]],"mmmm")</f>
        <v>September</v>
      </c>
    </row>
    <row r="189" spans="1:12" x14ac:dyDescent="0.3">
      <c r="A189" s="1">
        <v>41170</v>
      </c>
      <c r="B189" s="1">
        <v>41174</v>
      </c>
      <c r="C189" t="s">
        <v>288</v>
      </c>
      <c r="D189" t="s">
        <v>44</v>
      </c>
      <c r="E189" t="s">
        <v>289</v>
      </c>
      <c r="F189">
        <v>19.920000000000002</v>
      </c>
      <c r="G189">
        <v>4</v>
      </c>
      <c r="H189">
        <v>9.7607999999999997</v>
      </c>
      <c r="I189">
        <v>4</v>
      </c>
      <c r="J189">
        <v>2012</v>
      </c>
      <c r="K189" t="s">
        <v>2209</v>
      </c>
      <c r="L189" t="str">
        <f>TEXT(maintable_2[[#This Row],[Order Date]],"mmmm")</f>
        <v>September</v>
      </c>
    </row>
    <row r="190" spans="1:12" x14ac:dyDescent="0.3">
      <c r="A190" s="1">
        <v>41170</v>
      </c>
      <c r="B190" s="1">
        <v>41174</v>
      </c>
      <c r="C190" t="s">
        <v>288</v>
      </c>
      <c r="D190" t="s">
        <v>81</v>
      </c>
      <c r="E190" t="s">
        <v>290</v>
      </c>
      <c r="F190">
        <v>7.3</v>
      </c>
      <c r="G190">
        <v>2</v>
      </c>
      <c r="H190">
        <v>2.19</v>
      </c>
      <c r="I190">
        <v>4</v>
      </c>
      <c r="J190">
        <v>2012</v>
      </c>
      <c r="K190" t="s">
        <v>2209</v>
      </c>
      <c r="L190" t="str">
        <f>TEXT(maintable_2[[#This Row],[Order Date]],"mmmm")</f>
        <v>September</v>
      </c>
    </row>
    <row r="191" spans="1:12" x14ac:dyDescent="0.3">
      <c r="A191" s="1">
        <v>41162</v>
      </c>
      <c r="B191" s="1">
        <v>41166</v>
      </c>
      <c r="C191" t="s">
        <v>291</v>
      </c>
      <c r="D191" t="s">
        <v>81</v>
      </c>
      <c r="E191" t="s">
        <v>292</v>
      </c>
      <c r="F191">
        <v>51.52</v>
      </c>
      <c r="G191">
        <v>4</v>
      </c>
      <c r="H191">
        <v>1.5456000000000001</v>
      </c>
      <c r="I191">
        <v>4</v>
      </c>
      <c r="J191">
        <v>2012</v>
      </c>
      <c r="K191" t="s">
        <v>2209</v>
      </c>
      <c r="L191" t="str">
        <f>TEXT(maintable_2[[#This Row],[Order Date]],"mmmm")</f>
        <v>September</v>
      </c>
    </row>
    <row r="192" spans="1:12" x14ac:dyDescent="0.3">
      <c r="A192" s="1">
        <v>41975</v>
      </c>
      <c r="B192" s="1">
        <v>41979</v>
      </c>
      <c r="C192" t="s">
        <v>293</v>
      </c>
      <c r="D192" t="s">
        <v>15</v>
      </c>
      <c r="E192" t="s">
        <v>294</v>
      </c>
      <c r="F192">
        <v>470.37599999999998</v>
      </c>
      <c r="G192">
        <v>3</v>
      </c>
      <c r="H192">
        <v>52.917299999999997</v>
      </c>
      <c r="I192">
        <v>4</v>
      </c>
      <c r="J192">
        <v>2014</v>
      </c>
      <c r="K192" t="s">
        <v>2207</v>
      </c>
      <c r="L192" t="str">
        <f>TEXT(maintable_2[[#This Row],[Order Date]],"mmmm")</f>
        <v>December</v>
      </c>
    </row>
    <row r="193" spans="1:12" x14ac:dyDescent="0.3">
      <c r="A193" s="1">
        <v>41975</v>
      </c>
      <c r="B193" s="1">
        <v>41979</v>
      </c>
      <c r="C193" t="s">
        <v>293</v>
      </c>
      <c r="D193" t="s">
        <v>15</v>
      </c>
      <c r="E193" t="s">
        <v>295</v>
      </c>
      <c r="F193">
        <v>105.584</v>
      </c>
      <c r="G193">
        <v>2</v>
      </c>
      <c r="H193">
        <v>9.2385999999999999</v>
      </c>
      <c r="I193">
        <v>4</v>
      </c>
      <c r="J193">
        <v>2014</v>
      </c>
      <c r="K193" t="s">
        <v>2207</v>
      </c>
      <c r="L193" t="str">
        <f>TEXT(maintable_2[[#This Row],[Order Date]],"mmmm")</f>
        <v>December</v>
      </c>
    </row>
    <row r="194" spans="1:12" x14ac:dyDescent="0.3">
      <c r="A194" s="1">
        <v>41975</v>
      </c>
      <c r="B194" s="1">
        <v>41979</v>
      </c>
      <c r="C194" t="s">
        <v>293</v>
      </c>
      <c r="D194" t="s">
        <v>19</v>
      </c>
      <c r="E194" t="s">
        <v>296</v>
      </c>
      <c r="F194">
        <v>31.152000000000001</v>
      </c>
      <c r="G194">
        <v>3</v>
      </c>
      <c r="H194">
        <v>3.5045999999999999</v>
      </c>
      <c r="I194">
        <v>4</v>
      </c>
      <c r="J194">
        <v>2014</v>
      </c>
      <c r="K194" t="s">
        <v>2207</v>
      </c>
      <c r="L194" t="str">
        <f>TEXT(maintable_2[[#This Row],[Order Date]],"mmmm")</f>
        <v>December</v>
      </c>
    </row>
    <row r="195" spans="1:12" x14ac:dyDescent="0.3">
      <c r="A195" s="1">
        <v>41975</v>
      </c>
      <c r="B195" s="1">
        <v>41979</v>
      </c>
      <c r="C195" t="s">
        <v>293</v>
      </c>
      <c r="D195" t="s">
        <v>17</v>
      </c>
      <c r="E195" t="s">
        <v>297</v>
      </c>
      <c r="F195">
        <v>6.7830000000000004</v>
      </c>
      <c r="G195">
        <v>7</v>
      </c>
      <c r="H195">
        <v>-4.7481</v>
      </c>
      <c r="I195">
        <v>4</v>
      </c>
      <c r="J195">
        <v>2014</v>
      </c>
      <c r="K195" t="s">
        <v>2207</v>
      </c>
      <c r="L195" t="str">
        <f>TEXT(maintable_2[[#This Row],[Order Date]],"mmmm")</f>
        <v>December</v>
      </c>
    </row>
    <row r="196" spans="1:12" x14ac:dyDescent="0.3">
      <c r="A196" s="1">
        <v>41975</v>
      </c>
      <c r="B196" s="1">
        <v>41979</v>
      </c>
      <c r="C196" t="s">
        <v>293</v>
      </c>
      <c r="D196" t="s">
        <v>15</v>
      </c>
      <c r="E196" t="s">
        <v>93</v>
      </c>
      <c r="F196">
        <v>406.36799999999999</v>
      </c>
      <c r="G196">
        <v>4</v>
      </c>
      <c r="H196">
        <v>30.477599999999999</v>
      </c>
      <c r="I196">
        <v>4</v>
      </c>
      <c r="J196">
        <v>2014</v>
      </c>
      <c r="K196" t="s">
        <v>2207</v>
      </c>
      <c r="L196" t="str">
        <f>TEXT(maintable_2[[#This Row],[Order Date]],"mmmm")</f>
        <v>December</v>
      </c>
    </row>
    <row r="197" spans="1:12" x14ac:dyDescent="0.3">
      <c r="A197" s="1">
        <v>41354</v>
      </c>
      <c r="B197" s="1">
        <v>41358</v>
      </c>
      <c r="C197" t="s">
        <v>298</v>
      </c>
      <c r="D197" t="s">
        <v>15</v>
      </c>
      <c r="E197" t="s">
        <v>299</v>
      </c>
      <c r="F197">
        <v>84.784000000000006</v>
      </c>
      <c r="G197">
        <v>2</v>
      </c>
      <c r="H197">
        <v>-20.136199999999999</v>
      </c>
      <c r="I197">
        <v>4</v>
      </c>
      <c r="J197">
        <v>2013</v>
      </c>
      <c r="K197" t="s">
        <v>2208</v>
      </c>
      <c r="L197" t="str">
        <f>TEXT(maintable_2[[#This Row],[Order Date]],"mmmm")</f>
        <v>March</v>
      </c>
    </row>
    <row r="198" spans="1:12" x14ac:dyDescent="0.3">
      <c r="A198" s="1">
        <v>41354</v>
      </c>
      <c r="B198" s="1">
        <v>41358</v>
      </c>
      <c r="C198" t="s">
        <v>298</v>
      </c>
      <c r="D198" t="s">
        <v>44</v>
      </c>
      <c r="E198" t="s">
        <v>300</v>
      </c>
      <c r="F198">
        <v>20.736000000000001</v>
      </c>
      <c r="G198">
        <v>4</v>
      </c>
      <c r="H198">
        <v>7.2576000000000001</v>
      </c>
      <c r="I198">
        <v>4</v>
      </c>
      <c r="J198">
        <v>2013</v>
      </c>
      <c r="K198" t="s">
        <v>2208</v>
      </c>
      <c r="L198" t="str">
        <f>TEXT(maintable_2[[#This Row],[Order Date]],"mmmm")</f>
        <v>March</v>
      </c>
    </row>
    <row r="199" spans="1:12" x14ac:dyDescent="0.3">
      <c r="A199" s="1">
        <v>41354</v>
      </c>
      <c r="B199" s="1">
        <v>41358</v>
      </c>
      <c r="C199" t="s">
        <v>298</v>
      </c>
      <c r="D199" t="s">
        <v>17</v>
      </c>
      <c r="E199" t="s">
        <v>238</v>
      </c>
      <c r="F199">
        <v>16.821000000000002</v>
      </c>
      <c r="G199">
        <v>3</v>
      </c>
      <c r="H199">
        <v>-12.896100000000001</v>
      </c>
      <c r="I199">
        <v>4</v>
      </c>
      <c r="J199">
        <v>2013</v>
      </c>
      <c r="K199" t="s">
        <v>2208</v>
      </c>
      <c r="L199" t="str">
        <f>TEXT(maintable_2[[#This Row],[Order Date]],"mmmm")</f>
        <v>March</v>
      </c>
    </row>
    <row r="200" spans="1:12" x14ac:dyDescent="0.3">
      <c r="A200" s="1">
        <v>41354</v>
      </c>
      <c r="B200" s="1">
        <v>41358</v>
      </c>
      <c r="C200" t="s">
        <v>298</v>
      </c>
      <c r="D200" t="s">
        <v>44</v>
      </c>
      <c r="E200" t="s">
        <v>301</v>
      </c>
      <c r="F200">
        <v>10.368</v>
      </c>
      <c r="G200">
        <v>2</v>
      </c>
      <c r="H200">
        <v>3.6288</v>
      </c>
      <c r="I200">
        <v>4</v>
      </c>
      <c r="J200">
        <v>2013</v>
      </c>
      <c r="K200" t="s">
        <v>2208</v>
      </c>
      <c r="L200" t="str">
        <f>TEXT(maintable_2[[#This Row],[Order Date]],"mmmm")</f>
        <v>March</v>
      </c>
    </row>
    <row r="201" spans="1:12" x14ac:dyDescent="0.3">
      <c r="A201" s="1">
        <v>40763</v>
      </c>
      <c r="B201" s="1">
        <v>40770</v>
      </c>
      <c r="C201" t="s">
        <v>302</v>
      </c>
      <c r="D201" t="s">
        <v>19</v>
      </c>
      <c r="E201" t="s">
        <v>303</v>
      </c>
      <c r="F201">
        <v>76.12</v>
      </c>
      <c r="G201">
        <v>2</v>
      </c>
      <c r="H201">
        <v>22.0748</v>
      </c>
      <c r="I201">
        <v>7</v>
      </c>
      <c r="J201">
        <v>2011</v>
      </c>
      <c r="K201" t="s">
        <v>2206</v>
      </c>
      <c r="L201" t="str">
        <f>TEXT(maintable_2[[#This Row],[Order Date]],"mmmm")</f>
        <v>August</v>
      </c>
    </row>
    <row r="202" spans="1:12" x14ac:dyDescent="0.3">
      <c r="A202" s="1">
        <v>40763</v>
      </c>
      <c r="B202" s="1">
        <v>40770</v>
      </c>
      <c r="C202" t="s">
        <v>302</v>
      </c>
      <c r="D202" t="s">
        <v>163</v>
      </c>
      <c r="E202" t="s">
        <v>190</v>
      </c>
      <c r="F202">
        <v>1199.9760000000001</v>
      </c>
      <c r="G202">
        <v>3</v>
      </c>
      <c r="H202">
        <v>434.99130000000002</v>
      </c>
      <c r="I202">
        <v>7</v>
      </c>
      <c r="J202">
        <v>2011</v>
      </c>
      <c r="K202" t="s">
        <v>2206</v>
      </c>
      <c r="L202" t="str">
        <f>TEXT(maintable_2[[#This Row],[Order Date]],"mmmm")</f>
        <v>August</v>
      </c>
    </row>
    <row r="203" spans="1:12" x14ac:dyDescent="0.3">
      <c r="A203" s="1">
        <v>40763</v>
      </c>
      <c r="B203" s="1">
        <v>40770</v>
      </c>
      <c r="C203" t="s">
        <v>302</v>
      </c>
      <c r="D203" t="s">
        <v>15</v>
      </c>
      <c r="E203" t="s">
        <v>304</v>
      </c>
      <c r="F203">
        <v>445.96</v>
      </c>
      <c r="G203">
        <v>5</v>
      </c>
      <c r="H203">
        <v>55.744999999999997</v>
      </c>
      <c r="I203">
        <v>7</v>
      </c>
      <c r="J203">
        <v>2011</v>
      </c>
      <c r="K203" t="s">
        <v>2206</v>
      </c>
      <c r="L203" t="str">
        <f>TEXT(maintable_2[[#This Row],[Order Date]],"mmmm")</f>
        <v>August</v>
      </c>
    </row>
    <row r="204" spans="1:12" x14ac:dyDescent="0.3">
      <c r="A204" s="1">
        <v>40763</v>
      </c>
      <c r="B204" s="1">
        <v>40770</v>
      </c>
      <c r="C204" t="s">
        <v>302</v>
      </c>
      <c r="D204" t="s">
        <v>11</v>
      </c>
      <c r="E204" t="s">
        <v>305</v>
      </c>
      <c r="F204">
        <v>327.76</v>
      </c>
      <c r="G204">
        <v>8</v>
      </c>
      <c r="H204">
        <v>91.772800000000004</v>
      </c>
      <c r="I204">
        <v>7</v>
      </c>
      <c r="J204">
        <v>2011</v>
      </c>
      <c r="K204" t="s">
        <v>2206</v>
      </c>
      <c r="L204" t="str">
        <f>TEXT(maintable_2[[#This Row],[Order Date]],"mmmm")</f>
        <v>August</v>
      </c>
    </row>
    <row r="205" spans="1:12" x14ac:dyDescent="0.3">
      <c r="A205" s="1">
        <v>41779</v>
      </c>
      <c r="B205" s="1">
        <v>41783</v>
      </c>
      <c r="C205" t="s">
        <v>306</v>
      </c>
      <c r="D205" t="s">
        <v>19</v>
      </c>
      <c r="E205" t="s">
        <v>307</v>
      </c>
      <c r="F205">
        <v>97.16</v>
      </c>
      <c r="G205">
        <v>2</v>
      </c>
      <c r="H205">
        <v>28.176400000000001</v>
      </c>
      <c r="I205">
        <v>4</v>
      </c>
      <c r="J205">
        <v>2014</v>
      </c>
      <c r="K205" t="s">
        <v>2208</v>
      </c>
      <c r="L205" t="str">
        <f>TEXT(maintable_2[[#This Row],[Order Date]],"mmmm")</f>
        <v>May</v>
      </c>
    </row>
    <row r="206" spans="1:12" x14ac:dyDescent="0.3">
      <c r="A206" s="1">
        <v>41991</v>
      </c>
      <c r="B206" s="1">
        <v>41995</v>
      </c>
      <c r="C206" t="s">
        <v>308</v>
      </c>
      <c r="D206" t="s">
        <v>17</v>
      </c>
      <c r="E206" t="s">
        <v>309</v>
      </c>
      <c r="F206">
        <v>15.24</v>
      </c>
      <c r="G206">
        <v>5</v>
      </c>
      <c r="H206">
        <v>5.1435000000000004</v>
      </c>
      <c r="I206">
        <v>4</v>
      </c>
      <c r="J206">
        <v>2014</v>
      </c>
      <c r="K206" t="s">
        <v>2207</v>
      </c>
      <c r="L206" t="str">
        <f>TEXT(maintable_2[[#This Row],[Order Date]],"mmmm")</f>
        <v>December</v>
      </c>
    </row>
    <row r="207" spans="1:12" x14ac:dyDescent="0.3">
      <c r="A207" s="1">
        <v>41991</v>
      </c>
      <c r="B207" s="1">
        <v>41995</v>
      </c>
      <c r="C207" t="s">
        <v>308</v>
      </c>
      <c r="D207" t="s">
        <v>44</v>
      </c>
      <c r="E207" t="s">
        <v>139</v>
      </c>
      <c r="F207">
        <v>13.23</v>
      </c>
      <c r="G207">
        <v>3</v>
      </c>
      <c r="H207">
        <v>6.0857999999999999</v>
      </c>
      <c r="I207">
        <v>4</v>
      </c>
      <c r="J207">
        <v>2014</v>
      </c>
      <c r="K207" t="s">
        <v>2207</v>
      </c>
      <c r="L207" t="str">
        <f>TEXT(maintable_2[[#This Row],[Order Date]],"mmmm")</f>
        <v>December</v>
      </c>
    </row>
    <row r="208" spans="1:12" x14ac:dyDescent="0.3">
      <c r="A208" s="1">
        <v>41620</v>
      </c>
      <c r="B208" s="1">
        <v>41622</v>
      </c>
      <c r="C208" t="s">
        <v>310</v>
      </c>
      <c r="D208" t="s">
        <v>27</v>
      </c>
      <c r="E208" t="s">
        <v>311</v>
      </c>
      <c r="F208">
        <v>243.38399999999999</v>
      </c>
      <c r="G208">
        <v>3</v>
      </c>
      <c r="H208">
        <v>-51.719099999999997</v>
      </c>
      <c r="I208">
        <v>2</v>
      </c>
      <c r="J208">
        <v>2013</v>
      </c>
      <c r="K208" t="s">
        <v>2207</v>
      </c>
      <c r="L208" t="str">
        <f>TEXT(maintable_2[[#This Row],[Order Date]],"mmmm")</f>
        <v>December</v>
      </c>
    </row>
    <row r="209" spans="1:12" x14ac:dyDescent="0.3">
      <c r="A209" s="1">
        <v>41620</v>
      </c>
      <c r="B209" s="1">
        <v>41622</v>
      </c>
      <c r="C209" t="s">
        <v>310</v>
      </c>
      <c r="D209" t="s">
        <v>37</v>
      </c>
      <c r="E209" t="s">
        <v>312</v>
      </c>
      <c r="F209">
        <v>119.8</v>
      </c>
      <c r="G209">
        <v>5</v>
      </c>
      <c r="H209">
        <v>29.95</v>
      </c>
      <c r="I209">
        <v>2</v>
      </c>
      <c r="J209">
        <v>2013</v>
      </c>
      <c r="K209" t="s">
        <v>2207</v>
      </c>
      <c r="L209" t="str">
        <f>TEXT(maintable_2[[#This Row],[Order Date]],"mmmm")</f>
        <v>December</v>
      </c>
    </row>
    <row r="210" spans="1:12" x14ac:dyDescent="0.3">
      <c r="A210" s="1">
        <v>41620</v>
      </c>
      <c r="B210" s="1">
        <v>41622</v>
      </c>
      <c r="C210" t="s">
        <v>310</v>
      </c>
      <c r="D210" t="s">
        <v>15</v>
      </c>
      <c r="E210" t="s">
        <v>313</v>
      </c>
      <c r="F210">
        <v>300.76799999999997</v>
      </c>
      <c r="G210">
        <v>4</v>
      </c>
      <c r="H210">
        <v>30.076799999999999</v>
      </c>
      <c r="I210">
        <v>2</v>
      </c>
      <c r="J210">
        <v>2013</v>
      </c>
      <c r="K210" t="s">
        <v>2207</v>
      </c>
      <c r="L210" t="str">
        <f>TEXT(maintable_2[[#This Row],[Order Date]],"mmmm")</f>
        <v>December</v>
      </c>
    </row>
    <row r="211" spans="1:12" x14ac:dyDescent="0.3">
      <c r="A211" s="1">
        <v>41502</v>
      </c>
      <c r="B211" s="1">
        <v>41508</v>
      </c>
      <c r="C211" t="s">
        <v>314</v>
      </c>
      <c r="D211" t="s">
        <v>17</v>
      </c>
      <c r="E211" t="s">
        <v>315</v>
      </c>
      <c r="F211">
        <v>18.882000000000001</v>
      </c>
      <c r="G211">
        <v>3</v>
      </c>
      <c r="H211">
        <v>-13.8468</v>
      </c>
      <c r="I211">
        <v>6</v>
      </c>
      <c r="J211">
        <v>2013</v>
      </c>
      <c r="K211" t="s">
        <v>2206</v>
      </c>
      <c r="L211" t="str">
        <f>TEXT(maintable_2[[#This Row],[Order Date]],"mmmm")</f>
        <v>August</v>
      </c>
    </row>
    <row r="212" spans="1:12" x14ac:dyDescent="0.3">
      <c r="A212" s="1">
        <v>41502</v>
      </c>
      <c r="B212" s="1">
        <v>41508</v>
      </c>
      <c r="C212" t="s">
        <v>314</v>
      </c>
      <c r="D212" t="s">
        <v>19</v>
      </c>
      <c r="E212" t="s">
        <v>316</v>
      </c>
      <c r="F212">
        <v>122.328</v>
      </c>
      <c r="G212">
        <v>3</v>
      </c>
      <c r="H212">
        <v>12.232799999999999</v>
      </c>
      <c r="I212">
        <v>6</v>
      </c>
      <c r="J212">
        <v>2013</v>
      </c>
      <c r="K212" t="s">
        <v>2206</v>
      </c>
      <c r="L212" t="str">
        <f>TEXT(maintable_2[[#This Row],[Order Date]],"mmmm")</f>
        <v>August</v>
      </c>
    </row>
    <row r="213" spans="1:12" x14ac:dyDescent="0.3">
      <c r="A213" s="1">
        <v>41415</v>
      </c>
      <c r="B213" s="1">
        <v>41420</v>
      </c>
      <c r="C213" t="s">
        <v>317</v>
      </c>
      <c r="D213" t="s">
        <v>11</v>
      </c>
      <c r="E213" t="s">
        <v>318</v>
      </c>
      <c r="F213">
        <v>1049.2</v>
      </c>
      <c r="G213">
        <v>5</v>
      </c>
      <c r="H213">
        <v>272.79199999999997</v>
      </c>
      <c r="I213">
        <v>5</v>
      </c>
      <c r="J213">
        <v>2013</v>
      </c>
      <c r="K213" t="s">
        <v>2208</v>
      </c>
      <c r="L213" t="str">
        <f>TEXT(maintable_2[[#This Row],[Order Date]],"mmmm")</f>
        <v>May</v>
      </c>
    </row>
    <row r="214" spans="1:12" x14ac:dyDescent="0.3">
      <c r="A214" s="1">
        <v>41415</v>
      </c>
      <c r="B214" s="1">
        <v>41420</v>
      </c>
      <c r="C214" t="s">
        <v>317</v>
      </c>
      <c r="D214" t="s">
        <v>17</v>
      </c>
      <c r="E214" t="s">
        <v>319</v>
      </c>
      <c r="F214">
        <v>15.423999999999999</v>
      </c>
      <c r="G214">
        <v>4</v>
      </c>
      <c r="H214">
        <v>5.0128000000000004</v>
      </c>
      <c r="I214">
        <v>5</v>
      </c>
      <c r="J214">
        <v>2013</v>
      </c>
      <c r="K214" t="s">
        <v>2208</v>
      </c>
      <c r="L214" t="str">
        <f>TEXT(maintable_2[[#This Row],[Order Date]],"mmmm")</f>
        <v>May</v>
      </c>
    </row>
    <row r="215" spans="1:12" x14ac:dyDescent="0.3">
      <c r="A215" s="1">
        <v>41851</v>
      </c>
      <c r="B215" s="1">
        <v>41855</v>
      </c>
      <c r="C215" t="s">
        <v>320</v>
      </c>
      <c r="D215" t="s">
        <v>27</v>
      </c>
      <c r="E215" t="s">
        <v>321</v>
      </c>
      <c r="F215">
        <v>330.4</v>
      </c>
      <c r="G215">
        <v>2</v>
      </c>
      <c r="H215">
        <v>85.903999999999996</v>
      </c>
      <c r="I215">
        <v>4</v>
      </c>
      <c r="J215">
        <v>2014</v>
      </c>
      <c r="K215" t="s">
        <v>2206</v>
      </c>
      <c r="L215" t="str">
        <f>TEXT(maintable_2[[#This Row],[Order Date]],"mmmm")</f>
        <v>July</v>
      </c>
    </row>
    <row r="216" spans="1:12" x14ac:dyDescent="0.3">
      <c r="A216" s="1">
        <v>41851</v>
      </c>
      <c r="B216" s="1">
        <v>41855</v>
      </c>
      <c r="C216" t="s">
        <v>320</v>
      </c>
      <c r="D216" t="s">
        <v>8</v>
      </c>
      <c r="E216" t="s">
        <v>322</v>
      </c>
      <c r="F216">
        <v>26.25</v>
      </c>
      <c r="G216">
        <v>7</v>
      </c>
      <c r="H216">
        <v>12.6</v>
      </c>
      <c r="I216">
        <v>4</v>
      </c>
      <c r="J216">
        <v>2014</v>
      </c>
      <c r="K216" t="s">
        <v>2206</v>
      </c>
      <c r="L216" t="str">
        <f>TEXT(maintable_2[[#This Row],[Order Date]],"mmmm")</f>
        <v>July</v>
      </c>
    </row>
    <row r="217" spans="1:12" x14ac:dyDescent="0.3">
      <c r="A217" s="1">
        <v>41366</v>
      </c>
      <c r="B217" s="1">
        <v>41373</v>
      </c>
      <c r="C217" t="s">
        <v>138</v>
      </c>
      <c r="D217" t="s">
        <v>78</v>
      </c>
      <c r="E217" t="s">
        <v>105</v>
      </c>
      <c r="F217">
        <v>31.56</v>
      </c>
      <c r="G217">
        <v>5</v>
      </c>
      <c r="H217">
        <v>9.8625000000000007</v>
      </c>
      <c r="I217">
        <v>7</v>
      </c>
      <c r="J217">
        <v>2013</v>
      </c>
      <c r="K217" t="s">
        <v>2208</v>
      </c>
      <c r="L217" t="str">
        <f>TEXT(maintable_2[[#This Row],[Order Date]],"mmmm")</f>
        <v>April</v>
      </c>
    </row>
    <row r="218" spans="1:12" x14ac:dyDescent="0.3">
      <c r="A218" s="1">
        <v>41366</v>
      </c>
      <c r="B218" s="1">
        <v>41373</v>
      </c>
      <c r="C218" t="s">
        <v>138</v>
      </c>
      <c r="D218" t="s">
        <v>19</v>
      </c>
      <c r="E218" t="s">
        <v>323</v>
      </c>
      <c r="F218">
        <v>30.143999999999998</v>
      </c>
      <c r="G218">
        <v>2</v>
      </c>
      <c r="H218">
        <v>3.0144000000000002</v>
      </c>
      <c r="I218">
        <v>7</v>
      </c>
      <c r="J218">
        <v>2013</v>
      </c>
      <c r="K218" t="s">
        <v>2208</v>
      </c>
      <c r="L218" t="str">
        <f>TEXT(maintable_2[[#This Row],[Order Date]],"mmmm")</f>
        <v>April</v>
      </c>
    </row>
    <row r="219" spans="1:12" x14ac:dyDescent="0.3">
      <c r="A219" s="1">
        <v>41620</v>
      </c>
      <c r="B219" s="1">
        <v>41625</v>
      </c>
      <c r="C219" t="s">
        <v>324</v>
      </c>
      <c r="D219" t="s">
        <v>11</v>
      </c>
      <c r="E219" t="s">
        <v>325</v>
      </c>
      <c r="F219">
        <v>14.8</v>
      </c>
      <c r="G219">
        <v>4</v>
      </c>
      <c r="H219">
        <v>6.0679999999999996</v>
      </c>
      <c r="I219">
        <v>5</v>
      </c>
      <c r="J219">
        <v>2013</v>
      </c>
      <c r="K219" t="s">
        <v>2207</v>
      </c>
      <c r="L219" t="str">
        <f>TEXT(maintable_2[[#This Row],[Order Date]],"mmmm")</f>
        <v>December</v>
      </c>
    </row>
    <row r="220" spans="1:12" x14ac:dyDescent="0.3">
      <c r="A220" s="1">
        <v>41620</v>
      </c>
      <c r="B220" s="1">
        <v>41625</v>
      </c>
      <c r="C220" t="s">
        <v>324</v>
      </c>
      <c r="D220" t="s">
        <v>15</v>
      </c>
      <c r="E220" t="s">
        <v>326</v>
      </c>
      <c r="F220">
        <v>302.37599999999998</v>
      </c>
      <c r="G220">
        <v>3</v>
      </c>
      <c r="H220">
        <v>22.6782</v>
      </c>
      <c r="I220">
        <v>5</v>
      </c>
      <c r="J220">
        <v>2013</v>
      </c>
      <c r="K220" t="s">
        <v>2207</v>
      </c>
      <c r="L220" t="str">
        <f>TEXT(maintable_2[[#This Row],[Order Date]],"mmmm")</f>
        <v>December</v>
      </c>
    </row>
    <row r="221" spans="1:12" x14ac:dyDescent="0.3">
      <c r="A221" s="1">
        <v>41620</v>
      </c>
      <c r="B221" s="1">
        <v>41625</v>
      </c>
      <c r="C221" t="s">
        <v>324</v>
      </c>
      <c r="D221" t="s">
        <v>37</v>
      </c>
      <c r="E221" t="s">
        <v>327</v>
      </c>
      <c r="F221">
        <v>316</v>
      </c>
      <c r="G221">
        <v>4</v>
      </c>
      <c r="H221">
        <v>31.6</v>
      </c>
      <c r="I221">
        <v>5</v>
      </c>
      <c r="J221">
        <v>2013</v>
      </c>
      <c r="K221" t="s">
        <v>2207</v>
      </c>
      <c r="L221" t="str">
        <f>TEXT(maintable_2[[#This Row],[Order Date]],"mmmm")</f>
        <v>December</v>
      </c>
    </row>
    <row r="222" spans="1:12" x14ac:dyDescent="0.3">
      <c r="A222" s="1">
        <v>40996</v>
      </c>
      <c r="B222" s="1">
        <v>41001</v>
      </c>
      <c r="C222" t="s">
        <v>328</v>
      </c>
      <c r="D222" t="s">
        <v>37</v>
      </c>
      <c r="E222" t="s">
        <v>329</v>
      </c>
      <c r="F222">
        <v>166.24</v>
      </c>
      <c r="G222">
        <v>1</v>
      </c>
      <c r="H222">
        <v>24.936</v>
      </c>
      <c r="I222">
        <v>5</v>
      </c>
      <c r="J222">
        <v>2012</v>
      </c>
      <c r="K222" t="s">
        <v>2208</v>
      </c>
      <c r="L222" t="str">
        <f>TEXT(maintable_2[[#This Row],[Order Date]],"mmmm")</f>
        <v>March</v>
      </c>
    </row>
    <row r="223" spans="1:12" x14ac:dyDescent="0.3">
      <c r="A223" s="1">
        <v>40996</v>
      </c>
      <c r="B223" s="1">
        <v>41001</v>
      </c>
      <c r="C223" t="s">
        <v>328</v>
      </c>
      <c r="D223" t="s">
        <v>44</v>
      </c>
      <c r="E223" t="s">
        <v>330</v>
      </c>
      <c r="F223">
        <v>33.4</v>
      </c>
      <c r="G223">
        <v>5</v>
      </c>
      <c r="H223">
        <v>16.032</v>
      </c>
      <c r="I223">
        <v>5</v>
      </c>
      <c r="J223">
        <v>2012</v>
      </c>
      <c r="K223" t="s">
        <v>2208</v>
      </c>
      <c r="L223" t="str">
        <f>TEXT(maintable_2[[#This Row],[Order Date]],"mmmm")</f>
        <v>March</v>
      </c>
    </row>
    <row r="224" spans="1:12" x14ac:dyDescent="0.3">
      <c r="A224" s="1">
        <v>41583</v>
      </c>
      <c r="B224" s="1">
        <v>41587</v>
      </c>
      <c r="C224" t="s">
        <v>180</v>
      </c>
      <c r="D224" t="s">
        <v>11</v>
      </c>
      <c r="E224" t="s">
        <v>331</v>
      </c>
      <c r="F224">
        <v>209.88</v>
      </c>
      <c r="G224">
        <v>3</v>
      </c>
      <c r="H224">
        <v>35.679600000000001</v>
      </c>
      <c r="I224">
        <v>4</v>
      </c>
      <c r="J224">
        <v>2013</v>
      </c>
      <c r="K224" t="s">
        <v>2209</v>
      </c>
      <c r="L224" t="str">
        <f>TEXT(maintable_2[[#This Row],[Order Date]],"mmmm")</f>
        <v>November</v>
      </c>
    </row>
    <row r="225" spans="1:12" x14ac:dyDescent="0.3">
      <c r="A225" s="1">
        <v>41008</v>
      </c>
      <c r="B225" s="1">
        <v>41013</v>
      </c>
      <c r="C225" t="s">
        <v>332</v>
      </c>
      <c r="D225" t="s">
        <v>21</v>
      </c>
      <c r="E225" t="s">
        <v>333</v>
      </c>
      <c r="F225">
        <v>369.91199999999998</v>
      </c>
      <c r="G225">
        <v>3</v>
      </c>
      <c r="H225">
        <v>-13.871700000000001</v>
      </c>
      <c r="I225">
        <v>5</v>
      </c>
      <c r="J225">
        <v>2012</v>
      </c>
      <c r="K225" t="s">
        <v>2208</v>
      </c>
      <c r="L225" t="str">
        <f>TEXT(maintable_2[[#This Row],[Order Date]],"mmmm")</f>
        <v>April</v>
      </c>
    </row>
    <row r="226" spans="1:12" x14ac:dyDescent="0.3">
      <c r="A226" s="1">
        <v>40725</v>
      </c>
      <c r="B226" s="1">
        <v>40730</v>
      </c>
      <c r="C226" t="s">
        <v>334</v>
      </c>
      <c r="D226" t="s">
        <v>17</v>
      </c>
      <c r="E226" t="s">
        <v>335</v>
      </c>
      <c r="F226">
        <v>19.920000000000002</v>
      </c>
      <c r="G226">
        <v>5</v>
      </c>
      <c r="H226">
        <v>6.9720000000000004</v>
      </c>
      <c r="I226">
        <v>5</v>
      </c>
      <c r="J226">
        <v>2011</v>
      </c>
      <c r="K226" t="s">
        <v>2206</v>
      </c>
      <c r="L226" t="str">
        <f>TEXT(maintable_2[[#This Row],[Order Date]],"mmmm")</f>
        <v>July</v>
      </c>
    </row>
    <row r="227" spans="1:12" x14ac:dyDescent="0.3">
      <c r="A227" s="1">
        <v>40696</v>
      </c>
      <c r="B227" s="1">
        <v>40701</v>
      </c>
      <c r="C227" t="s">
        <v>336</v>
      </c>
      <c r="D227" t="s">
        <v>17</v>
      </c>
      <c r="E227" t="s">
        <v>244</v>
      </c>
      <c r="F227">
        <v>59.808</v>
      </c>
      <c r="G227">
        <v>3</v>
      </c>
      <c r="H227">
        <v>19.4376</v>
      </c>
      <c r="I227">
        <v>5</v>
      </c>
      <c r="J227">
        <v>2011</v>
      </c>
      <c r="K227" t="s">
        <v>2206</v>
      </c>
      <c r="L227" t="str">
        <f>TEXT(maintable_2[[#This Row],[Order Date]],"mmmm")</f>
        <v>June</v>
      </c>
    </row>
    <row r="228" spans="1:12" x14ac:dyDescent="0.3">
      <c r="A228" s="1">
        <v>40696</v>
      </c>
      <c r="B228" s="1">
        <v>40701</v>
      </c>
      <c r="C228" t="s">
        <v>336</v>
      </c>
      <c r="D228" t="s">
        <v>11</v>
      </c>
      <c r="E228" t="s">
        <v>337</v>
      </c>
      <c r="F228">
        <v>73.319999999999993</v>
      </c>
      <c r="G228">
        <v>6</v>
      </c>
      <c r="H228">
        <v>21.995999999999999</v>
      </c>
      <c r="I228">
        <v>5</v>
      </c>
      <c r="J228">
        <v>2011</v>
      </c>
      <c r="K228" t="s">
        <v>2206</v>
      </c>
      <c r="L228" t="str">
        <f>TEXT(maintable_2[[#This Row],[Order Date]],"mmmm")</f>
        <v>June</v>
      </c>
    </row>
    <row r="229" spans="1:12" x14ac:dyDescent="0.3">
      <c r="A229" s="1">
        <v>41318</v>
      </c>
      <c r="B229" s="1">
        <v>41323</v>
      </c>
      <c r="C229" t="s">
        <v>338</v>
      </c>
      <c r="D229" t="s">
        <v>44</v>
      </c>
      <c r="E229" t="s">
        <v>339</v>
      </c>
      <c r="F229">
        <v>146.82</v>
      </c>
      <c r="G229">
        <v>3</v>
      </c>
      <c r="H229">
        <v>73.41</v>
      </c>
      <c r="I229">
        <v>5</v>
      </c>
      <c r="J229">
        <v>2013</v>
      </c>
      <c r="K229" t="s">
        <v>2210</v>
      </c>
      <c r="L229" t="str">
        <f>TEXT(maintable_2[[#This Row],[Order Date]],"mmmm")</f>
        <v>February</v>
      </c>
    </row>
    <row r="230" spans="1:12" x14ac:dyDescent="0.3">
      <c r="A230" s="1">
        <v>41661</v>
      </c>
      <c r="B230" s="1">
        <v>41665</v>
      </c>
      <c r="C230" t="s">
        <v>340</v>
      </c>
      <c r="D230" t="s">
        <v>27</v>
      </c>
      <c r="E230" t="s">
        <v>341</v>
      </c>
      <c r="F230">
        <v>242.94</v>
      </c>
      <c r="G230">
        <v>3</v>
      </c>
      <c r="H230">
        <v>9.7175999999999991</v>
      </c>
      <c r="I230">
        <v>4</v>
      </c>
      <c r="J230">
        <v>2014</v>
      </c>
      <c r="K230" t="s">
        <v>2210</v>
      </c>
      <c r="L230" t="str">
        <f>TEXT(maintable_2[[#This Row],[Order Date]],"mmmm")</f>
        <v>January</v>
      </c>
    </row>
    <row r="231" spans="1:12" x14ac:dyDescent="0.3">
      <c r="A231" s="1">
        <v>41661</v>
      </c>
      <c r="B231" s="1">
        <v>41665</v>
      </c>
      <c r="C231" t="s">
        <v>340</v>
      </c>
      <c r="D231" t="s">
        <v>37</v>
      </c>
      <c r="E231" t="s">
        <v>342</v>
      </c>
      <c r="F231">
        <v>179.97</v>
      </c>
      <c r="G231">
        <v>3</v>
      </c>
      <c r="H231">
        <v>86.385599999999997</v>
      </c>
      <c r="I231">
        <v>4</v>
      </c>
      <c r="J231">
        <v>2014</v>
      </c>
      <c r="K231" t="s">
        <v>2210</v>
      </c>
      <c r="L231" t="str">
        <f>TEXT(maintable_2[[#This Row],[Order Date]],"mmmm")</f>
        <v>January</v>
      </c>
    </row>
    <row r="232" spans="1:12" x14ac:dyDescent="0.3">
      <c r="A232" s="1">
        <v>41661</v>
      </c>
      <c r="B232" s="1">
        <v>41665</v>
      </c>
      <c r="C232" t="s">
        <v>340</v>
      </c>
      <c r="D232" t="s">
        <v>17</v>
      </c>
      <c r="E232" t="s">
        <v>343</v>
      </c>
      <c r="F232">
        <v>99.695999999999998</v>
      </c>
      <c r="G232">
        <v>6</v>
      </c>
      <c r="H232">
        <v>33.647399999999998</v>
      </c>
      <c r="I232">
        <v>4</v>
      </c>
      <c r="J232">
        <v>2014</v>
      </c>
      <c r="K232" t="s">
        <v>2210</v>
      </c>
      <c r="L232" t="str">
        <f>TEXT(maintable_2[[#This Row],[Order Date]],"mmmm")</f>
        <v>January</v>
      </c>
    </row>
    <row r="233" spans="1:12" x14ac:dyDescent="0.3">
      <c r="A233" s="1">
        <v>41661</v>
      </c>
      <c r="B233" s="1">
        <v>41665</v>
      </c>
      <c r="C233" t="s">
        <v>340</v>
      </c>
      <c r="D233" t="s">
        <v>17</v>
      </c>
      <c r="E233" t="s">
        <v>344</v>
      </c>
      <c r="F233">
        <v>27.936</v>
      </c>
      <c r="G233">
        <v>4</v>
      </c>
      <c r="H233">
        <v>9.4283999999999999</v>
      </c>
      <c r="I233">
        <v>4</v>
      </c>
      <c r="J233">
        <v>2014</v>
      </c>
      <c r="K233" t="s">
        <v>2210</v>
      </c>
      <c r="L233" t="str">
        <f>TEXT(maintable_2[[#This Row],[Order Date]],"mmmm")</f>
        <v>January</v>
      </c>
    </row>
    <row r="234" spans="1:12" x14ac:dyDescent="0.3">
      <c r="A234" s="1">
        <v>41661</v>
      </c>
      <c r="B234" s="1">
        <v>41665</v>
      </c>
      <c r="C234" t="s">
        <v>340</v>
      </c>
      <c r="D234" t="s">
        <v>196</v>
      </c>
      <c r="E234" t="s">
        <v>345</v>
      </c>
      <c r="F234">
        <v>84.98</v>
      </c>
      <c r="G234">
        <v>1</v>
      </c>
      <c r="H234">
        <v>18.695599999999999</v>
      </c>
      <c r="I234">
        <v>4</v>
      </c>
      <c r="J234">
        <v>2014</v>
      </c>
      <c r="K234" t="s">
        <v>2210</v>
      </c>
      <c r="L234" t="str">
        <f>TEXT(maintable_2[[#This Row],[Order Date]],"mmmm")</f>
        <v>January</v>
      </c>
    </row>
    <row r="235" spans="1:12" x14ac:dyDescent="0.3">
      <c r="A235" s="1">
        <v>41661</v>
      </c>
      <c r="B235" s="1">
        <v>41665</v>
      </c>
      <c r="C235" t="s">
        <v>340</v>
      </c>
      <c r="D235" t="s">
        <v>17</v>
      </c>
      <c r="E235" t="s">
        <v>346</v>
      </c>
      <c r="F235">
        <v>18.72</v>
      </c>
      <c r="G235">
        <v>5</v>
      </c>
      <c r="H235">
        <v>6.5519999999999996</v>
      </c>
      <c r="I235">
        <v>4</v>
      </c>
      <c r="J235">
        <v>2014</v>
      </c>
      <c r="K235" t="s">
        <v>2210</v>
      </c>
      <c r="L235" t="str">
        <f>TEXT(maintable_2[[#This Row],[Order Date]],"mmmm")</f>
        <v>January</v>
      </c>
    </row>
    <row r="236" spans="1:12" x14ac:dyDescent="0.3">
      <c r="A236" s="1">
        <v>40794</v>
      </c>
      <c r="B236" s="1">
        <v>40798</v>
      </c>
      <c r="C236" t="s">
        <v>347</v>
      </c>
      <c r="D236" t="s">
        <v>37</v>
      </c>
      <c r="E236" t="s">
        <v>348</v>
      </c>
      <c r="F236">
        <v>49.98</v>
      </c>
      <c r="G236">
        <v>2</v>
      </c>
      <c r="H236">
        <v>8.4966000000000008</v>
      </c>
      <c r="I236">
        <v>4</v>
      </c>
      <c r="J236">
        <v>2011</v>
      </c>
      <c r="K236" t="s">
        <v>2209</v>
      </c>
      <c r="L236" t="str">
        <f>TEXT(maintable_2[[#This Row],[Order Date]],"mmmm")</f>
        <v>September</v>
      </c>
    </row>
    <row r="237" spans="1:12" x14ac:dyDescent="0.3">
      <c r="A237" s="1">
        <v>40690</v>
      </c>
      <c r="B237" s="1">
        <v>40690</v>
      </c>
      <c r="C237" t="s">
        <v>349</v>
      </c>
      <c r="D237" t="s">
        <v>21</v>
      </c>
      <c r="E237" t="s">
        <v>350</v>
      </c>
      <c r="F237">
        <v>567.12</v>
      </c>
      <c r="G237">
        <v>10</v>
      </c>
      <c r="H237">
        <v>-28.356000000000002</v>
      </c>
      <c r="I237">
        <v>0</v>
      </c>
      <c r="J237">
        <v>2011</v>
      </c>
      <c r="K237" t="s">
        <v>2208</v>
      </c>
      <c r="L237" t="str">
        <f>TEXT(maintable_2[[#This Row],[Order Date]],"mmmm")</f>
        <v>May</v>
      </c>
    </row>
    <row r="238" spans="1:12" x14ac:dyDescent="0.3">
      <c r="A238" s="1">
        <v>40690</v>
      </c>
      <c r="B238" s="1">
        <v>40690</v>
      </c>
      <c r="C238" t="s">
        <v>349</v>
      </c>
      <c r="D238" t="s">
        <v>27</v>
      </c>
      <c r="E238" t="s">
        <v>351</v>
      </c>
      <c r="F238">
        <v>359.32</v>
      </c>
      <c r="G238">
        <v>4</v>
      </c>
      <c r="H238">
        <v>7.1863999999999999</v>
      </c>
      <c r="I238">
        <v>0</v>
      </c>
      <c r="J238">
        <v>2011</v>
      </c>
      <c r="K238" t="s">
        <v>2208</v>
      </c>
      <c r="L238" t="str">
        <f>TEXT(maintable_2[[#This Row],[Order Date]],"mmmm")</f>
        <v>May</v>
      </c>
    </row>
    <row r="239" spans="1:12" x14ac:dyDescent="0.3">
      <c r="A239" s="1">
        <v>41372</v>
      </c>
      <c r="B239" s="1">
        <v>41374</v>
      </c>
      <c r="C239" t="s">
        <v>352</v>
      </c>
      <c r="D239" t="s">
        <v>163</v>
      </c>
      <c r="E239" t="s">
        <v>353</v>
      </c>
      <c r="F239">
        <v>1199.9760000000001</v>
      </c>
      <c r="G239">
        <v>3</v>
      </c>
      <c r="H239">
        <v>374.99250000000001</v>
      </c>
      <c r="I239">
        <v>2</v>
      </c>
      <c r="J239">
        <v>2013</v>
      </c>
      <c r="K239" t="s">
        <v>2208</v>
      </c>
      <c r="L239" t="str">
        <f>TEXT(maintable_2[[#This Row],[Order Date]],"mmmm")</f>
        <v>April</v>
      </c>
    </row>
    <row r="240" spans="1:12" x14ac:dyDescent="0.3">
      <c r="A240" s="1">
        <v>41250</v>
      </c>
      <c r="B240" s="1">
        <v>41255</v>
      </c>
      <c r="C240" t="s">
        <v>354</v>
      </c>
      <c r="D240" t="s">
        <v>11</v>
      </c>
      <c r="E240" t="s">
        <v>355</v>
      </c>
      <c r="F240">
        <v>79.92</v>
      </c>
      <c r="G240">
        <v>4</v>
      </c>
      <c r="H240">
        <v>28.7712</v>
      </c>
      <c r="I240">
        <v>5</v>
      </c>
      <c r="J240">
        <v>2012</v>
      </c>
      <c r="K240" t="s">
        <v>2207</v>
      </c>
      <c r="L240" t="str">
        <f>TEXT(maintable_2[[#This Row],[Order Date]],"mmmm")</f>
        <v>December</v>
      </c>
    </row>
    <row r="241" spans="1:12" x14ac:dyDescent="0.3">
      <c r="A241" s="1">
        <v>41152</v>
      </c>
      <c r="B241" s="1">
        <v>41157</v>
      </c>
      <c r="C241" t="s">
        <v>356</v>
      </c>
      <c r="D241" t="s">
        <v>44</v>
      </c>
      <c r="E241" t="s">
        <v>273</v>
      </c>
      <c r="F241">
        <v>58.32</v>
      </c>
      <c r="G241">
        <v>9</v>
      </c>
      <c r="H241">
        <v>27.993600000000001</v>
      </c>
      <c r="I241">
        <v>5</v>
      </c>
      <c r="J241">
        <v>2012</v>
      </c>
      <c r="K241" t="s">
        <v>2206</v>
      </c>
      <c r="L241" t="str">
        <f>TEXT(maintable_2[[#This Row],[Order Date]],"mmmm")</f>
        <v>August</v>
      </c>
    </row>
    <row r="242" spans="1:12" x14ac:dyDescent="0.3">
      <c r="A242" s="1">
        <v>41142</v>
      </c>
      <c r="B242" s="1">
        <v>41144</v>
      </c>
      <c r="C242" t="s">
        <v>357</v>
      </c>
      <c r="D242" t="s">
        <v>71</v>
      </c>
      <c r="E242" t="s">
        <v>358</v>
      </c>
      <c r="F242">
        <v>544.00800000000004</v>
      </c>
      <c r="G242">
        <v>3</v>
      </c>
      <c r="H242">
        <v>40.800600000000003</v>
      </c>
      <c r="I242">
        <v>2</v>
      </c>
      <c r="J242">
        <v>2012</v>
      </c>
      <c r="K242" t="s">
        <v>2206</v>
      </c>
      <c r="L242" t="str">
        <f>TEXT(maintable_2[[#This Row],[Order Date]],"mmmm")</f>
        <v>August</v>
      </c>
    </row>
    <row r="243" spans="1:12" x14ac:dyDescent="0.3">
      <c r="A243" s="1">
        <v>41142</v>
      </c>
      <c r="B243" s="1">
        <v>41144</v>
      </c>
      <c r="C243" t="s">
        <v>357</v>
      </c>
      <c r="D243" t="s">
        <v>44</v>
      </c>
      <c r="E243" t="s">
        <v>200</v>
      </c>
      <c r="F243">
        <v>59.94</v>
      </c>
      <c r="G243">
        <v>3</v>
      </c>
      <c r="H243">
        <v>28.171800000000001</v>
      </c>
      <c r="I243">
        <v>2</v>
      </c>
      <c r="J243">
        <v>2012</v>
      </c>
      <c r="K243" t="s">
        <v>2206</v>
      </c>
      <c r="L243" t="str">
        <f>TEXT(maintable_2[[#This Row],[Order Date]],"mmmm")</f>
        <v>August</v>
      </c>
    </row>
    <row r="244" spans="1:12" x14ac:dyDescent="0.3">
      <c r="A244" s="1">
        <v>41142</v>
      </c>
      <c r="B244" s="1">
        <v>41144</v>
      </c>
      <c r="C244" t="s">
        <v>357</v>
      </c>
      <c r="D244" t="s">
        <v>44</v>
      </c>
      <c r="E244" t="s">
        <v>359</v>
      </c>
      <c r="F244">
        <v>23.92</v>
      </c>
      <c r="G244">
        <v>4</v>
      </c>
      <c r="H244">
        <v>11.720800000000001</v>
      </c>
      <c r="I244">
        <v>2</v>
      </c>
      <c r="J244">
        <v>2012</v>
      </c>
      <c r="K244" t="s">
        <v>2206</v>
      </c>
      <c r="L244" t="str">
        <f>TEXT(maintable_2[[#This Row],[Order Date]],"mmmm")</f>
        <v>August</v>
      </c>
    </row>
    <row r="245" spans="1:12" x14ac:dyDescent="0.3">
      <c r="A245" s="1">
        <v>41142</v>
      </c>
      <c r="B245" s="1">
        <v>41144</v>
      </c>
      <c r="C245" t="s">
        <v>357</v>
      </c>
      <c r="D245" t="s">
        <v>44</v>
      </c>
      <c r="E245" t="s">
        <v>360</v>
      </c>
      <c r="F245">
        <v>4.28</v>
      </c>
      <c r="G245">
        <v>1</v>
      </c>
      <c r="H245">
        <v>1.9259999999999999</v>
      </c>
      <c r="I245">
        <v>2</v>
      </c>
      <c r="J245">
        <v>2012</v>
      </c>
      <c r="K245" t="s">
        <v>2206</v>
      </c>
      <c r="L245" t="str">
        <f>TEXT(maintable_2[[#This Row],[Order Date]],"mmmm")</f>
        <v>August</v>
      </c>
    </row>
    <row r="246" spans="1:12" x14ac:dyDescent="0.3">
      <c r="A246" s="1">
        <v>41716</v>
      </c>
      <c r="B246" s="1">
        <v>41720</v>
      </c>
      <c r="C246" t="s">
        <v>361</v>
      </c>
      <c r="D246" t="s">
        <v>17</v>
      </c>
      <c r="E246" t="s">
        <v>362</v>
      </c>
      <c r="F246">
        <v>17.456</v>
      </c>
      <c r="G246">
        <v>2</v>
      </c>
      <c r="H246">
        <v>5.8914</v>
      </c>
      <c r="I246">
        <v>4</v>
      </c>
      <c r="J246">
        <v>2014</v>
      </c>
      <c r="K246" t="s">
        <v>2208</v>
      </c>
      <c r="L246" t="str">
        <f>TEXT(maintable_2[[#This Row],[Order Date]],"mmmm")</f>
        <v>March</v>
      </c>
    </row>
    <row r="247" spans="1:12" x14ac:dyDescent="0.3">
      <c r="A247" s="1">
        <v>41255</v>
      </c>
      <c r="B247" s="1">
        <v>41259</v>
      </c>
      <c r="C247" t="s">
        <v>363</v>
      </c>
      <c r="D247" t="s">
        <v>71</v>
      </c>
      <c r="E247" t="s">
        <v>364</v>
      </c>
      <c r="F247">
        <v>348.928</v>
      </c>
      <c r="G247">
        <v>2</v>
      </c>
      <c r="H247">
        <v>34.892800000000001</v>
      </c>
      <c r="I247">
        <v>4</v>
      </c>
      <c r="J247">
        <v>2012</v>
      </c>
      <c r="K247" t="s">
        <v>2207</v>
      </c>
      <c r="L247" t="str">
        <f>TEXT(maintable_2[[#This Row],[Order Date]],"mmmm")</f>
        <v>December</v>
      </c>
    </row>
    <row r="248" spans="1:12" x14ac:dyDescent="0.3">
      <c r="A248" s="1">
        <v>40806</v>
      </c>
      <c r="B248" s="1">
        <v>40812</v>
      </c>
      <c r="C248" t="s">
        <v>365</v>
      </c>
      <c r="D248" t="s">
        <v>8</v>
      </c>
      <c r="E248" t="s">
        <v>366</v>
      </c>
      <c r="F248">
        <v>9.9600000000000009</v>
      </c>
      <c r="G248">
        <v>2</v>
      </c>
      <c r="H248">
        <v>4.5815999999999999</v>
      </c>
      <c r="I248">
        <v>6</v>
      </c>
      <c r="J248">
        <v>2011</v>
      </c>
      <c r="K248" t="s">
        <v>2209</v>
      </c>
      <c r="L248" t="str">
        <f>TEXT(maintable_2[[#This Row],[Order Date]],"mmmm")</f>
        <v>September</v>
      </c>
    </row>
    <row r="249" spans="1:12" x14ac:dyDescent="0.3">
      <c r="A249" s="1">
        <v>40806</v>
      </c>
      <c r="B249" s="1">
        <v>40812</v>
      </c>
      <c r="C249" t="s">
        <v>365</v>
      </c>
      <c r="D249" t="s">
        <v>44</v>
      </c>
      <c r="E249" t="s">
        <v>191</v>
      </c>
      <c r="F249">
        <v>21.72</v>
      </c>
      <c r="G249">
        <v>4</v>
      </c>
      <c r="H249">
        <v>10.642799999999999</v>
      </c>
      <c r="I249">
        <v>6</v>
      </c>
      <c r="J249">
        <v>2011</v>
      </c>
      <c r="K249" t="s">
        <v>2209</v>
      </c>
      <c r="L249" t="str">
        <f>TEXT(maintable_2[[#This Row],[Order Date]],"mmmm")</f>
        <v>September</v>
      </c>
    </row>
    <row r="250" spans="1:12" x14ac:dyDescent="0.3">
      <c r="A250" s="1">
        <v>41240</v>
      </c>
      <c r="B250" s="1">
        <v>41246</v>
      </c>
      <c r="C250" t="s">
        <v>367</v>
      </c>
      <c r="D250" t="s">
        <v>71</v>
      </c>
      <c r="E250" t="s">
        <v>368</v>
      </c>
      <c r="F250">
        <v>283.92</v>
      </c>
      <c r="G250">
        <v>5</v>
      </c>
      <c r="H250">
        <v>17.745000000000001</v>
      </c>
      <c r="I250">
        <v>6</v>
      </c>
      <c r="J250">
        <v>2012</v>
      </c>
      <c r="K250" t="s">
        <v>2209</v>
      </c>
      <c r="L250" t="str">
        <f>TEXT(maintable_2[[#This Row],[Order Date]],"mmmm")</f>
        <v>November</v>
      </c>
    </row>
    <row r="251" spans="1:12" x14ac:dyDescent="0.3">
      <c r="A251" s="1">
        <v>41691</v>
      </c>
      <c r="B251" s="1">
        <v>41694</v>
      </c>
      <c r="C251" t="s">
        <v>369</v>
      </c>
      <c r="D251" t="s">
        <v>11</v>
      </c>
      <c r="E251" t="s">
        <v>370</v>
      </c>
      <c r="F251">
        <v>22.23</v>
      </c>
      <c r="G251">
        <v>1</v>
      </c>
      <c r="H251">
        <v>7.3358999999999996</v>
      </c>
      <c r="I251">
        <v>3</v>
      </c>
      <c r="J251">
        <v>2014</v>
      </c>
      <c r="K251" t="s">
        <v>2210</v>
      </c>
      <c r="L251" t="str">
        <f>TEXT(maintable_2[[#This Row],[Order Date]],"mmmm")</f>
        <v>February</v>
      </c>
    </row>
    <row r="252" spans="1:12" x14ac:dyDescent="0.3">
      <c r="A252" s="1">
        <v>41691</v>
      </c>
      <c r="B252" s="1">
        <v>41694</v>
      </c>
      <c r="C252" t="s">
        <v>369</v>
      </c>
      <c r="D252" t="s">
        <v>15</v>
      </c>
      <c r="E252" t="s">
        <v>371</v>
      </c>
      <c r="F252">
        <v>215.96799999999999</v>
      </c>
      <c r="G252">
        <v>2</v>
      </c>
      <c r="H252">
        <v>18.897200000000002</v>
      </c>
      <c r="I252">
        <v>3</v>
      </c>
      <c r="J252">
        <v>2014</v>
      </c>
      <c r="K252" t="s">
        <v>2210</v>
      </c>
      <c r="L252" t="str">
        <f>TEXT(maintable_2[[#This Row],[Order Date]],"mmmm")</f>
        <v>February</v>
      </c>
    </row>
    <row r="253" spans="1:12" x14ac:dyDescent="0.3">
      <c r="A253" s="1">
        <v>41752</v>
      </c>
      <c r="B253" s="1">
        <v>41754</v>
      </c>
      <c r="C253" t="s">
        <v>372</v>
      </c>
      <c r="D253" t="s">
        <v>11</v>
      </c>
      <c r="E253" t="s">
        <v>373</v>
      </c>
      <c r="F253">
        <v>18.28</v>
      </c>
      <c r="G253">
        <v>2</v>
      </c>
      <c r="H253">
        <v>6.2152000000000003</v>
      </c>
      <c r="I253">
        <v>2</v>
      </c>
      <c r="J253">
        <v>2014</v>
      </c>
      <c r="K253" t="s">
        <v>2208</v>
      </c>
      <c r="L253" t="str">
        <f>TEXT(maintable_2[[#This Row],[Order Date]],"mmmm")</f>
        <v>April</v>
      </c>
    </row>
    <row r="254" spans="1:12" x14ac:dyDescent="0.3">
      <c r="A254" s="1">
        <v>40848</v>
      </c>
      <c r="B254" s="1">
        <v>40854</v>
      </c>
      <c r="C254" t="s">
        <v>374</v>
      </c>
      <c r="D254" t="s">
        <v>13</v>
      </c>
      <c r="E254" t="s">
        <v>375</v>
      </c>
      <c r="F254">
        <v>43.176000000000002</v>
      </c>
      <c r="G254">
        <v>3</v>
      </c>
      <c r="H254">
        <v>4.3175999999999997</v>
      </c>
      <c r="I254">
        <v>6</v>
      </c>
      <c r="J254">
        <v>2011</v>
      </c>
      <c r="K254" t="s">
        <v>2209</v>
      </c>
      <c r="L254" t="str">
        <f>TEXT(maintable_2[[#This Row],[Order Date]],"mmmm")</f>
        <v>November</v>
      </c>
    </row>
    <row r="255" spans="1:12" x14ac:dyDescent="0.3">
      <c r="A255" s="1">
        <v>40848</v>
      </c>
      <c r="B255" s="1">
        <v>40854</v>
      </c>
      <c r="C255" t="s">
        <v>374</v>
      </c>
      <c r="D255" t="s">
        <v>15</v>
      </c>
      <c r="E255" t="s">
        <v>376</v>
      </c>
      <c r="F255">
        <v>1983.9680000000001</v>
      </c>
      <c r="G255">
        <v>4</v>
      </c>
      <c r="H255">
        <v>247.99600000000001</v>
      </c>
      <c r="I255">
        <v>6</v>
      </c>
      <c r="J255">
        <v>2011</v>
      </c>
      <c r="K255" t="s">
        <v>2209</v>
      </c>
      <c r="L255" t="str">
        <f>TEXT(maintable_2[[#This Row],[Order Date]],"mmmm")</f>
        <v>November</v>
      </c>
    </row>
    <row r="256" spans="1:12" x14ac:dyDescent="0.3">
      <c r="A256" s="1">
        <v>40829</v>
      </c>
      <c r="B256" s="1">
        <v>40831</v>
      </c>
      <c r="C256" t="s">
        <v>298</v>
      </c>
      <c r="D256" t="s">
        <v>13</v>
      </c>
      <c r="E256" t="s">
        <v>377</v>
      </c>
      <c r="F256">
        <v>11.52</v>
      </c>
      <c r="G256">
        <v>4</v>
      </c>
      <c r="H256">
        <v>3.2256</v>
      </c>
      <c r="I256">
        <v>2</v>
      </c>
      <c r="J256">
        <v>2011</v>
      </c>
      <c r="K256" t="s">
        <v>2209</v>
      </c>
      <c r="L256" t="str">
        <f>TEXT(maintable_2[[#This Row],[Order Date]],"mmmm")</f>
        <v>October</v>
      </c>
    </row>
    <row r="257" spans="1:12" x14ac:dyDescent="0.3">
      <c r="A257" s="1">
        <v>40829</v>
      </c>
      <c r="B257" s="1">
        <v>40831</v>
      </c>
      <c r="C257" t="s">
        <v>298</v>
      </c>
      <c r="D257" t="s">
        <v>21</v>
      </c>
      <c r="E257" t="s">
        <v>142</v>
      </c>
      <c r="F257">
        <v>1298.55</v>
      </c>
      <c r="G257">
        <v>5</v>
      </c>
      <c r="H257">
        <v>311.65199999999999</v>
      </c>
      <c r="I257">
        <v>2</v>
      </c>
      <c r="J257">
        <v>2011</v>
      </c>
      <c r="K257" t="s">
        <v>2209</v>
      </c>
      <c r="L257" t="str">
        <f>TEXT(maintable_2[[#This Row],[Order Date]],"mmmm")</f>
        <v>October</v>
      </c>
    </row>
    <row r="258" spans="1:12" x14ac:dyDescent="0.3">
      <c r="A258" s="1">
        <v>40829</v>
      </c>
      <c r="B258" s="1">
        <v>40831</v>
      </c>
      <c r="C258" t="s">
        <v>298</v>
      </c>
      <c r="D258" t="s">
        <v>19</v>
      </c>
      <c r="E258" t="s">
        <v>378</v>
      </c>
      <c r="F258">
        <v>213.92</v>
      </c>
      <c r="G258">
        <v>4</v>
      </c>
      <c r="H258">
        <v>62.036799999999999</v>
      </c>
      <c r="I258">
        <v>2</v>
      </c>
      <c r="J258">
        <v>2011</v>
      </c>
      <c r="K258" t="s">
        <v>2209</v>
      </c>
      <c r="L258" t="str">
        <f>TEXT(maintable_2[[#This Row],[Order Date]],"mmmm")</f>
        <v>October</v>
      </c>
    </row>
    <row r="259" spans="1:12" x14ac:dyDescent="0.3">
      <c r="A259" s="1">
        <v>40829</v>
      </c>
      <c r="B259" s="1">
        <v>40831</v>
      </c>
      <c r="C259" t="s">
        <v>298</v>
      </c>
      <c r="D259" t="s">
        <v>37</v>
      </c>
      <c r="E259" t="s">
        <v>379</v>
      </c>
      <c r="F259">
        <v>25.78</v>
      </c>
      <c r="G259">
        <v>2</v>
      </c>
      <c r="H259">
        <v>2.5779999999999998</v>
      </c>
      <c r="I259">
        <v>2</v>
      </c>
      <c r="J259">
        <v>2011</v>
      </c>
      <c r="K259" t="s">
        <v>2209</v>
      </c>
      <c r="L259" t="str">
        <f>TEXT(maintable_2[[#This Row],[Order Date]],"mmmm")</f>
        <v>October</v>
      </c>
    </row>
    <row r="260" spans="1:12" x14ac:dyDescent="0.3">
      <c r="A260" s="1">
        <v>41774</v>
      </c>
      <c r="B260" s="1">
        <v>41774</v>
      </c>
      <c r="C260" t="s">
        <v>380</v>
      </c>
      <c r="D260" t="s">
        <v>11</v>
      </c>
      <c r="E260" t="s">
        <v>373</v>
      </c>
      <c r="F260">
        <v>18.28</v>
      </c>
      <c r="G260">
        <v>2</v>
      </c>
      <c r="H260">
        <v>6.2152000000000003</v>
      </c>
      <c r="I260">
        <v>0</v>
      </c>
      <c r="J260">
        <v>2014</v>
      </c>
      <c r="K260" t="s">
        <v>2208</v>
      </c>
      <c r="L260" t="str">
        <f>TEXT(maintable_2[[#This Row],[Order Date]],"mmmm")</f>
        <v>May</v>
      </c>
    </row>
    <row r="261" spans="1:12" x14ac:dyDescent="0.3">
      <c r="A261" s="1">
        <v>41774</v>
      </c>
      <c r="B261" s="1">
        <v>41774</v>
      </c>
      <c r="C261" t="s">
        <v>380</v>
      </c>
      <c r="D261" t="s">
        <v>37</v>
      </c>
      <c r="E261" t="s">
        <v>381</v>
      </c>
      <c r="F261">
        <v>1399.93</v>
      </c>
      <c r="G261">
        <v>7</v>
      </c>
      <c r="H261">
        <v>601.96990000000005</v>
      </c>
      <c r="I261">
        <v>0</v>
      </c>
      <c r="J261">
        <v>2014</v>
      </c>
      <c r="K261" t="s">
        <v>2208</v>
      </c>
      <c r="L261" t="str">
        <f>TEXT(maintable_2[[#This Row],[Order Date]],"mmmm")</f>
        <v>May</v>
      </c>
    </row>
    <row r="262" spans="1:12" x14ac:dyDescent="0.3">
      <c r="A262" s="1">
        <v>40672</v>
      </c>
      <c r="B262" s="1">
        <v>40678</v>
      </c>
      <c r="C262" t="s">
        <v>382</v>
      </c>
      <c r="D262" t="s">
        <v>37</v>
      </c>
      <c r="E262" t="s">
        <v>383</v>
      </c>
      <c r="F262">
        <v>67.8</v>
      </c>
      <c r="G262">
        <v>4</v>
      </c>
      <c r="H262">
        <v>4.0679999999999996</v>
      </c>
      <c r="I262">
        <v>6</v>
      </c>
      <c r="J262">
        <v>2011</v>
      </c>
      <c r="K262" t="s">
        <v>2208</v>
      </c>
      <c r="L262" t="str">
        <f>TEXT(maintable_2[[#This Row],[Order Date]],"mmmm")</f>
        <v>May</v>
      </c>
    </row>
    <row r="263" spans="1:12" x14ac:dyDescent="0.3">
      <c r="A263" s="1">
        <v>40672</v>
      </c>
      <c r="B263" s="1">
        <v>40678</v>
      </c>
      <c r="C263" t="s">
        <v>382</v>
      </c>
      <c r="D263" t="s">
        <v>37</v>
      </c>
      <c r="E263" t="s">
        <v>384</v>
      </c>
      <c r="F263">
        <v>167.97</v>
      </c>
      <c r="G263">
        <v>3</v>
      </c>
      <c r="H263">
        <v>40.312800000000003</v>
      </c>
      <c r="I263">
        <v>6</v>
      </c>
      <c r="J263">
        <v>2011</v>
      </c>
      <c r="K263" t="s">
        <v>2208</v>
      </c>
      <c r="L263" t="str">
        <f>TEXT(maintable_2[[#This Row],[Order Date]],"mmmm")</f>
        <v>May</v>
      </c>
    </row>
    <row r="264" spans="1:12" x14ac:dyDescent="0.3">
      <c r="A264" s="1">
        <v>41586</v>
      </c>
      <c r="B264" s="1">
        <v>41588</v>
      </c>
      <c r="C264" t="s">
        <v>385</v>
      </c>
      <c r="D264" t="s">
        <v>17</v>
      </c>
      <c r="E264" t="s">
        <v>386</v>
      </c>
      <c r="F264">
        <v>37.44</v>
      </c>
      <c r="G264">
        <v>4</v>
      </c>
      <c r="H264">
        <v>11.7</v>
      </c>
      <c r="I264">
        <v>2</v>
      </c>
      <c r="J264">
        <v>2013</v>
      </c>
      <c r="K264" t="s">
        <v>2209</v>
      </c>
      <c r="L264" t="str">
        <f>TEXT(maintable_2[[#This Row],[Order Date]],"mmmm")</f>
        <v>November</v>
      </c>
    </row>
    <row r="265" spans="1:12" x14ac:dyDescent="0.3">
      <c r="A265" s="1">
        <v>41586</v>
      </c>
      <c r="B265" s="1">
        <v>41588</v>
      </c>
      <c r="C265" t="s">
        <v>385</v>
      </c>
      <c r="D265" t="s">
        <v>17</v>
      </c>
      <c r="E265" t="s">
        <v>387</v>
      </c>
      <c r="F265">
        <v>26.975999999999999</v>
      </c>
      <c r="G265">
        <v>4</v>
      </c>
      <c r="H265">
        <v>8.7672000000000008</v>
      </c>
      <c r="I265">
        <v>2</v>
      </c>
      <c r="J265">
        <v>2013</v>
      </c>
      <c r="K265" t="s">
        <v>2209</v>
      </c>
      <c r="L265" t="str">
        <f>TEXT(maintable_2[[#This Row],[Order Date]],"mmmm")</f>
        <v>November</v>
      </c>
    </row>
    <row r="266" spans="1:12" x14ac:dyDescent="0.3">
      <c r="A266" s="1">
        <v>41586</v>
      </c>
      <c r="B266" s="1">
        <v>41588</v>
      </c>
      <c r="C266" t="s">
        <v>385</v>
      </c>
      <c r="D266" t="s">
        <v>81</v>
      </c>
      <c r="E266" t="s">
        <v>388</v>
      </c>
      <c r="F266">
        <v>11.36</v>
      </c>
      <c r="G266">
        <v>2</v>
      </c>
      <c r="H266">
        <v>3.2944</v>
      </c>
      <c r="I266">
        <v>2</v>
      </c>
      <c r="J266">
        <v>2013</v>
      </c>
      <c r="K266" t="s">
        <v>2209</v>
      </c>
      <c r="L266" t="str">
        <f>TEXT(maintable_2[[#This Row],[Order Date]],"mmmm")</f>
        <v>November</v>
      </c>
    </row>
    <row r="267" spans="1:12" x14ac:dyDescent="0.3">
      <c r="A267" s="1">
        <v>41586</v>
      </c>
      <c r="B267" s="1">
        <v>41588</v>
      </c>
      <c r="C267" t="s">
        <v>385</v>
      </c>
      <c r="D267" t="s">
        <v>8</v>
      </c>
      <c r="E267" t="s">
        <v>389</v>
      </c>
      <c r="F267">
        <v>14.62</v>
      </c>
      <c r="G267">
        <v>2</v>
      </c>
      <c r="H267">
        <v>6.8714000000000004</v>
      </c>
      <c r="I267">
        <v>2</v>
      </c>
      <c r="J267">
        <v>2013</v>
      </c>
      <c r="K267" t="s">
        <v>2209</v>
      </c>
      <c r="L267" t="str">
        <f>TEXT(maintable_2[[#This Row],[Order Date]],"mmmm")</f>
        <v>November</v>
      </c>
    </row>
    <row r="268" spans="1:12" x14ac:dyDescent="0.3">
      <c r="A268" s="1">
        <v>41446</v>
      </c>
      <c r="B268" s="1">
        <v>41451</v>
      </c>
      <c r="C268" t="s">
        <v>390</v>
      </c>
      <c r="D268" t="s">
        <v>13</v>
      </c>
      <c r="E268" t="s">
        <v>391</v>
      </c>
      <c r="F268">
        <v>5.16</v>
      </c>
      <c r="G268">
        <v>2</v>
      </c>
      <c r="H268">
        <v>1.3415999999999999</v>
      </c>
      <c r="I268">
        <v>5</v>
      </c>
      <c r="J268">
        <v>2013</v>
      </c>
      <c r="K268" t="s">
        <v>2206</v>
      </c>
      <c r="L268" t="str">
        <f>TEXT(maintable_2[[#This Row],[Order Date]],"mmmm")</f>
        <v>June</v>
      </c>
    </row>
    <row r="269" spans="1:12" x14ac:dyDescent="0.3">
      <c r="A269" s="1">
        <v>41446</v>
      </c>
      <c r="B269" s="1">
        <v>41451</v>
      </c>
      <c r="C269" t="s">
        <v>390</v>
      </c>
      <c r="D269" t="s">
        <v>44</v>
      </c>
      <c r="E269" t="s">
        <v>392</v>
      </c>
      <c r="F269">
        <v>38.880000000000003</v>
      </c>
      <c r="G269">
        <v>6</v>
      </c>
      <c r="H269">
        <v>18.662400000000002</v>
      </c>
      <c r="I269">
        <v>5</v>
      </c>
      <c r="J269">
        <v>2013</v>
      </c>
      <c r="K269" t="s">
        <v>2206</v>
      </c>
      <c r="L269" t="str">
        <f>TEXT(maintable_2[[#This Row],[Order Date]],"mmmm")</f>
        <v>June</v>
      </c>
    </row>
    <row r="270" spans="1:12" x14ac:dyDescent="0.3">
      <c r="A270" s="1">
        <v>40703</v>
      </c>
      <c r="B270" s="1">
        <v>40710</v>
      </c>
      <c r="C270" t="s">
        <v>393</v>
      </c>
      <c r="D270" t="s">
        <v>81</v>
      </c>
      <c r="E270" t="s">
        <v>105</v>
      </c>
      <c r="F270">
        <v>7.36</v>
      </c>
      <c r="G270">
        <v>2</v>
      </c>
      <c r="H270">
        <v>0.1472</v>
      </c>
      <c r="I270">
        <v>7</v>
      </c>
      <c r="J270">
        <v>2011</v>
      </c>
      <c r="K270" t="s">
        <v>2206</v>
      </c>
      <c r="L270" t="str">
        <f>TEXT(maintable_2[[#This Row],[Order Date]],"mmmm")</f>
        <v>June</v>
      </c>
    </row>
    <row r="271" spans="1:12" x14ac:dyDescent="0.3">
      <c r="A271" s="1">
        <v>40703</v>
      </c>
      <c r="B271" s="1">
        <v>40710</v>
      </c>
      <c r="C271" t="s">
        <v>393</v>
      </c>
      <c r="D271" t="s">
        <v>13</v>
      </c>
      <c r="E271" t="s">
        <v>394</v>
      </c>
      <c r="F271">
        <v>23.1</v>
      </c>
      <c r="G271">
        <v>2</v>
      </c>
      <c r="H271">
        <v>10.625999999999999</v>
      </c>
      <c r="I271">
        <v>7</v>
      </c>
      <c r="J271">
        <v>2011</v>
      </c>
      <c r="K271" t="s">
        <v>2206</v>
      </c>
      <c r="L271" t="str">
        <f>TEXT(maintable_2[[#This Row],[Order Date]],"mmmm")</f>
        <v>June</v>
      </c>
    </row>
    <row r="272" spans="1:12" x14ac:dyDescent="0.3">
      <c r="A272" s="1">
        <v>41997</v>
      </c>
      <c r="B272" s="1">
        <v>41997</v>
      </c>
      <c r="C272" t="s">
        <v>347</v>
      </c>
      <c r="D272" t="s">
        <v>13</v>
      </c>
      <c r="E272" t="s">
        <v>395</v>
      </c>
      <c r="F272">
        <v>13.48</v>
      </c>
      <c r="G272">
        <v>4</v>
      </c>
      <c r="H272">
        <v>5.9311999999999996</v>
      </c>
      <c r="I272">
        <v>0</v>
      </c>
      <c r="J272">
        <v>2014</v>
      </c>
      <c r="K272" t="s">
        <v>2207</v>
      </c>
      <c r="L272" t="str">
        <f>TEXT(maintable_2[[#This Row],[Order Date]],"mmmm")</f>
        <v>December</v>
      </c>
    </row>
    <row r="273" spans="1:12" x14ac:dyDescent="0.3">
      <c r="A273" s="1">
        <v>41024</v>
      </c>
      <c r="B273" s="1">
        <v>41027</v>
      </c>
      <c r="C273" t="s">
        <v>396</v>
      </c>
      <c r="D273" t="s">
        <v>17</v>
      </c>
      <c r="E273" t="s">
        <v>397</v>
      </c>
      <c r="F273">
        <v>13.944000000000001</v>
      </c>
      <c r="G273">
        <v>3</v>
      </c>
      <c r="H273">
        <v>4.5317999999999996</v>
      </c>
      <c r="I273">
        <v>3</v>
      </c>
      <c r="J273">
        <v>2012</v>
      </c>
      <c r="K273" t="s">
        <v>2208</v>
      </c>
      <c r="L273" t="str">
        <f>TEXT(maintable_2[[#This Row],[Order Date]],"mmmm")</f>
        <v>April</v>
      </c>
    </row>
    <row r="274" spans="1:12" x14ac:dyDescent="0.3">
      <c r="A274" s="1">
        <v>41817</v>
      </c>
      <c r="B274" s="1">
        <v>41823</v>
      </c>
      <c r="C274" t="s">
        <v>270</v>
      </c>
      <c r="D274" t="s">
        <v>27</v>
      </c>
      <c r="E274" t="s">
        <v>398</v>
      </c>
      <c r="F274">
        <v>83.76</v>
      </c>
      <c r="G274">
        <v>12</v>
      </c>
      <c r="H274">
        <v>1.6752</v>
      </c>
      <c r="I274">
        <v>6</v>
      </c>
      <c r="J274">
        <v>2014</v>
      </c>
      <c r="K274" t="s">
        <v>2206</v>
      </c>
      <c r="L274" t="str">
        <f>TEXT(maintable_2[[#This Row],[Order Date]],"mmmm")</f>
        <v>June</v>
      </c>
    </row>
    <row r="275" spans="1:12" x14ac:dyDescent="0.3">
      <c r="A275" s="1">
        <v>40886</v>
      </c>
      <c r="B275" s="1">
        <v>40893</v>
      </c>
      <c r="C275" t="s">
        <v>399</v>
      </c>
      <c r="D275" t="s">
        <v>44</v>
      </c>
      <c r="E275" t="s">
        <v>400</v>
      </c>
      <c r="F275">
        <v>34.68</v>
      </c>
      <c r="G275">
        <v>6</v>
      </c>
      <c r="H275">
        <v>16.993200000000002</v>
      </c>
      <c r="I275">
        <v>7</v>
      </c>
      <c r="J275">
        <v>2011</v>
      </c>
      <c r="K275" t="s">
        <v>2207</v>
      </c>
      <c r="L275" t="str">
        <f>TEXT(maintable_2[[#This Row],[Order Date]],"mmmm")</f>
        <v>December</v>
      </c>
    </row>
    <row r="276" spans="1:12" x14ac:dyDescent="0.3">
      <c r="A276" s="1">
        <v>41589</v>
      </c>
      <c r="B276" s="1">
        <v>41591</v>
      </c>
      <c r="C276" t="s">
        <v>401</v>
      </c>
      <c r="D276" t="s">
        <v>27</v>
      </c>
      <c r="E276" t="s">
        <v>402</v>
      </c>
      <c r="F276">
        <v>155.82</v>
      </c>
      <c r="G276">
        <v>7</v>
      </c>
      <c r="H276">
        <v>42.071399999999997</v>
      </c>
      <c r="I276">
        <v>2</v>
      </c>
      <c r="J276">
        <v>2013</v>
      </c>
      <c r="K276" t="s">
        <v>2209</v>
      </c>
      <c r="L276" t="str">
        <f>TEXT(maintable_2[[#This Row],[Order Date]],"mmmm")</f>
        <v>November</v>
      </c>
    </row>
    <row r="277" spans="1:12" x14ac:dyDescent="0.3">
      <c r="A277" s="1">
        <v>41589</v>
      </c>
      <c r="B277" s="1">
        <v>41591</v>
      </c>
      <c r="C277" t="s">
        <v>401</v>
      </c>
      <c r="D277" t="s">
        <v>17</v>
      </c>
      <c r="E277" t="s">
        <v>403</v>
      </c>
      <c r="F277">
        <v>70.007999999999996</v>
      </c>
      <c r="G277">
        <v>3</v>
      </c>
      <c r="H277">
        <v>24.502800000000001</v>
      </c>
      <c r="I277">
        <v>2</v>
      </c>
      <c r="J277">
        <v>2013</v>
      </c>
      <c r="K277" t="s">
        <v>2209</v>
      </c>
      <c r="L277" t="str">
        <f>TEXT(maintable_2[[#This Row],[Order Date]],"mmmm")</f>
        <v>November</v>
      </c>
    </row>
    <row r="278" spans="1:12" x14ac:dyDescent="0.3">
      <c r="A278" s="1">
        <v>41373</v>
      </c>
      <c r="B278" s="1">
        <v>41377</v>
      </c>
      <c r="C278" t="s">
        <v>308</v>
      </c>
      <c r="D278" t="s">
        <v>44</v>
      </c>
      <c r="E278" t="s">
        <v>404</v>
      </c>
      <c r="F278">
        <v>20.04</v>
      </c>
      <c r="G278">
        <v>3</v>
      </c>
      <c r="H278">
        <v>9.6191999999999993</v>
      </c>
      <c r="I278">
        <v>4</v>
      </c>
      <c r="J278">
        <v>2013</v>
      </c>
      <c r="K278" t="s">
        <v>2208</v>
      </c>
      <c r="L278" t="str">
        <f>TEXT(maintable_2[[#This Row],[Order Date]],"mmmm")</f>
        <v>April</v>
      </c>
    </row>
    <row r="279" spans="1:12" x14ac:dyDescent="0.3">
      <c r="A279" s="1">
        <v>41373</v>
      </c>
      <c r="B279" s="1">
        <v>41377</v>
      </c>
      <c r="C279" t="s">
        <v>308</v>
      </c>
      <c r="D279" t="s">
        <v>27</v>
      </c>
      <c r="E279" t="s">
        <v>405</v>
      </c>
      <c r="F279">
        <v>64.959999999999994</v>
      </c>
      <c r="G279">
        <v>2</v>
      </c>
      <c r="H279">
        <v>2.5983999999999998</v>
      </c>
      <c r="I279">
        <v>4</v>
      </c>
      <c r="J279">
        <v>2013</v>
      </c>
      <c r="K279" t="s">
        <v>2208</v>
      </c>
      <c r="L279" t="str">
        <f>TEXT(maintable_2[[#This Row],[Order Date]],"mmmm")</f>
        <v>April</v>
      </c>
    </row>
    <row r="280" spans="1:12" x14ac:dyDescent="0.3">
      <c r="A280" s="1">
        <v>41373</v>
      </c>
      <c r="B280" s="1">
        <v>41377</v>
      </c>
      <c r="C280" t="s">
        <v>308</v>
      </c>
      <c r="D280" t="s">
        <v>44</v>
      </c>
      <c r="E280" t="s">
        <v>406</v>
      </c>
      <c r="F280">
        <v>12.96</v>
      </c>
      <c r="G280">
        <v>2</v>
      </c>
      <c r="H280">
        <v>6.2207999999999997</v>
      </c>
      <c r="I280">
        <v>4</v>
      </c>
      <c r="J280">
        <v>2013</v>
      </c>
      <c r="K280" t="s">
        <v>2208</v>
      </c>
      <c r="L280" t="str">
        <f>TEXT(maintable_2[[#This Row],[Order Date]],"mmmm")</f>
        <v>April</v>
      </c>
    </row>
    <row r="281" spans="1:12" x14ac:dyDescent="0.3">
      <c r="A281" s="1">
        <v>41949</v>
      </c>
      <c r="B281" s="1">
        <v>41950</v>
      </c>
      <c r="C281" t="s">
        <v>39</v>
      </c>
      <c r="D281" t="s">
        <v>37</v>
      </c>
      <c r="E281" t="s">
        <v>177</v>
      </c>
      <c r="F281">
        <v>159.99</v>
      </c>
      <c r="G281">
        <v>1</v>
      </c>
      <c r="H281">
        <v>54.396599999999999</v>
      </c>
      <c r="I281">
        <v>1</v>
      </c>
      <c r="J281">
        <v>2014</v>
      </c>
      <c r="K281" t="s">
        <v>2209</v>
      </c>
      <c r="L281" t="str">
        <f>TEXT(maintable_2[[#This Row],[Order Date]],"mmmm")</f>
        <v>November</v>
      </c>
    </row>
    <row r="282" spans="1:12" x14ac:dyDescent="0.3">
      <c r="A282" s="1">
        <v>41256</v>
      </c>
      <c r="B282" s="1">
        <v>41260</v>
      </c>
      <c r="C282" t="s">
        <v>407</v>
      </c>
      <c r="D282" t="s">
        <v>44</v>
      </c>
      <c r="E282" t="s">
        <v>408</v>
      </c>
      <c r="F282">
        <v>12.96</v>
      </c>
      <c r="G282">
        <v>2</v>
      </c>
      <c r="H282">
        <v>6.2207999999999997</v>
      </c>
      <c r="I282">
        <v>4</v>
      </c>
      <c r="J282">
        <v>2012</v>
      </c>
      <c r="K282" t="s">
        <v>2207</v>
      </c>
      <c r="L282" t="str">
        <f>TEXT(maintable_2[[#This Row],[Order Date]],"mmmm")</f>
        <v>December</v>
      </c>
    </row>
    <row r="283" spans="1:12" x14ac:dyDescent="0.3">
      <c r="A283" s="1">
        <v>41256</v>
      </c>
      <c r="B283" s="1">
        <v>41260</v>
      </c>
      <c r="C283" t="s">
        <v>407</v>
      </c>
      <c r="D283" t="s">
        <v>19</v>
      </c>
      <c r="E283" t="s">
        <v>409</v>
      </c>
      <c r="F283">
        <v>134.47999999999999</v>
      </c>
      <c r="G283">
        <v>4</v>
      </c>
      <c r="H283">
        <v>34.964799999999997</v>
      </c>
      <c r="I283">
        <v>4</v>
      </c>
      <c r="J283">
        <v>2012</v>
      </c>
      <c r="K283" t="s">
        <v>2207</v>
      </c>
      <c r="L283" t="str">
        <f>TEXT(maintable_2[[#This Row],[Order Date]],"mmmm")</f>
        <v>December</v>
      </c>
    </row>
    <row r="284" spans="1:12" x14ac:dyDescent="0.3">
      <c r="A284" s="1">
        <v>41445</v>
      </c>
      <c r="B284" s="1">
        <v>41446</v>
      </c>
      <c r="C284" t="s">
        <v>410</v>
      </c>
      <c r="D284" t="s">
        <v>44</v>
      </c>
      <c r="E284" t="s">
        <v>411</v>
      </c>
      <c r="F284">
        <v>17.12</v>
      </c>
      <c r="G284">
        <v>2</v>
      </c>
      <c r="H284">
        <v>8.0464000000000002</v>
      </c>
      <c r="I284">
        <v>1</v>
      </c>
      <c r="J284">
        <v>2013</v>
      </c>
      <c r="K284" t="s">
        <v>2206</v>
      </c>
      <c r="L284" t="str">
        <f>TEXT(maintable_2[[#This Row],[Order Date]],"mmmm")</f>
        <v>June</v>
      </c>
    </row>
    <row r="285" spans="1:12" x14ac:dyDescent="0.3">
      <c r="A285" s="1">
        <v>41622</v>
      </c>
      <c r="B285" s="1">
        <v>41629</v>
      </c>
      <c r="C285" t="s">
        <v>412</v>
      </c>
      <c r="D285" t="s">
        <v>17</v>
      </c>
      <c r="E285" t="s">
        <v>413</v>
      </c>
      <c r="F285">
        <v>6.0960000000000001</v>
      </c>
      <c r="G285">
        <v>2</v>
      </c>
      <c r="H285">
        <v>2.2098</v>
      </c>
      <c r="I285">
        <v>7</v>
      </c>
      <c r="J285">
        <v>2013</v>
      </c>
      <c r="K285" t="s">
        <v>2207</v>
      </c>
      <c r="L285" t="str">
        <f>TEXT(maintable_2[[#This Row],[Order Date]],"mmmm")</f>
        <v>December</v>
      </c>
    </row>
    <row r="286" spans="1:12" x14ac:dyDescent="0.3">
      <c r="A286" s="1">
        <v>41622</v>
      </c>
      <c r="B286" s="1">
        <v>41629</v>
      </c>
      <c r="C286" t="s">
        <v>412</v>
      </c>
      <c r="D286" t="s">
        <v>21</v>
      </c>
      <c r="E286" t="s">
        <v>34</v>
      </c>
      <c r="F286">
        <v>1114.2719999999999</v>
      </c>
      <c r="G286">
        <v>4</v>
      </c>
      <c r="H286">
        <v>41.785200000000003</v>
      </c>
      <c r="I286">
        <v>7</v>
      </c>
      <c r="J286">
        <v>2013</v>
      </c>
      <c r="K286" t="s">
        <v>2207</v>
      </c>
      <c r="L286" t="str">
        <f>TEXT(maintable_2[[#This Row],[Order Date]],"mmmm")</f>
        <v>December</v>
      </c>
    </row>
    <row r="287" spans="1:12" x14ac:dyDescent="0.3">
      <c r="A287" s="1">
        <v>41058</v>
      </c>
      <c r="B287" s="1">
        <v>41063</v>
      </c>
      <c r="C287" t="s">
        <v>414</v>
      </c>
      <c r="D287" t="s">
        <v>44</v>
      </c>
      <c r="E287" t="s">
        <v>301</v>
      </c>
      <c r="F287">
        <v>32.4</v>
      </c>
      <c r="G287">
        <v>5</v>
      </c>
      <c r="H287">
        <v>15.552</v>
      </c>
      <c r="I287">
        <v>5</v>
      </c>
      <c r="J287">
        <v>2012</v>
      </c>
      <c r="K287" t="s">
        <v>2208</v>
      </c>
      <c r="L287" t="str">
        <f>TEXT(maintable_2[[#This Row],[Order Date]],"mmmm")</f>
        <v>May</v>
      </c>
    </row>
    <row r="288" spans="1:12" x14ac:dyDescent="0.3">
      <c r="A288" s="1">
        <v>41058</v>
      </c>
      <c r="B288" s="1">
        <v>41063</v>
      </c>
      <c r="C288" t="s">
        <v>414</v>
      </c>
      <c r="D288" t="s">
        <v>27</v>
      </c>
      <c r="E288" t="s">
        <v>415</v>
      </c>
      <c r="F288">
        <v>540.57000000000005</v>
      </c>
      <c r="G288">
        <v>3</v>
      </c>
      <c r="H288">
        <v>140.54820000000001</v>
      </c>
      <c r="I288">
        <v>5</v>
      </c>
      <c r="J288">
        <v>2012</v>
      </c>
      <c r="K288" t="s">
        <v>2208</v>
      </c>
      <c r="L288" t="str">
        <f>TEXT(maintable_2[[#This Row],[Order Date]],"mmmm")</f>
        <v>May</v>
      </c>
    </row>
    <row r="289" spans="1:12" x14ac:dyDescent="0.3">
      <c r="A289" s="1">
        <v>41058</v>
      </c>
      <c r="B289" s="1">
        <v>41063</v>
      </c>
      <c r="C289" t="s">
        <v>414</v>
      </c>
      <c r="D289" t="s">
        <v>17</v>
      </c>
      <c r="E289" t="s">
        <v>416</v>
      </c>
      <c r="F289">
        <v>167.76</v>
      </c>
      <c r="G289">
        <v>5</v>
      </c>
      <c r="H289">
        <v>62.91</v>
      </c>
      <c r="I289">
        <v>5</v>
      </c>
      <c r="J289">
        <v>2012</v>
      </c>
      <c r="K289" t="s">
        <v>2208</v>
      </c>
      <c r="L289" t="str">
        <f>TEXT(maintable_2[[#This Row],[Order Date]],"mmmm")</f>
        <v>May</v>
      </c>
    </row>
    <row r="290" spans="1:12" x14ac:dyDescent="0.3">
      <c r="A290" s="1">
        <v>41116</v>
      </c>
      <c r="B290" s="1">
        <v>41118</v>
      </c>
      <c r="C290" t="s">
        <v>417</v>
      </c>
      <c r="D290" t="s">
        <v>21</v>
      </c>
      <c r="E290" t="s">
        <v>418</v>
      </c>
      <c r="F290">
        <v>393.16500000000002</v>
      </c>
      <c r="G290">
        <v>3</v>
      </c>
      <c r="H290">
        <v>-204.44579999999999</v>
      </c>
      <c r="I290">
        <v>2</v>
      </c>
      <c r="J290">
        <v>2012</v>
      </c>
      <c r="K290" t="s">
        <v>2206</v>
      </c>
      <c r="L290" t="str">
        <f>TEXT(maintable_2[[#This Row],[Order Date]],"mmmm")</f>
        <v>July</v>
      </c>
    </row>
    <row r="291" spans="1:12" x14ac:dyDescent="0.3">
      <c r="A291" s="1">
        <v>41775</v>
      </c>
      <c r="B291" s="1">
        <v>41778</v>
      </c>
      <c r="C291" t="s">
        <v>419</v>
      </c>
      <c r="D291" t="s">
        <v>15</v>
      </c>
      <c r="E291" t="s">
        <v>420</v>
      </c>
      <c r="F291">
        <v>29.591999999999999</v>
      </c>
      <c r="G291">
        <v>1</v>
      </c>
      <c r="H291">
        <v>2.5893000000000002</v>
      </c>
      <c r="I291">
        <v>3</v>
      </c>
      <c r="J291">
        <v>2014</v>
      </c>
      <c r="K291" t="s">
        <v>2208</v>
      </c>
      <c r="L291" t="str">
        <f>TEXT(maintable_2[[#This Row],[Order Date]],"mmmm")</f>
        <v>May</v>
      </c>
    </row>
    <row r="292" spans="1:12" x14ac:dyDescent="0.3">
      <c r="A292" s="1">
        <v>41775</v>
      </c>
      <c r="B292" s="1">
        <v>41778</v>
      </c>
      <c r="C292" t="s">
        <v>419</v>
      </c>
      <c r="D292" t="s">
        <v>17</v>
      </c>
      <c r="E292" t="s">
        <v>421</v>
      </c>
      <c r="F292">
        <v>4.7519999999999998</v>
      </c>
      <c r="G292">
        <v>2</v>
      </c>
      <c r="H292">
        <v>-3.1680000000000001</v>
      </c>
      <c r="I292">
        <v>3</v>
      </c>
      <c r="J292">
        <v>2014</v>
      </c>
      <c r="K292" t="s">
        <v>2208</v>
      </c>
      <c r="L292" t="str">
        <f>TEXT(maintable_2[[#This Row],[Order Date]],"mmmm")</f>
        <v>May</v>
      </c>
    </row>
    <row r="293" spans="1:12" x14ac:dyDescent="0.3">
      <c r="A293" s="1">
        <v>41775</v>
      </c>
      <c r="B293" s="1">
        <v>41778</v>
      </c>
      <c r="C293" t="s">
        <v>419</v>
      </c>
      <c r="D293" t="s">
        <v>44</v>
      </c>
      <c r="E293" t="s">
        <v>422</v>
      </c>
      <c r="F293">
        <v>15.552</v>
      </c>
      <c r="G293">
        <v>3</v>
      </c>
      <c r="H293">
        <v>5.6375999999999999</v>
      </c>
      <c r="I293">
        <v>3</v>
      </c>
      <c r="J293">
        <v>2014</v>
      </c>
      <c r="K293" t="s">
        <v>2208</v>
      </c>
      <c r="L293" t="str">
        <f>TEXT(maintable_2[[#This Row],[Order Date]],"mmmm")</f>
        <v>May</v>
      </c>
    </row>
    <row r="294" spans="1:12" x14ac:dyDescent="0.3">
      <c r="A294" s="1">
        <v>41174</v>
      </c>
      <c r="B294" s="1">
        <v>41174</v>
      </c>
      <c r="C294" t="s">
        <v>423</v>
      </c>
      <c r="D294" t="s">
        <v>11</v>
      </c>
      <c r="E294" t="s">
        <v>424</v>
      </c>
      <c r="F294">
        <v>204.6</v>
      </c>
      <c r="G294">
        <v>2</v>
      </c>
      <c r="H294">
        <v>53.195999999999998</v>
      </c>
      <c r="I294">
        <v>0</v>
      </c>
      <c r="J294">
        <v>2012</v>
      </c>
      <c r="K294" t="s">
        <v>2209</v>
      </c>
      <c r="L294" t="str">
        <f>TEXT(maintable_2[[#This Row],[Order Date]],"mmmm")</f>
        <v>September</v>
      </c>
    </row>
    <row r="295" spans="1:12" x14ac:dyDescent="0.3">
      <c r="A295" s="1">
        <v>41958</v>
      </c>
      <c r="B295" s="1">
        <v>41963</v>
      </c>
      <c r="C295" t="s">
        <v>425</v>
      </c>
      <c r="D295" t="s">
        <v>71</v>
      </c>
      <c r="E295" t="s">
        <v>127</v>
      </c>
      <c r="F295">
        <v>321.56799999999998</v>
      </c>
      <c r="G295">
        <v>2</v>
      </c>
      <c r="H295">
        <v>28.1372</v>
      </c>
      <c r="I295">
        <v>5</v>
      </c>
      <c r="J295">
        <v>2014</v>
      </c>
      <c r="K295" t="s">
        <v>2209</v>
      </c>
      <c r="L295" t="str">
        <f>TEXT(maintable_2[[#This Row],[Order Date]],"mmmm")</f>
        <v>November</v>
      </c>
    </row>
    <row r="296" spans="1:12" x14ac:dyDescent="0.3">
      <c r="A296" s="1">
        <v>41519</v>
      </c>
      <c r="B296" s="1">
        <v>41522</v>
      </c>
      <c r="C296" t="s">
        <v>426</v>
      </c>
      <c r="D296" t="s">
        <v>86</v>
      </c>
      <c r="E296" t="s">
        <v>427</v>
      </c>
      <c r="F296">
        <v>21.88</v>
      </c>
      <c r="G296">
        <v>2</v>
      </c>
      <c r="H296">
        <v>10.94</v>
      </c>
      <c r="I296">
        <v>3</v>
      </c>
      <c r="J296">
        <v>2013</v>
      </c>
      <c r="K296" t="s">
        <v>2209</v>
      </c>
      <c r="L296" t="str">
        <f>TEXT(maintable_2[[#This Row],[Order Date]],"mmmm")</f>
        <v>September</v>
      </c>
    </row>
    <row r="297" spans="1:12" x14ac:dyDescent="0.3">
      <c r="A297" s="1">
        <v>41830</v>
      </c>
      <c r="B297" s="1">
        <v>41836</v>
      </c>
      <c r="C297" t="s">
        <v>428</v>
      </c>
      <c r="D297" t="s">
        <v>17</v>
      </c>
      <c r="E297" t="s">
        <v>429</v>
      </c>
      <c r="F297">
        <v>1.08</v>
      </c>
      <c r="G297">
        <v>2</v>
      </c>
      <c r="H297">
        <v>-0.79200000000000004</v>
      </c>
      <c r="I297">
        <v>6</v>
      </c>
      <c r="J297">
        <v>2014</v>
      </c>
      <c r="K297" t="s">
        <v>2206</v>
      </c>
      <c r="L297" t="str">
        <f>TEXT(maintable_2[[#This Row],[Order Date]],"mmmm")</f>
        <v>July</v>
      </c>
    </row>
    <row r="298" spans="1:12" x14ac:dyDescent="0.3">
      <c r="A298" s="1">
        <v>40858</v>
      </c>
      <c r="B298" s="1">
        <v>40861</v>
      </c>
      <c r="C298" t="s">
        <v>430</v>
      </c>
      <c r="D298" t="s">
        <v>13</v>
      </c>
      <c r="E298" t="s">
        <v>431</v>
      </c>
      <c r="F298">
        <v>3.3919999999999999</v>
      </c>
      <c r="G298">
        <v>1</v>
      </c>
      <c r="H298">
        <v>0.80559999999999998</v>
      </c>
      <c r="I298">
        <v>3</v>
      </c>
      <c r="J298">
        <v>2011</v>
      </c>
      <c r="K298" t="s">
        <v>2209</v>
      </c>
      <c r="L298" t="str">
        <f>TEXT(maintable_2[[#This Row],[Order Date]],"mmmm")</f>
        <v>November</v>
      </c>
    </row>
    <row r="299" spans="1:12" x14ac:dyDescent="0.3">
      <c r="A299" s="1">
        <v>40858</v>
      </c>
      <c r="B299" s="1">
        <v>40861</v>
      </c>
      <c r="C299" t="s">
        <v>430</v>
      </c>
      <c r="D299" t="s">
        <v>15</v>
      </c>
      <c r="E299" t="s">
        <v>432</v>
      </c>
      <c r="F299">
        <v>559.98400000000004</v>
      </c>
      <c r="G299">
        <v>2</v>
      </c>
      <c r="H299">
        <v>55.998399999999997</v>
      </c>
      <c r="I299">
        <v>3</v>
      </c>
      <c r="J299">
        <v>2011</v>
      </c>
      <c r="K299" t="s">
        <v>2209</v>
      </c>
      <c r="L299" t="str">
        <f>TEXT(maintable_2[[#This Row],[Order Date]],"mmmm")</f>
        <v>November</v>
      </c>
    </row>
    <row r="300" spans="1:12" x14ac:dyDescent="0.3">
      <c r="A300" s="1">
        <v>40858</v>
      </c>
      <c r="B300" s="1">
        <v>40861</v>
      </c>
      <c r="C300" t="s">
        <v>430</v>
      </c>
      <c r="D300" t="s">
        <v>71</v>
      </c>
      <c r="E300" t="s">
        <v>433</v>
      </c>
      <c r="F300">
        <v>603.91999999999996</v>
      </c>
      <c r="G300">
        <v>5</v>
      </c>
      <c r="H300">
        <v>75.489999999999995</v>
      </c>
      <c r="I300">
        <v>3</v>
      </c>
      <c r="J300">
        <v>2011</v>
      </c>
      <c r="K300" t="s">
        <v>2209</v>
      </c>
      <c r="L300" t="str">
        <f>TEXT(maintable_2[[#This Row],[Order Date]],"mmmm")</f>
        <v>November</v>
      </c>
    </row>
    <row r="301" spans="1:12" x14ac:dyDescent="0.3">
      <c r="A301" s="1">
        <v>41513</v>
      </c>
      <c r="B301" s="1">
        <v>41514</v>
      </c>
      <c r="C301" t="s">
        <v>434</v>
      </c>
      <c r="D301" t="s">
        <v>78</v>
      </c>
      <c r="E301" t="s">
        <v>435</v>
      </c>
      <c r="F301">
        <v>10.23</v>
      </c>
      <c r="G301">
        <v>3</v>
      </c>
      <c r="H301">
        <v>4.9104000000000001</v>
      </c>
      <c r="I301">
        <v>1</v>
      </c>
      <c r="J301">
        <v>2013</v>
      </c>
      <c r="K301" t="s">
        <v>2206</v>
      </c>
      <c r="L301" t="str">
        <f>TEXT(maintable_2[[#This Row],[Order Date]],"mmmm")</f>
        <v>August</v>
      </c>
    </row>
    <row r="302" spans="1:12" x14ac:dyDescent="0.3">
      <c r="A302" s="1">
        <v>41513</v>
      </c>
      <c r="B302" s="1">
        <v>41514</v>
      </c>
      <c r="C302" t="s">
        <v>434</v>
      </c>
      <c r="D302" t="s">
        <v>44</v>
      </c>
      <c r="E302" t="s">
        <v>436</v>
      </c>
      <c r="F302">
        <v>154.9</v>
      </c>
      <c r="G302">
        <v>5</v>
      </c>
      <c r="H302">
        <v>69.704999999999998</v>
      </c>
      <c r="I302">
        <v>1</v>
      </c>
      <c r="J302">
        <v>2013</v>
      </c>
      <c r="K302" t="s">
        <v>2206</v>
      </c>
      <c r="L302" t="str">
        <f>TEXT(maintable_2[[#This Row],[Order Date]],"mmmm")</f>
        <v>August</v>
      </c>
    </row>
    <row r="303" spans="1:12" x14ac:dyDescent="0.3">
      <c r="A303" s="1">
        <v>41592</v>
      </c>
      <c r="B303" s="1">
        <v>41596</v>
      </c>
      <c r="C303" t="s">
        <v>112</v>
      </c>
      <c r="D303" t="s">
        <v>13</v>
      </c>
      <c r="E303" t="s">
        <v>437</v>
      </c>
      <c r="F303">
        <v>44.02</v>
      </c>
      <c r="G303">
        <v>2</v>
      </c>
      <c r="H303">
        <v>11.4452</v>
      </c>
      <c r="I303">
        <v>4</v>
      </c>
      <c r="J303">
        <v>2013</v>
      </c>
      <c r="K303" t="s">
        <v>2209</v>
      </c>
      <c r="L303" t="str">
        <f>TEXT(maintable_2[[#This Row],[Order Date]],"mmmm")</f>
        <v>November</v>
      </c>
    </row>
    <row r="304" spans="1:12" x14ac:dyDescent="0.3">
      <c r="A304" s="1">
        <v>41148</v>
      </c>
      <c r="B304" s="1">
        <v>41152</v>
      </c>
      <c r="C304" t="s">
        <v>438</v>
      </c>
      <c r="D304" t="s">
        <v>27</v>
      </c>
      <c r="E304" t="s">
        <v>439</v>
      </c>
      <c r="F304">
        <v>484.65</v>
      </c>
      <c r="G304">
        <v>3</v>
      </c>
      <c r="H304">
        <v>92.083500000000001</v>
      </c>
      <c r="I304">
        <v>4</v>
      </c>
      <c r="J304">
        <v>2012</v>
      </c>
      <c r="K304" t="s">
        <v>2206</v>
      </c>
      <c r="L304" t="str">
        <f>TEXT(maintable_2[[#This Row],[Order Date]],"mmmm")</f>
        <v>August</v>
      </c>
    </row>
    <row r="305" spans="1:12" x14ac:dyDescent="0.3">
      <c r="A305" s="1">
        <v>41219</v>
      </c>
      <c r="B305" s="1">
        <v>41222</v>
      </c>
      <c r="C305" t="s">
        <v>440</v>
      </c>
      <c r="D305" t="s">
        <v>86</v>
      </c>
      <c r="E305" t="s">
        <v>441</v>
      </c>
      <c r="F305">
        <v>7.08</v>
      </c>
      <c r="G305">
        <v>3</v>
      </c>
      <c r="H305">
        <v>2.4780000000000002</v>
      </c>
      <c r="I305">
        <v>3</v>
      </c>
      <c r="J305">
        <v>2012</v>
      </c>
      <c r="K305" t="s">
        <v>2209</v>
      </c>
      <c r="L305" t="str">
        <f>TEXT(maintable_2[[#This Row],[Order Date]],"mmmm")</f>
        <v>November</v>
      </c>
    </row>
    <row r="306" spans="1:12" x14ac:dyDescent="0.3">
      <c r="A306" s="1">
        <v>41219</v>
      </c>
      <c r="B306" s="1">
        <v>41222</v>
      </c>
      <c r="C306" t="s">
        <v>440</v>
      </c>
      <c r="D306" t="s">
        <v>17</v>
      </c>
      <c r="E306" t="s">
        <v>442</v>
      </c>
      <c r="F306">
        <v>4.4009999999999998</v>
      </c>
      <c r="G306">
        <v>3</v>
      </c>
      <c r="H306">
        <v>-3.5207999999999999</v>
      </c>
      <c r="I306">
        <v>3</v>
      </c>
      <c r="J306">
        <v>2012</v>
      </c>
      <c r="K306" t="s">
        <v>2209</v>
      </c>
      <c r="L306" t="str">
        <f>TEXT(maintable_2[[#This Row],[Order Date]],"mmmm")</f>
        <v>November</v>
      </c>
    </row>
    <row r="307" spans="1:12" x14ac:dyDescent="0.3">
      <c r="A307" s="1">
        <v>40871</v>
      </c>
      <c r="B307" s="1">
        <v>40873</v>
      </c>
      <c r="C307" t="s">
        <v>443</v>
      </c>
      <c r="D307" t="s">
        <v>11</v>
      </c>
      <c r="E307" t="s">
        <v>444</v>
      </c>
      <c r="F307">
        <v>151.72</v>
      </c>
      <c r="G307">
        <v>4</v>
      </c>
      <c r="H307">
        <v>27.3096</v>
      </c>
      <c r="I307">
        <v>2</v>
      </c>
      <c r="J307">
        <v>2011</v>
      </c>
      <c r="K307" t="s">
        <v>2209</v>
      </c>
      <c r="L307" t="str">
        <f>TEXT(maintable_2[[#This Row],[Order Date]],"mmmm")</f>
        <v>November</v>
      </c>
    </row>
    <row r="308" spans="1:12" x14ac:dyDescent="0.3">
      <c r="A308" s="1">
        <v>41808</v>
      </c>
      <c r="B308" s="1">
        <v>41812</v>
      </c>
      <c r="C308" t="s">
        <v>445</v>
      </c>
      <c r="D308" t="s">
        <v>11</v>
      </c>
      <c r="E308" t="s">
        <v>446</v>
      </c>
      <c r="F308">
        <v>155.25</v>
      </c>
      <c r="G308">
        <v>3</v>
      </c>
      <c r="H308">
        <v>46.575000000000003</v>
      </c>
      <c r="I308">
        <v>4</v>
      </c>
      <c r="J308">
        <v>2014</v>
      </c>
      <c r="K308" t="s">
        <v>2206</v>
      </c>
      <c r="L308" t="str">
        <f>TEXT(maintable_2[[#This Row],[Order Date]],"mmmm")</f>
        <v>June</v>
      </c>
    </row>
    <row r="309" spans="1:12" x14ac:dyDescent="0.3">
      <c r="A309" s="1">
        <v>41808</v>
      </c>
      <c r="B309" s="1">
        <v>41812</v>
      </c>
      <c r="C309" t="s">
        <v>445</v>
      </c>
      <c r="D309" t="s">
        <v>27</v>
      </c>
      <c r="E309" t="s">
        <v>447</v>
      </c>
      <c r="F309">
        <v>14.03</v>
      </c>
      <c r="G309">
        <v>1</v>
      </c>
      <c r="H309">
        <v>4.0686999999999998</v>
      </c>
      <c r="I309">
        <v>4</v>
      </c>
      <c r="J309">
        <v>2014</v>
      </c>
      <c r="K309" t="s">
        <v>2206</v>
      </c>
      <c r="L309" t="str">
        <f>TEXT(maintable_2[[#This Row],[Order Date]],"mmmm")</f>
        <v>June</v>
      </c>
    </row>
    <row r="310" spans="1:12" x14ac:dyDescent="0.3">
      <c r="A310" s="1">
        <v>41264</v>
      </c>
      <c r="B310" s="1">
        <v>41267</v>
      </c>
      <c r="C310" t="s">
        <v>448</v>
      </c>
      <c r="D310" t="s">
        <v>21</v>
      </c>
      <c r="E310" t="s">
        <v>449</v>
      </c>
      <c r="F310">
        <v>1618.37</v>
      </c>
      <c r="G310">
        <v>13</v>
      </c>
      <c r="H310">
        <v>356.04140000000001</v>
      </c>
      <c r="I310">
        <v>3</v>
      </c>
      <c r="J310">
        <v>2012</v>
      </c>
      <c r="K310" t="s">
        <v>2207</v>
      </c>
      <c r="L310" t="str">
        <f>TEXT(maintable_2[[#This Row],[Order Date]],"mmmm")</f>
        <v>December</v>
      </c>
    </row>
    <row r="311" spans="1:12" x14ac:dyDescent="0.3">
      <c r="A311" s="1">
        <v>41264</v>
      </c>
      <c r="B311" s="1">
        <v>41267</v>
      </c>
      <c r="C311" t="s">
        <v>448</v>
      </c>
      <c r="D311" t="s">
        <v>37</v>
      </c>
      <c r="E311" t="s">
        <v>450</v>
      </c>
      <c r="F311">
        <v>99.6</v>
      </c>
      <c r="G311">
        <v>1</v>
      </c>
      <c r="H311">
        <v>36.851999999999997</v>
      </c>
      <c r="I311">
        <v>3</v>
      </c>
      <c r="J311">
        <v>2012</v>
      </c>
      <c r="K311" t="s">
        <v>2207</v>
      </c>
      <c r="L311" t="str">
        <f>TEXT(maintable_2[[#This Row],[Order Date]],"mmmm")</f>
        <v>December</v>
      </c>
    </row>
    <row r="312" spans="1:12" x14ac:dyDescent="0.3">
      <c r="A312" s="1">
        <v>41169</v>
      </c>
      <c r="B312" s="1">
        <v>41171</v>
      </c>
      <c r="C312" t="s">
        <v>451</v>
      </c>
      <c r="D312" t="s">
        <v>44</v>
      </c>
      <c r="E312" t="s">
        <v>145</v>
      </c>
      <c r="F312">
        <v>32.4</v>
      </c>
      <c r="G312">
        <v>5</v>
      </c>
      <c r="H312">
        <v>15.552</v>
      </c>
      <c r="I312">
        <v>2</v>
      </c>
      <c r="J312">
        <v>2012</v>
      </c>
      <c r="K312" t="s">
        <v>2209</v>
      </c>
      <c r="L312" t="str">
        <f>TEXT(maintable_2[[#This Row],[Order Date]],"mmmm")</f>
        <v>September</v>
      </c>
    </row>
    <row r="313" spans="1:12" x14ac:dyDescent="0.3">
      <c r="A313" s="1">
        <v>41991</v>
      </c>
      <c r="B313" s="1">
        <v>41994</v>
      </c>
      <c r="C313" t="s">
        <v>452</v>
      </c>
      <c r="D313" t="s">
        <v>17</v>
      </c>
      <c r="E313" t="s">
        <v>453</v>
      </c>
      <c r="F313">
        <v>11.808</v>
      </c>
      <c r="G313">
        <v>2</v>
      </c>
      <c r="H313">
        <v>4.2804000000000002</v>
      </c>
      <c r="I313">
        <v>3</v>
      </c>
      <c r="J313">
        <v>2014</v>
      </c>
      <c r="K313" t="s">
        <v>2207</v>
      </c>
      <c r="L313" t="str">
        <f>TEXT(maintable_2[[#This Row],[Order Date]],"mmmm")</f>
        <v>December</v>
      </c>
    </row>
    <row r="314" spans="1:12" x14ac:dyDescent="0.3">
      <c r="A314" s="1">
        <v>41073</v>
      </c>
      <c r="B314" s="1">
        <v>41074</v>
      </c>
      <c r="C314" t="s">
        <v>454</v>
      </c>
      <c r="D314" t="s">
        <v>17</v>
      </c>
      <c r="E314" t="s">
        <v>455</v>
      </c>
      <c r="F314">
        <v>36.624000000000002</v>
      </c>
      <c r="G314">
        <v>3</v>
      </c>
      <c r="H314">
        <v>13.734</v>
      </c>
      <c r="I314">
        <v>1</v>
      </c>
      <c r="J314">
        <v>2012</v>
      </c>
      <c r="K314" t="s">
        <v>2206</v>
      </c>
      <c r="L314" t="str">
        <f>TEXT(maintable_2[[#This Row],[Order Date]],"mmmm")</f>
        <v>June</v>
      </c>
    </row>
    <row r="315" spans="1:12" x14ac:dyDescent="0.3">
      <c r="A315" s="1">
        <v>40690</v>
      </c>
      <c r="B315" s="1">
        <v>40695</v>
      </c>
      <c r="C315" t="s">
        <v>74</v>
      </c>
      <c r="D315" t="s">
        <v>15</v>
      </c>
      <c r="E315" t="s">
        <v>456</v>
      </c>
      <c r="F315">
        <v>1113.5039999999999</v>
      </c>
      <c r="G315">
        <v>12</v>
      </c>
      <c r="H315">
        <v>125.2692</v>
      </c>
      <c r="I315">
        <v>5</v>
      </c>
      <c r="J315">
        <v>2011</v>
      </c>
      <c r="K315" t="s">
        <v>2208</v>
      </c>
      <c r="L315" t="str">
        <f>TEXT(maintable_2[[#This Row],[Order Date]],"mmmm")</f>
        <v>May</v>
      </c>
    </row>
    <row r="316" spans="1:12" x14ac:dyDescent="0.3">
      <c r="A316" s="1">
        <v>40690</v>
      </c>
      <c r="B316" s="1">
        <v>40695</v>
      </c>
      <c r="C316" t="s">
        <v>74</v>
      </c>
      <c r="D316" t="s">
        <v>37</v>
      </c>
      <c r="E316" t="s">
        <v>457</v>
      </c>
      <c r="F316">
        <v>99.99</v>
      </c>
      <c r="G316">
        <v>1</v>
      </c>
      <c r="H316">
        <v>37.996200000000002</v>
      </c>
      <c r="I316">
        <v>5</v>
      </c>
      <c r="J316">
        <v>2011</v>
      </c>
      <c r="K316" t="s">
        <v>2208</v>
      </c>
      <c r="L316" t="str">
        <f>TEXT(maintable_2[[#This Row],[Order Date]],"mmmm")</f>
        <v>May</v>
      </c>
    </row>
    <row r="317" spans="1:12" x14ac:dyDescent="0.3">
      <c r="A317" s="1">
        <v>41984</v>
      </c>
      <c r="B317" s="1">
        <v>41991</v>
      </c>
      <c r="C317" t="s">
        <v>152</v>
      </c>
      <c r="D317" t="s">
        <v>17</v>
      </c>
      <c r="E317" t="s">
        <v>458</v>
      </c>
      <c r="F317">
        <v>19.936</v>
      </c>
      <c r="G317">
        <v>4</v>
      </c>
      <c r="H317">
        <v>7.2267999999999999</v>
      </c>
      <c r="I317">
        <v>7</v>
      </c>
      <c r="J317">
        <v>2014</v>
      </c>
      <c r="K317" t="s">
        <v>2207</v>
      </c>
      <c r="L317" t="str">
        <f>TEXT(maintable_2[[#This Row],[Order Date]],"mmmm")</f>
        <v>December</v>
      </c>
    </row>
    <row r="318" spans="1:12" x14ac:dyDescent="0.3">
      <c r="A318" s="1">
        <v>41984</v>
      </c>
      <c r="B318" s="1">
        <v>41991</v>
      </c>
      <c r="C318" t="s">
        <v>152</v>
      </c>
      <c r="D318" t="s">
        <v>17</v>
      </c>
      <c r="E318" t="s">
        <v>459</v>
      </c>
      <c r="F318">
        <v>65.567999999999998</v>
      </c>
      <c r="G318">
        <v>2</v>
      </c>
      <c r="H318">
        <v>22.948799999999999</v>
      </c>
      <c r="I318">
        <v>7</v>
      </c>
      <c r="J318">
        <v>2014</v>
      </c>
      <c r="K318" t="s">
        <v>2207</v>
      </c>
      <c r="L318" t="str">
        <f>TEXT(maintable_2[[#This Row],[Order Date]],"mmmm")</f>
        <v>December</v>
      </c>
    </row>
    <row r="319" spans="1:12" x14ac:dyDescent="0.3">
      <c r="A319" s="1">
        <v>41549</v>
      </c>
      <c r="B319" s="1">
        <v>41550</v>
      </c>
      <c r="C319" t="s">
        <v>460</v>
      </c>
      <c r="D319" t="s">
        <v>71</v>
      </c>
      <c r="E319" t="s">
        <v>461</v>
      </c>
      <c r="F319">
        <v>194.84800000000001</v>
      </c>
      <c r="G319">
        <v>4</v>
      </c>
      <c r="H319">
        <v>12.178000000000001</v>
      </c>
      <c r="I319">
        <v>1</v>
      </c>
      <c r="J319">
        <v>2013</v>
      </c>
      <c r="K319" t="s">
        <v>2209</v>
      </c>
      <c r="L319" t="str">
        <f>TEXT(maintable_2[[#This Row],[Order Date]],"mmmm")</f>
        <v>October</v>
      </c>
    </row>
    <row r="320" spans="1:12" x14ac:dyDescent="0.3">
      <c r="A320" s="1">
        <v>41233</v>
      </c>
      <c r="B320" s="1">
        <v>41239</v>
      </c>
      <c r="C320" t="s">
        <v>462</v>
      </c>
      <c r="D320" t="s">
        <v>13</v>
      </c>
      <c r="E320" t="s">
        <v>463</v>
      </c>
      <c r="F320">
        <v>19.46</v>
      </c>
      <c r="G320">
        <v>7</v>
      </c>
      <c r="H320">
        <v>5.0595999999999997</v>
      </c>
      <c r="I320">
        <v>6</v>
      </c>
      <c r="J320">
        <v>2012</v>
      </c>
      <c r="K320" t="s">
        <v>2209</v>
      </c>
      <c r="L320" t="str">
        <f>TEXT(maintable_2[[#This Row],[Order Date]],"mmmm")</f>
        <v>November</v>
      </c>
    </row>
    <row r="321" spans="1:12" x14ac:dyDescent="0.3">
      <c r="A321" s="1">
        <v>41393</v>
      </c>
      <c r="B321" s="1">
        <v>41397</v>
      </c>
      <c r="C321" t="s">
        <v>464</v>
      </c>
      <c r="D321" t="s">
        <v>44</v>
      </c>
      <c r="E321" t="s">
        <v>465</v>
      </c>
      <c r="F321">
        <v>29.472000000000001</v>
      </c>
      <c r="G321">
        <v>3</v>
      </c>
      <c r="H321">
        <v>9.9467999999999996</v>
      </c>
      <c r="I321">
        <v>4</v>
      </c>
      <c r="J321">
        <v>2013</v>
      </c>
      <c r="K321" t="s">
        <v>2208</v>
      </c>
      <c r="L321" t="str">
        <f>TEXT(maintable_2[[#This Row],[Order Date]],"mmmm")</f>
        <v>April</v>
      </c>
    </row>
    <row r="322" spans="1:12" x14ac:dyDescent="0.3">
      <c r="A322" s="1">
        <v>41591</v>
      </c>
      <c r="B322" s="1">
        <v>41598</v>
      </c>
      <c r="C322" t="s">
        <v>466</v>
      </c>
      <c r="D322" t="s">
        <v>17</v>
      </c>
      <c r="E322" t="s">
        <v>467</v>
      </c>
      <c r="F322">
        <v>6.27</v>
      </c>
      <c r="G322">
        <v>5</v>
      </c>
      <c r="H322">
        <v>-4.5979999999999999</v>
      </c>
      <c r="I322">
        <v>7</v>
      </c>
      <c r="J322">
        <v>2013</v>
      </c>
      <c r="K322" t="s">
        <v>2209</v>
      </c>
      <c r="L322" t="str">
        <f>TEXT(maintable_2[[#This Row],[Order Date]],"mmmm")</f>
        <v>November</v>
      </c>
    </row>
    <row r="323" spans="1:12" x14ac:dyDescent="0.3">
      <c r="A323" s="1">
        <v>41591</v>
      </c>
      <c r="B323" s="1">
        <v>41598</v>
      </c>
      <c r="C323" t="s">
        <v>466</v>
      </c>
      <c r="D323" t="s">
        <v>17</v>
      </c>
      <c r="E323" t="s">
        <v>468</v>
      </c>
      <c r="F323">
        <v>4.3680000000000003</v>
      </c>
      <c r="G323">
        <v>7</v>
      </c>
      <c r="H323">
        <v>-3.3488000000000002</v>
      </c>
      <c r="I323">
        <v>7</v>
      </c>
      <c r="J323">
        <v>2013</v>
      </c>
      <c r="K323" t="s">
        <v>2209</v>
      </c>
      <c r="L323" t="str">
        <f>TEXT(maintable_2[[#This Row],[Order Date]],"mmmm")</f>
        <v>November</v>
      </c>
    </row>
    <row r="324" spans="1:12" x14ac:dyDescent="0.3">
      <c r="A324" s="1">
        <v>41591</v>
      </c>
      <c r="B324" s="1">
        <v>41598</v>
      </c>
      <c r="C324" t="s">
        <v>466</v>
      </c>
      <c r="D324" t="s">
        <v>37</v>
      </c>
      <c r="E324" t="s">
        <v>469</v>
      </c>
      <c r="F324">
        <v>31.984000000000002</v>
      </c>
      <c r="G324">
        <v>2</v>
      </c>
      <c r="H324">
        <v>1.9990000000000001</v>
      </c>
      <c r="I324">
        <v>7</v>
      </c>
      <c r="J324">
        <v>2013</v>
      </c>
      <c r="K324" t="s">
        <v>2209</v>
      </c>
      <c r="L324" t="str">
        <f>TEXT(maintable_2[[#This Row],[Order Date]],"mmmm")</f>
        <v>November</v>
      </c>
    </row>
    <row r="325" spans="1:12" x14ac:dyDescent="0.3">
      <c r="A325" s="1">
        <v>41906</v>
      </c>
      <c r="B325" s="1">
        <v>41908</v>
      </c>
      <c r="C325" t="s">
        <v>470</v>
      </c>
      <c r="D325" t="s">
        <v>19</v>
      </c>
      <c r="E325" t="s">
        <v>471</v>
      </c>
      <c r="F325">
        <v>119.96</v>
      </c>
      <c r="G325">
        <v>2</v>
      </c>
      <c r="H325">
        <v>33.588799999999999</v>
      </c>
      <c r="I325">
        <v>2</v>
      </c>
      <c r="J325">
        <v>2014</v>
      </c>
      <c r="K325" t="s">
        <v>2209</v>
      </c>
      <c r="L325" t="str">
        <f>TEXT(maintable_2[[#This Row],[Order Date]],"mmmm")</f>
        <v>September</v>
      </c>
    </row>
    <row r="326" spans="1:12" x14ac:dyDescent="0.3">
      <c r="A326" s="1">
        <v>41906</v>
      </c>
      <c r="B326" s="1">
        <v>41908</v>
      </c>
      <c r="C326" t="s">
        <v>470</v>
      </c>
      <c r="D326" t="s">
        <v>27</v>
      </c>
      <c r="E326" t="s">
        <v>263</v>
      </c>
      <c r="F326">
        <v>31.44</v>
      </c>
      <c r="G326">
        <v>3</v>
      </c>
      <c r="H326">
        <v>8.4887999999999995</v>
      </c>
      <c r="I326">
        <v>2</v>
      </c>
      <c r="J326">
        <v>2014</v>
      </c>
      <c r="K326" t="s">
        <v>2209</v>
      </c>
      <c r="L326" t="str">
        <f>TEXT(maintable_2[[#This Row],[Order Date]],"mmmm")</f>
        <v>September</v>
      </c>
    </row>
    <row r="327" spans="1:12" x14ac:dyDescent="0.3">
      <c r="A327" s="1">
        <v>41906</v>
      </c>
      <c r="B327" s="1">
        <v>41908</v>
      </c>
      <c r="C327" t="s">
        <v>470</v>
      </c>
      <c r="D327" t="s">
        <v>17</v>
      </c>
      <c r="E327" t="s">
        <v>472</v>
      </c>
      <c r="F327">
        <v>6.88</v>
      </c>
      <c r="G327">
        <v>1</v>
      </c>
      <c r="H327">
        <v>2.3220000000000001</v>
      </c>
      <c r="I327">
        <v>2</v>
      </c>
      <c r="J327">
        <v>2014</v>
      </c>
      <c r="K327" t="s">
        <v>2209</v>
      </c>
      <c r="L327" t="str">
        <f>TEXT(maintable_2[[#This Row],[Order Date]],"mmmm")</f>
        <v>September</v>
      </c>
    </row>
    <row r="328" spans="1:12" x14ac:dyDescent="0.3">
      <c r="A328" s="1">
        <v>41502</v>
      </c>
      <c r="B328" s="1">
        <v>41507</v>
      </c>
      <c r="C328" t="s">
        <v>473</v>
      </c>
      <c r="D328" t="s">
        <v>15</v>
      </c>
      <c r="E328" t="s">
        <v>474</v>
      </c>
      <c r="F328">
        <v>71.975999999999999</v>
      </c>
      <c r="G328">
        <v>3</v>
      </c>
      <c r="H328">
        <v>7.1976000000000004</v>
      </c>
      <c r="I328">
        <v>5</v>
      </c>
      <c r="J328">
        <v>2013</v>
      </c>
      <c r="K328" t="s">
        <v>2206</v>
      </c>
      <c r="L328" t="str">
        <f>TEXT(maintable_2[[#This Row],[Order Date]],"mmmm")</f>
        <v>August</v>
      </c>
    </row>
    <row r="329" spans="1:12" x14ac:dyDescent="0.3">
      <c r="A329" s="1">
        <v>41502</v>
      </c>
      <c r="B329" s="1">
        <v>41507</v>
      </c>
      <c r="C329" t="s">
        <v>473</v>
      </c>
      <c r="D329" t="s">
        <v>8</v>
      </c>
      <c r="E329" t="s">
        <v>475</v>
      </c>
      <c r="F329">
        <v>3.15</v>
      </c>
      <c r="G329">
        <v>1</v>
      </c>
      <c r="H329">
        <v>1.512</v>
      </c>
      <c r="I329">
        <v>5</v>
      </c>
      <c r="J329">
        <v>2013</v>
      </c>
      <c r="K329" t="s">
        <v>2206</v>
      </c>
      <c r="L329" t="str">
        <f>TEXT(maintable_2[[#This Row],[Order Date]],"mmmm")</f>
        <v>August</v>
      </c>
    </row>
    <row r="330" spans="1:12" x14ac:dyDescent="0.3">
      <c r="A330" s="1">
        <v>41249</v>
      </c>
      <c r="B330" s="1">
        <v>41256</v>
      </c>
      <c r="C330" t="s">
        <v>476</v>
      </c>
      <c r="D330" t="s">
        <v>13</v>
      </c>
      <c r="E330" t="s">
        <v>477</v>
      </c>
      <c r="F330">
        <v>120.15</v>
      </c>
      <c r="G330">
        <v>9</v>
      </c>
      <c r="H330">
        <v>33.642000000000003</v>
      </c>
      <c r="I330">
        <v>7</v>
      </c>
      <c r="J330">
        <v>2012</v>
      </c>
      <c r="K330" t="s">
        <v>2207</v>
      </c>
      <c r="L330" t="str">
        <f>TEXT(maintable_2[[#This Row],[Order Date]],"mmmm")</f>
        <v>December</v>
      </c>
    </row>
    <row r="331" spans="1:12" x14ac:dyDescent="0.3">
      <c r="A331" s="1">
        <v>41249</v>
      </c>
      <c r="B331" s="1">
        <v>41256</v>
      </c>
      <c r="C331" t="s">
        <v>476</v>
      </c>
      <c r="D331" t="s">
        <v>15</v>
      </c>
      <c r="E331" t="s">
        <v>478</v>
      </c>
      <c r="F331">
        <v>219.184</v>
      </c>
      <c r="G331">
        <v>2</v>
      </c>
      <c r="H331">
        <v>19.178599999999999</v>
      </c>
      <c r="I331">
        <v>7</v>
      </c>
      <c r="J331">
        <v>2012</v>
      </c>
      <c r="K331" t="s">
        <v>2207</v>
      </c>
      <c r="L331" t="str">
        <f>TEXT(maintable_2[[#This Row],[Order Date]],"mmmm")</f>
        <v>December</v>
      </c>
    </row>
    <row r="332" spans="1:12" x14ac:dyDescent="0.3">
      <c r="A332" s="1">
        <v>40719</v>
      </c>
      <c r="B332" s="1">
        <v>40722</v>
      </c>
      <c r="C332" t="s">
        <v>479</v>
      </c>
      <c r="D332" t="s">
        <v>21</v>
      </c>
      <c r="E332" t="s">
        <v>480</v>
      </c>
      <c r="F332">
        <v>447.84</v>
      </c>
      <c r="G332">
        <v>5</v>
      </c>
      <c r="H332">
        <v>11.196</v>
      </c>
      <c r="I332">
        <v>3</v>
      </c>
      <c r="J332">
        <v>2011</v>
      </c>
      <c r="K332" t="s">
        <v>2206</v>
      </c>
      <c r="L332" t="str">
        <f>TEXT(maintable_2[[#This Row],[Order Date]],"mmmm")</f>
        <v>June</v>
      </c>
    </row>
    <row r="333" spans="1:12" x14ac:dyDescent="0.3">
      <c r="A333" s="1">
        <v>41440</v>
      </c>
      <c r="B333" s="1">
        <v>41443</v>
      </c>
      <c r="C333" t="s">
        <v>481</v>
      </c>
      <c r="D333" t="s">
        <v>13</v>
      </c>
      <c r="E333" t="s">
        <v>482</v>
      </c>
      <c r="F333">
        <v>7.04</v>
      </c>
      <c r="G333">
        <v>4</v>
      </c>
      <c r="H333">
        <v>2.0415999999999999</v>
      </c>
      <c r="I333">
        <v>3</v>
      </c>
      <c r="J333">
        <v>2013</v>
      </c>
      <c r="K333" t="s">
        <v>2206</v>
      </c>
      <c r="L333" t="str">
        <f>TEXT(maintable_2[[#This Row],[Order Date]],"mmmm")</f>
        <v>June</v>
      </c>
    </row>
    <row r="334" spans="1:12" x14ac:dyDescent="0.3">
      <c r="A334" s="1">
        <v>41440</v>
      </c>
      <c r="B334" s="1">
        <v>41443</v>
      </c>
      <c r="C334" t="s">
        <v>481</v>
      </c>
      <c r="D334" t="s">
        <v>11</v>
      </c>
      <c r="E334" t="s">
        <v>483</v>
      </c>
      <c r="F334">
        <v>8.73</v>
      </c>
      <c r="G334">
        <v>3</v>
      </c>
      <c r="H334">
        <v>4.1031000000000004</v>
      </c>
      <c r="I334">
        <v>3</v>
      </c>
      <c r="J334">
        <v>2013</v>
      </c>
      <c r="K334" t="s">
        <v>2206</v>
      </c>
      <c r="L334" t="str">
        <f>TEXT(maintable_2[[#This Row],[Order Date]],"mmmm")</f>
        <v>June</v>
      </c>
    </row>
    <row r="335" spans="1:12" x14ac:dyDescent="0.3">
      <c r="A335" s="1">
        <v>41440</v>
      </c>
      <c r="B335" s="1">
        <v>41443</v>
      </c>
      <c r="C335" t="s">
        <v>481</v>
      </c>
      <c r="D335" t="s">
        <v>37</v>
      </c>
      <c r="E335" t="s">
        <v>484</v>
      </c>
      <c r="F335">
        <v>29.29</v>
      </c>
      <c r="G335">
        <v>1</v>
      </c>
      <c r="H335">
        <v>9.6656999999999993</v>
      </c>
      <c r="I335">
        <v>3</v>
      </c>
      <c r="J335">
        <v>2013</v>
      </c>
      <c r="K335" t="s">
        <v>2206</v>
      </c>
      <c r="L335" t="str">
        <f>TEXT(maintable_2[[#This Row],[Order Date]],"mmmm")</f>
        <v>June</v>
      </c>
    </row>
    <row r="336" spans="1:12" x14ac:dyDescent="0.3">
      <c r="A336" s="1">
        <v>41440</v>
      </c>
      <c r="B336" s="1">
        <v>41443</v>
      </c>
      <c r="C336" t="s">
        <v>481</v>
      </c>
      <c r="D336" t="s">
        <v>13</v>
      </c>
      <c r="E336" t="s">
        <v>485</v>
      </c>
      <c r="F336">
        <v>8.64</v>
      </c>
      <c r="G336">
        <v>3</v>
      </c>
      <c r="H336">
        <v>2.5055999999999998</v>
      </c>
      <c r="I336">
        <v>3</v>
      </c>
      <c r="J336">
        <v>2013</v>
      </c>
      <c r="K336" t="s">
        <v>2206</v>
      </c>
      <c r="L336" t="str">
        <f>TEXT(maintable_2[[#This Row],[Order Date]],"mmmm")</f>
        <v>June</v>
      </c>
    </row>
    <row r="337" spans="1:12" x14ac:dyDescent="0.3">
      <c r="A337" s="1">
        <v>41569</v>
      </c>
      <c r="B337" s="1">
        <v>41575</v>
      </c>
      <c r="C337" t="s">
        <v>486</v>
      </c>
      <c r="D337" t="s">
        <v>44</v>
      </c>
      <c r="E337" t="s">
        <v>487</v>
      </c>
      <c r="F337">
        <v>22.92</v>
      </c>
      <c r="G337">
        <v>3</v>
      </c>
      <c r="H337">
        <v>11.2308</v>
      </c>
      <c r="I337">
        <v>6</v>
      </c>
      <c r="J337">
        <v>2013</v>
      </c>
      <c r="K337" t="s">
        <v>2209</v>
      </c>
      <c r="L337" t="str">
        <f>TEXT(maintable_2[[#This Row],[Order Date]],"mmmm")</f>
        <v>October</v>
      </c>
    </row>
    <row r="338" spans="1:12" x14ac:dyDescent="0.3">
      <c r="A338" s="1">
        <v>41992</v>
      </c>
      <c r="B338" s="1">
        <v>41997</v>
      </c>
      <c r="C338" t="s">
        <v>374</v>
      </c>
      <c r="D338" t="s">
        <v>17</v>
      </c>
      <c r="E338" t="s">
        <v>403</v>
      </c>
      <c r="F338">
        <v>46.671999999999997</v>
      </c>
      <c r="G338">
        <v>2</v>
      </c>
      <c r="H338">
        <v>16.3352</v>
      </c>
      <c r="I338">
        <v>5</v>
      </c>
      <c r="J338">
        <v>2014</v>
      </c>
      <c r="K338" t="s">
        <v>2207</v>
      </c>
      <c r="L338" t="str">
        <f>TEXT(maintable_2[[#This Row],[Order Date]],"mmmm")</f>
        <v>December</v>
      </c>
    </row>
    <row r="339" spans="1:12" x14ac:dyDescent="0.3">
      <c r="A339" s="1">
        <v>41992</v>
      </c>
      <c r="B339" s="1">
        <v>41997</v>
      </c>
      <c r="C339" t="s">
        <v>374</v>
      </c>
      <c r="D339" t="s">
        <v>196</v>
      </c>
      <c r="E339" t="s">
        <v>488</v>
      </c>
      <c r="F339">
        <v>119.833</v>
      </c>
      <c r="G339">
        <v>1</v>
      </c>
      <c r="H339">
        <v>-12.6882</v>
      </c>
      <c r="I339">
        <v>5</v>
      </c>
      <c r="J339">
        <v>2014</v>
      </c>
      <c r="K339" t="s">
        <v>2207</v>
      </c>
      <c r="L339" t="str">
        <f>TEXT(maintable_2[[#This Row],[Order Date]],"mmmm")</f>
        <v>December</v>
      </c>
    </row>
    <row r="340" spans="1:12" x14ac:dyDescent="0.3">
      <c r="A340" s="1">
        <v>41992</v>
      </c>
      <c r="B340" s="1">
        <v>41997</v>
      </c>
      <c r="C340" t="s">
        <v>374</v>
      </c>
      <c r="D340" t="s">
        <v>37</v>
      </c>
      <c r="E340" t="s">
        <v>342</v>
      </c>
      <c r="F340">
        <v>119.98</v>
      </c>
      <c r="G340">
        <v>2</v>
      </c>
      <c r="H340">
        <v>57.590400000000002</v>
      </c>
      <c r="I340">
        <v>5</v>
      </c>
      <c r="J340">
        <v>2014</v>
      </c>
      <c r="K340" t="s">
        <v>2207</v>
      </c>
      <c r="L340" t="str">
        <f>TEXT(maintable_2[[#This Row],[Order Date]],"mmmm")</f>
        <v>December</v>
      </c>
    </row>
    <row r="341" spans="1:12" x14ac:dyDescent="0.3">
      <c r="A341" s="1">
        <v>41478</v>
      </c>
      <c r="B341" s="1">
        <v>41480</v>
      </c>
      <c r="C341" t="s">
        <v>489</v>
      </c>
      <c r="D341" t="s">
        <v>8</v>
      </c>
      <c r="E341" t="s">
        <v>194</v>
      </c>
      <c r="F341">
        <v>6.3</v>
      </c>
      <c r="G341">
        <v>2</v>
      </c>
      <c r="H341">
        <v>3.024</v>
      </c>
      <c r="I341">
        <v>2</v>
      </c>
      <c r="J341">
        <v>2013</v>
      </c>
      <c r="K341" t="s">
        <v>2206</v>
      </c>
      <c r="L341" t="str">
        <f>TEXT(maintable_2[[#This Row],[Order Date]],"mmmm")</f>
        <v>July</v>
      </c>
    </row>
    <row r="342" spans="1:12" x14ac:dyDescent="0.3">
      <c r="A342" s="1">
        <v>41615</v>
      </c>
      <c r="B342" s="1">
        <v>41616</v>
      </c>
      <c r="C342" t="s">
        <v>490</v>
      </c>
      <c r="D342" t="s">
        <v>44</v>
      </c>
      <c r="E342" t="s">
        <v>145</v>
      </c>
      <c r="F342">
        <v>19.440000000000001</v>
      </c>
      <c r="G342">
        <v>3</v>
      </c>
      <c r="H342">
        <v>9.3312000000000008</v>
      </c>
      <c r="I342">
        <v>1</v>
      </c>
      <c r="J342">
        <v>2013</v>
      </c>
      <c r="K342" t="s">
        <v>2207</v>
      </c>
      <c r="L342" t="str">
        <f>TEXT(maintable_2[[#This Row],[Order Date]],"mmmm")</f>
        <v>December</v>
      </c>
    </row>
    <row r="343" spans="1:12" x14ac:dyDescent="0.3">
      <c r="A343" s="1">
        <v>40815</v>
      </c>
      <c r="B343" s="1">
        <v>40819</v>
      </c>
      <c r="C343" t="s">
        <v>491</v>
      </c>
      <c r="D343" t="s">
        <v>11</v>
      </c>
      <c r="E343" t="s">
        <v>424</v>
      </c>
      <c r="F343">
        <v>204.6</v>
      </c>
      <c r="G343">
        <v>2</v>
      </c>
      <c r="H343">
        <v>53.195999999999998</v>
      </c>
      <c r="I343">
        <v>4</v>
      </c>
      <c r="J343">
        <v>2011</v>
      </c>
      <c r="K343" t="s">
        <v>2209</v>
      </c>
      <c r="L343" t="str">
        <f>TEXT(maintable_2[[#This Row],[Order Date]],"mmmm")</f>
        <v>September</v>
      </c>
    </row>
    <row r="344" spans="1:12" x14ac:dyDescent="0.3">
      <c r="A344" s="1">
        <v>40815</v>
      </c>
      <c r="B344" s="1">
        <v>40819</v>
      </c>
      <c r="C344" t="s">
        <v>491</v>
      </c>
      <c r="D344" t="s">
        <v>78</v>
      </c>
      <c r="E344" t="s">
        <v>492</v>
      </c>
      <c r="F344">
        <v>8.7200000000000006</v>
      </c>
      <c r="G344">
        <v>4</v>
      </c>
      <c r="H344">
        <v>2.8776000000000002</v>
      </c>
      <c r="I344">
        <v>4</v>
      </c>
      <c r="J344">
        <v>2011</v>
      </c>
      <c r="K344" t="s">
        <v>2209</v>
      </c>
      <c r="L344" t="str">
        <f>TEXT(maintable_2[[#This Row],[Order Date]],"mmmm")</f>
        <v>September</v>
      </c>
    </row>
    <row r="345" spans="1:12" x14ac:dyDescent="0.3">
      <c r="A345" s="1">
        <v>40815</v>
      </c>
      <c r="B345" s="1">
        <v>40819</v>
      </c>
      <c r="C345" t="s">
        <v>491</v>
      </c>
      <c r="D345" t="s">
        <v>44</v>
      </c>
      <c r="E345" t="s">
        <v>493</v>
      </c>
      <c r="F345">
        <v>6.48</v>
      </c>
      <c r="G345">
        <v>1</v>
      </c>
      <c r="H345">
        <v>3.1103999999999998</v>
      </c>
      <c r="I345">
        <v>4</v>
      </c>
      <c r="J345">
        <v>2011</v>
      </c>
      <c r="K345" t="s">
        <v>2209</v>
      </c>
      <c r="L345" t="str">
        <f>TEXT(maintable_2[[#This Row],[Order Date]],"mmmm")</f>
        <v>September</v>
      </c>
    </row>
    <row r="346" spans="1:12" x14ac:dyDescent="0.3">
      <c r="A346" s="1">
        <v>40815</v>
      </c>
      <c r="B346" s="1">
        <v>40819</v>
      </c>
      <c r="C346" t="s">
        <v>491</v>
      </c>
      <c r="D346" t="s">
        <v>494</v>
      </c>
      <c r="E346" t="s">
        <v>495</v>
      </c>
      <c r="F346">
        <v>686.32</v>
      </c>
      <c r="G346">
        <v>2</v>
      </c>
      <c r="H346">
        <v>223.054</v>
      </c>
      <c r="I346">
        <v>4</v>
      </c>
      <c r="J346">
        <v>2011</v>
      </c>
      <c r="K346" t="s">
        <v>2209</v>
      </c>
      <c r="L346" t="str">
        <f>TEXT(maintable_2[[#This Row],[Order Date]],"mmmm")</f>
        <v>September</v>
      </c>
    </row>
    <row r="347" spans="1:12" x14ac:dyDescent="0.3">
      <c r="A347" s="1">
        <v>40815</v>
      </c>
      <c r="B347" s="1">
        <v>40819</v>
      </c>
      <c r="C347" t="s">
        <v>491</v>
      </c>
      <c r="D347" t="s">
        <v>27</v>
      </c>
      <c r="E347" t="s">
        <v>496</v>
      </c>
      <c r="F347">
        <v>62.18</v>
      </c>
      <c r="G347">
        <v>1</v>
      </c>
      <c r="H347">
        <v>16.788599999999999</v>
      </c>
      <c r="I347">
        <v>4</v>
      </c>
      <c r="J347">
        <v>2011</v>
      </c>
      <c r="K347" t="s">
        <v>2209</v>
      </c>
      <c r="L347" t="str">
        <f>TEXT(maintable_2[[#This Row],[Order Date]],"mmmm")</f>
        <v>September</v>
      </c>
    </row>
    <row r="348" spans="1:12" x14ac:dyDescent="0.3">
      <c r="A348" s="1">
        <v>41640</v>
      </c>
      <c r="B348" s="1">
        <v>41646</v>
      </c>
      <c r="C348" t="s">
        <v>146</v>
      </c>
      <c r="D348" t="s">
        <v>13</v>
      </c>
      <c r="E348" t="s">
        <v>497</v>
      </c>
      <c r="F348">
        <v>3.64</v>
      </c>
      <c r="G348">
        <v>2</v>
      </c>
      <c r="H348">
        <v>1.6379999999999999</v>
      </c>
      <c r="I348">
        <v>6</v>
      </c>
      <c r="J348">
        <v>2014</v>
      </c>
      <c r="K348" t="s">
        <v>2207</v>
      </c>
      <c r="L348" t="str">
        <f>TEXT(maintable_2[[#This Row],[Order Date]],"mmmm")</f>
        <v>January</v>
      </c>
    </row>
    <row r="349" spans="1:12" x14ac:dyDescent="0.3">
      <c r="A349" s="1">
        <v>41640</v>
      </c>
      <c r="B349" s="1">
        <v>41646</v>
      </c>
      <c r="C349" t="s">
        <v>146</v>
      </c>
      <c r="D349" t="s">
        <v>17</v>
      </c>
      <c r="E349" t="s">
        <v>498</v>
      </c>
      <c r="F349">
        <v>159.768</v>
      </c>
      <c r="G349">
        <v>7</v>
      </c>
      <c r="H349">
        <v>53.921700000000001</v>
      </c>
      <c r="I349">
        <v>6</v>
      </c>
      <c r="J349">
        <v>2014</v>
      </c>
      <c r="K349" t="s">
        <v>2207</v>
      </c>
      <c r="L349" t="str">
        <f>TEXT(maintable_2[[#This Row],[Order Date]],"mmmm")</f>
        <v>January</v>
      </c>
    </row>
    <row r="350" spans="1:12" x14ac:dyDescent="0.3">
      <c r="A350" s="1">
        <v>41458</v>
      </c>
      <c r="B350" s="1">
        <v>41463</v>
      </c>
      <c r="C350" t="s">
        <v>499</v>
      </c>
      <c r="D350" t="s">
        <v>71</v>
      </c>
      <c r="E350" t="s">
        <v>500</v>
      </c>
      <c r="F350">
        <v>195.184</v>
      </c>
      <c r="G350">
        <v>1</v>
      </c>
      <c r="H350">
        <v>19.5184</v>
      </c>
      <c r="I350">
        <v>5</v>
      </c>
      <c r="J350">
        <v>2013</v>
      </c>
      <c r="K350" t="s">
        <v>2206</v>
      </c>
      <c r="L350" t="str">
        <f>TEXT(maintable_2[[#This Row],[Order Date]],"mmmm")</f>
        <v>July</v>
      </c>
    </row>
    <row r="351" spans="1:12" x14ac:dyDescent="0.3">
      <c r="A351" s="1">
        <v>40787</v>
      </c>
      <c r="B351" s="1">
        <v>40791</v>
      </c>
      <c r="C351" t="s">
        <v>501</v>
      </c>
      <c r="D351" t="s">
        <v>13</v>
      </c>
      <c r="E351" t="s">
        <v>502</v>
      </c>
      <c r="F351">
        <v>53.94</v>
      </c>
      <c r="G351">
        <v>3</v>
      </c>
      <c r="H351">
        <v>15.6426</v>
      </c>
      <c r="I351">
        <v>4</v>
      </c>
      <c r="J351">
        <v>2011</v>
      </c>
      <c r="K351" t="s">
        <v>2206</v>
      </c>
      <c r="L351" t="str">
        <f>TEXT(maintable_2[[#This Row],[Order Date]],"mmmm")</f>
        <v>September</v>
      </c>
    </row>
    <row r="352" spans="1:12" x14ac:dyDescent="0.3">
      <c r="A352" s="1">
        <v>41215</v>
      </c>
      <c r="B352" s="1">
        <v>41215</v>
      </c>
      <c r="C352" t="s">
        <v>128</v>
      </c>
      <c r="D352" t="s">
        <v>37</v>
      </c>
      <c r="E352" t="s">
        <v>62</v>
      </c>
      <c r="F352">
        <v>447.93</v>
      </c>
      <c r="G352">
        <v>9</v>
      </c>
      <c r="H352">
        <v>49.272300000000001</v>
      </c>
      <c r="I352">
        <v>0</v>
      </c>
      <c r="J352">
        <v>2012</v>
      </c>
      <c r="K352" t="s">
        <v>2209</v>
      </c>
      <c r="L352" t="str">
        <f>TEXT(maintable_2[[#This Row],[Order Date]],"mmmm")</f>
        <v>November</v>
      </c>
    </row>
    <row r="353" spans="1:12" x14ac:dyDescent="0.3">
      <c r="A353" s="1">
        <v>40654</v>
      </c>
      <c r="B353" s="1">
        <v>40658</v>
      </c>
      <c r="C353" t="s">
        <v>262</v>
      </c>
      <c r="D353" t="s">
        <v>17</v>
      </c>
      <c r="E353" t="s">
        <v>503</v>
      </c>
      <c r="F353">
        <v>16.52</v>
      </c>
      <c r="G353">
        <v>5</v>
      </c>
      <c r="H353">
        <v>5.5754999999999999</v>
      </c>
      <c r="I353">
        <v>4</v>
      </c>
      <c r="J353">
        <v>2011</v>
      </c>
      <c r="K353" t="s">
        <v>2208</v>
      </c>
      <c r="L353" t="str">
        <f>TEXT(maintable_2[[#This Row],[Order Date]],"mmmm")</f>
        <v>April</v>
      </c>
    </row>
    <row r="354" spans="1:12" x14ac:dyDescent="0.3">
      <c r="A354" s="1">
        <v>40904</v>
      </c>
      <c r="B354" s="1">
        <v>40907</v>
      </c>
      <c r="C354" t="s">
        <v>504</v>
      </c>
      <c r="D354" t="s">
        <v>8</v>
      </c>
      <c r="E354" t="s">
        <v>105</v>
      </c>
      <c r="F354">
        <v>11.56</v>
      </c>
      <c r="G354">
        <v>4</v>
      </c>
      <c r="H354">
        <v>5.4332000000000003</v>
      </c>
      <c r="I354">
        <v>3</v>
      </c>
      <c r="J354">
        <v>2011</v>
      </c>
      <c r="K354" t="s">
        <v>2207</v>
      </c>
      <c r="L354" t="str">
        <f>TEXT(maintable_2[[#This Row],[Order Date]],"mmmm")</f>
        <v>December</v>
      </c>
    </row>
    <row r="355" spans="1:12" x14ac:dyDescent="0.3">
      <c r="A355" s="1">
        <v>40871</v>
      </c>
      <c r="B355" s="1">
        <v>40877</v>
      </c>
      <c r="C355" t="s">
        <v>505</v>
      </c>
      <c r="D355" t="s">
        <v>17</v>
      </c>
      <c r="E355" t="s">
        <v>506</v>
      </c>
      <c r="F355">
        <v>12.096</v>
      </c>
      <c r="G355">
        <v>7</v>
      </c>
      <c r="H355">
        <v>4.2336</v>
      </c>
      <c r="I355">
        <v>6</v>
      </c>
      <c r="J355">
        <v>2011</v>
      </c>
      <c r="K355" t="s">
        <v>2209</v>
      </c>
      <c r="L355" t="str">
        <f>TEXT(maintable_2[[#This Row],[Order Date]],"mmmm")</f>
        <v>November</v>
      </c>
    </row>
    <row r="356" spans="1:12" x14ac:dyDescent="0.3">
      <c r="A356" s="1">
        <v>40871</v>
      </c>
      <c r="B356" s="1">
        <v>40877</v>
      </c>
      <c r="C356" t="s">
        <v>505</v>
      </c>
      <c r="D356" t="s">
        <v>27</v>
      </c>
      <c r="E356" t="s">
        <v>507</v>
      </c>
      <c r="F356">
        <v>485.88</v>
      </c>
      <c r="G356">
        <v>6</v>
      </c>
      <c r="H356">
        <v>9.7175999999999991</v>
      </c>
      <c r="I356">
        <v>6</v>
      </c>
      <c r="J356">
        <v>2011</v>
      </c>
      <c r="K356" t="s">
        <v>2209</v>
      </c>
      <c r="L356" t="str">
        <f>TEXT(maintable_2[[#This Row],[Order Date]],"mmmm")</f>
        <v>November</v>
      </c>
    </row>
    <row r="357" spans="1:12" x14ac:dyDescent="0.3">
      <c r="A357" s="1">
        <v>40871</v>
      </c>
      <c r="B357" s="1">
        <v>40877</v>
      </c>
      <c r="C357" t="s">
        <v>505</v>
      </c>
      <c r="D357" t="s">
        <v>44</v>
      </c>
      <c r="E357" t="s">
        <v>508</v>
      </c>
      <c r="F357">
        <v>25.92</v>
      </c>
      <c r="G357">
        <v>4</v>
      </c>
      <c r="H357">
        <v>12.441599999999999</v>
      </c>
      <c r="I357">
        <v>6</v>
      </c>
      <c r="J357">
        <v>2011</v>
      </c>
      <c r="K357" t="s">
        <v>2209</v>
      </c>
      <c r="L357" t="str">
        <f>TEXT(maintable_2[[#This Row],[Order Date]],"mmmm")</f>
        <v>November</v>
      </c>
    </row>
    <row r="358" spans="1:12" x14ac:dyDescent="0.3">
      <c r="A358" s="1">
        <v>40871</v>
      </c>
      <c r="B358" s="1">
        <v>40877</v>
      </c>
      <c r="C358" t="s">
        <v>505</v>
      </c>
      <c r="D358" t="s">
        <v>27</v>
      </c>
      <c r="E358" t="s">
        <v>509</v>
      </c>
      <c r="F358">
        <v>197.58</v>
      </c>
      <c r="G358">
        <v>2</v>
      </c>
      <c r="H358">
        <v>53.346600000000002</v>
      </c>
      <c r="I358">
        <v>6</v>
      </c>
      <c r="J358">
        <v>2011</v>
      </c>
      <c r="K358" t="s">
        <v>2209</v>
      </c>
      <c r="L358" t="str">
        <f>TEXT(maintable_2[[#This Row],[Order Date]],"mmmm")</f>
        <v>November</v>
      </c>
    </row>
    <row r="359" spans="1:12" x14ac:dyDescent="0.3">
      <c r="A359" s="1">
        <v>41697</v>
      </c>
      <c r="B359" s="1">
        <v>41699</v>
      </c>
      <c r="C359" t="s">
        <v>510</v>
      </c>
      <c r="D359" t="s">
        <v>19</v>
      </c>
      <c r="E359" t="s">
        <v>511</v>
      </c>
      <c r="F359">
        <v>81.92</v>
      </c>
      <c r="G359">
        <v>4</v>
      </c>
      <c r="H359">
        <v>22.118400000000001</v>
      </c>
      <c r="I359">
        <v>2</v>
      </c>
      <c r="J359">
        <v>2014</v>
      </c>
      <c r="K359" t="s">
        <v>2210</v>
      </c>
      <c r="L359" t="str">
        <f>TEXT(maintable_2[[#This Row],[Order Date]],"mmmm")</f>
        <v>February</v>
      </c>
    </row>
    <row r="360" spans="1:12" x14ac:dyDescent="0.3">
      <c r="A360" s="1">
        <v>41697</v>
      </c>
      <c r="B360" s="1">
        <v>41699</v>
      </c>
      <c r="C360" t="s">
        <v>510</v>
      </c>
      <c r="D360" t="s">
        <v>15</v>
      </c>
      <c r="E360" t="s">
        <v>512</v>
      </c>
      <c r="F360">
        <v>889.53599999999994</v>
      </c>
      <c r="G360">
        <v>8</v>
      </c>
      <c r="H360">
        <v>66.715199999999996</v>
      </c>
      <c r="I360">
        <v>2</v>
      </c>
      <c r="J360">
        <v>2014</v>
      </c>
      <c r="K360" t="s">
        <v>2210</v>
      </c>
      <c r="L360" t="str">
        <f>TEXT(maintable_2[[#This Row],[Order Date]],"mmmm")</f>
        <v>February</v>
      </c>
    </row>
    <row r="361" spans="1:12" x14ac:dyDescent="0.3">
      <c r="A361" s="1">
        <v>41697</v>
      </c>
      <c r="B361" s="1">
        <v>41699</v>
      </c>
      <c r="C361" t="s">
        <v>510</v>
      </c>
      <c r="D361" t="s">
        <v>71</v>
      </c>
      <c r="E361" t="s">
        <v>513</v>
      </c>
      <c r="F361">
        <v>892.22400000000005</v>
      </c>
      <c r="G361">
        <v>3</v>
      </c>
      <c r="H361">
        <v>89.222399999999993</v>
      </c>
      <c r="I361">
        <v>2</v>
      </c>
      <c r="J361">
        <v>2014</v>
      </c>
      <c r="K361" t="s">
        <v>2210</v>
      </c>
      <c r="L361" t="str">
        <f>TEXT(maintable_2[[#This Row],[Order Date]],"mmmm")</f>
        <v>February</v>
      </c>
    </row>
    <row r="362" spans="1:12" x14ac:dyDescent="0.3">
      <c r="A362" s="1">
        <v>41697</v>
      </c>
      <c r="B362" s="1">
        <v>41699</v>
      </c>
      <c r="C362" t="s">
        <v>510</v>
      </c>
      <c r="D362" t="s">
        <v>44</v>
      </c>
      <c r="E362" t="s">
        <v>195</v>
      </c>
      <c r="F362">
        <v>223.92</v>
      </c>
      <c r="G362">
        <v>4</v>
      </c>
      <c r="H362">
        <v>109.7208</v>
      </c>
      <c r="I362">
        <v>2</v>
      </c>
      <c r="J362">
        <v>2014</v>
      </c>
      <c r="K362" t="s">
        <v>2210</v>
      </c>
      <c r="L362" t="str">
        <f>TEXT(maintable_2[[#This Row],[Order Date]],"mmmm")</f>
        <v>February</v>
      </c>
    </row>
    <row r="363" spans="1:12" x14ac:dyDescent="0.3">
      <c r="A363" s="1">
        <v>41697</v>
      </c>
      <c r="B363" s="1">
        <v>41699</v>
      </c>
      <c r="C363" t="s">
        <v>510</v>
      </c>
      <c r="D363" t="s">
        <v>44</v>
      </c>
      <c r="E363" t="s">
        <v>514</v>
      </c>
      <c r="F363">
        <v>23.12</v>
      </c>
      <c r="G363">
        <v>4</v>
      </c>
      <c r="H363">
        <v>11.328799999999999</v>
      </c>
      <c r="I363">
        <v>2</v>
      </c>
      <c r="J363">
        <v>2014</v>
      </c>
      <c r="K363" t="s">
        <v>2210</v>
      </c>
      <c r="L363" t="str">
        <f>TEXT(maintable_2[[#This Row],[Order Date]],"mmmm")</f>
        <v>February</v>
      </c>
    </row>
    <row r="364" spans="1:12" x14ac:dyDescent="0.3">
      <c r="A364" s="1">
        <v>41474</v>
      </c>
      <c r="B364" s="1">
        <v>41480</v>
      </c>
      <c r="C364" t="s">
        <v>515</v>
      </c>
      <c r="D364" t="s">
        <v>71</v>
      </c>
      <c r="E364" t="s">
        <v>358</v>
      </c>
      <c r="F364">
        <v>544.00800000000004</v>
      </c>
      <c r="G364">
        <v>3</v>
      </c>
      <c r="H364">
        <v>40.800600000000003</v>
      </c>
      <c r="I364">
        <v>6</v>
      </c>
      <c r="J364">
        <v>2013</v>
      </c>
      <c r="K364" t="s">
        <v>2206</v>
      </c>
      <c r="L364" t="str">
        <f>TEXT(maintable_2[[#This Row],[Order Date]],"mmmm")</f>
        <v>July</v>
      </c>
    </row>
    <row r="365" spans="1:12" x14ac:dyDescent="0.3">
      <c r="A365" s="1">
        <v>41474</v>
      </c>
      <c r="B365" s="1">
        <v>41480</v>
      </c>
      <c r="C365" t="s">
        <v>515</v>
      </c>
      <c r="D365" t="s">
        <v>17</v>
      </c>
      <c r="E365" t="s">
        <v>468</v>
      </c>
      <c r="F365">
        <v>1.8720000000000001</v>
      </c>
      <c r="G365">
        <v>3</v>
      </c>
      <c r="H365">
        <v>-1.4352</v>
      </c>
      <c r="I365">
        <v>6</v>
      </c>
      <c r="J365">
        <v>2013</v>
      </c>
      <c r="K365" t="s">
        <v>2206</v>
      </c>
      <c r="L365" t="str">
        <f>TEXT(maintable_2[[#This Row],[Order Date]],"mmmm")</f>
        <v>July</v>
      </c>
    </row>
    <row r="366" spans="1:12" x14ac:dyDescent="0.3">
      <c r="A366" s="1">
        <v>41474</v>
      </c>
      <c r="B366" s="1">
        <v>41480</v>
      </c>
      <c r="C366" t="s">
        <v>515</v>
      </c>
      <c r="D366" t="s">
        <v>71</v>
      </c>
      <c r="E366" t="s">
        <v>516</v>
      </c>
      <c r="F366">
        <v>854.35199999999998</v>
      </c>
      <c r="G366">
        <v>3</v>
      </c>
      <c r="H366">
        <v>10.679399999999999</v>
      </c>
      <c r="I366">
        <v>6</v>
      </c>
      <c r="J366">
        <v>2013</v>
      </c>
      <c r="K366" t="s">
        <v>2206</v>
      </c>
      <c r="L366" t="str">
        <f>TEXT(maintable_2[[#This Row],[Order Date]],"mmmm")</f>
        <v>July</v>
      </c>
    </row>
    <row r="367" spans="1:12" x14ac:dyDescent="0.3">
      <c r="A367" s="1">
        <v>41474</v>
      </c>
      <c r="B367" s="1">
        <v>41480</v>
      </c>
      <c r="C367" t="s">
        <v>515</v>
      </c>
      <c r="D367" t="s">
        <v>27</v>
      </c>
      <c r="E367" t="s">
        <v>517</v>
      </c>
      <c r="F367">
        <v>593.56799999999998</v>
      </c>
      <c r="G367">
        <v>2</v>
      </c>
      <c r="H367">
        <v>0</v>
      </c>
      <c r="I367">
        <v>6</v>
      </c>
      <c r="J367">
        <v>2013</v>
      </c>
      <c r="K367" t="s">
        <v>2206</v>
      </c>
      <c r="L367" t="str">
        <f>TEXT(maintable_2[[#This Row],[Order Date]],"mmmm")</f>
        <v>July</v>
      </c>
    </row>
    <row r="368" spans="1:12" x14ac:dyDescent="0.3">
      <c r="A368" s="1">
        <v>41474</v>
      </c>
      <c r="B368" s="1">
        <v>41480</v>
      </c>
      <c r="C368" t="s">
        <v>515</v>
      </c>
      <c r="D368" t="s">
        <v>27</v>
      </c>
      <c r="E368" t="s">
        <v>518</v>
      </c>
      <c r="F368">
        <v>338.04</v>
      </c>
      <c r="G368">
        <v>3</v>
      </c>
      <c r="H368">
        <v>-33.804000000000002</v>
      </c>
      <c r="I368">
        <v>6</v>
      </c>
      <c r="J368">
        <v>2013</v>
      </c>
      <c r="K368" t="s">
        <v>2206</v>
      </c>
      <c r="L368" t="str">
        <f>TEXT(maintable_2[[#This Row],[Order Date]],"mmmm")</f>
        <v>July</v>
      </c>
    </row>
    <row r="369" spans="1:12" x14ac:dyDescent="0.3">
      <c r="A369" s="1">
        <v>40736</v>
      </c>
      <c r="B369" s="1">
        <v>40740</v>
      </c>
      <c r="C369" t="s">
        <v>519</v>
      </c>
      <c r="D369" t="s">
        <v>27</v>
      </c>
      <c r="E369" t="s">
        <v>28</v>
      </c>
      <c r="F369">
        <v>249.75</v>
      </c>
      <c r="G369">
        <v>9</v>
      </c>
      <c r="H369">
        <v>44.954999999999998</v>
      </c>
      <c r="I369">
        <v>4</v>
      </c>
      <c r="J369">
        <v>2011</v>
      </c>
      <c r="K369" t="s">
        <v>2206</v>
      </c>
      <c r="L369" t="str">
        <f>TEXT(maintable_2[[#This Row],[Order Date]],"mmmm")</f>
        <v>July</v>
      </c>
    </row>
    <row r="370" spans="1:12" x14ac:dyDescent="0.3">
      <c r="A370" s="1">
        <v>40736</v>
      </c>
      <c r="B370" s="1">
        <v>40740</v>
      </c>
      <c r="C370" t="s">
        <v>519</v>
      </c>
      <c r="D370" t="s">
        <v>15</v>
      </c>
      <c r="E370" t="s">
        <v>520</v>
      </c>
      <c r="F370">
        <v>255.93600000000001</v>
      </c>
      <c r="G370">
        <v>8</v>
      </c>
      <c r="H370">
        <v>28.7928</v>
      </c>
      <c r="I370">
        <v>4</v>
      </c>
      <c r="J370">
        <v>2011</v>
      </c>
      <c r="K370" t="s">
        <v>2206</v>
      </c>
      <c r="L370" t="str">
        <f>TEXT(maintable_2[[#This Row],[Order Date]],"mmmm")</f>
        <v>July</v>
      </c>
    </row>
    <row r="371" spans="1:12" x14ac:dyDescent="0.3">
      <c r="A371" s="1">
        <v>41950</v>
      </c>
      <c r="B371" s="1">
        <v>41955</v>
      </c>
      <c r="C371" t="s">
        <v>298</v>
      </c>
      <c r="D371" t="s">
        <v>86</v>
      </c>
      <c r="E371" t="s">
        <v>521</v>
      </c>
      <c r="F371">
        <v>15.28</v>
      </c>
      <c r="G371">
        <v>2</v>
      </c>
      <c r="H371">
        <v>7.4871999999999996</v>
      </c>
      <c r="I371">
        <v>5</v>
      </c>
      <c r="J371">
        <v>2014</v>
      </c>
      <c r="K371" t="s">
        <v>2209</v>
      </c>
      <c r="L371" t="str">
        <f>TEXT(maintable_2[[#This Row],[Order Date]],"mmmm")</f>
        <v>November</v>
      </c>
    </row>
    <row r="372" spans="1:12" x14ac:dyDescent="0.3">
      <c r="A372" s="1">
        <v>41950</v>
      </c>
      <c r="B372" s="1">
        <v>41955</v>
      </c>
      <c r="C372" t="s">
        <v>298</v>
      </c>
      <c r="D372" t="s">
        <v>11</v>
      </c>
      <c r="E372" t="s">
        <v>522</v>
      </c>
      <c r="F372">
        <v>8.73</v>
      </c>
      <c r="G372">
        <v>1</v>
      </c>
      <c r="H372">
        <v>2.9681999999999999</v>
      </c>
      <c r="I372">
        <v>5</v>
      </c>
      <c r="J372">
        <v>2014</v>
      </c>
      <c r="K372" t="s">
        <v>2209</v>
      </c>
      <c r="L372" t="str">
        <f>TEXT(maintable_2[[#This Row],[Order Date]],"mmmm")</f>
        <v>November</v>
      </c>
    </row>
    <row r="373" spans="1:12" x14ac:dyDescent="0.3">
      <c r="A373" s="1">
        <v>41950</v>
      </c>
      <c r="B373" s="1">
        <v>41955</v>
      </c>
      <c r="C373" t="s">
        <v>298</v>
      </c>
      <c r="D373" t="s">
        <v>13</v>
      </c>
      <c r="E373" t="s">
        <v>523</v>
      </c>
      <c r="F373">
        <v>5.68</v>
      </c>
      <c r="G373">
        <v>2</v>
      </c>
      <c r="H373">
        <v>1.7607999999999999</v>
      </c>
      <c r="I373">
        <v>5</v>
      </c>
      <c r="J373">
        <v>2014</v>
      </c>
      <c r="K373" t="s">
        <v>2209</v>
      </c>
      <c r="L373" t="str">
        <f>TEXT(maintable_2[[#This Row],[Order Date]],"mmmm")</f>
        <v>November</v>
      </c>
    </row>
    <row r="374" spans="1:12" x14ac:dyDescent="0.3">
      <c r="A374" s="1">
        <v>40766</v>
      </c>
      <c r="B374" s="1">
        <v>40770</v>
      </c>
      <c r="C374" t="s">
        <v>524</v>
      </c>
      <c r="D374" t="s">
        <v>11</v>
      </c>
      <c r="E374" t="s">
        <v>525</v>
      </c>
      <c r="F374">
        <v>12.35</v>
      </c>
      <c r="G374">
        <v>1</v>
      </c>
      <c r="H374">
        <v>5.4340000000000002</v>
      </c>
      <c r="I374">
        <v>4</v>
      </c>
      <c r="J374">
        <v>2011</v>
      </c>
      <c r="K374" t="s">
        <v>2206</v>
      </c>
      <c r="L374" t="str">
        <f>TEXT(maintable_2[[#This Row],[Order Date]],"mmmm")</f>
        <v>August</v>
      </c>
    </row>
    <row r="375" spans="1:12" x14ac:dyDescent="0.3">
      <c r="A375" s="1">
        <v>40766</v>
      </c>
      <c r="B375" s="1">
        <v>40770</v>
      </c>
      <c r="C375" t="s">
        <v>524</v>
      </c>
      <c r="D375" t="s">
        <v>13</v>
      </c>
      <c r="E375" t="s">
        <v>526</v>
      </c>
      <c r="F375">
        <v>40.97</v>
      </c>
      <c r="G375">
        <v>1</v>
      </c>
      <c r="H375">
        <v>10.652200000000001</v>
      </c>
      <c r="I375">
        <v>4</v>
      </c>
      <c r="J375">
        <v>2011</v>
      </c>
      <c r="K375" t="s">
        <v>2206</v>
      </c>
      <c r="L375" t="str">
        <f>TEXT(maintable_2[[#This Row],[Order Date]],"mmmm")</f>
        <v>August</v>
      </c>
    </row>
    <row r="376" spans="1:12" x14ac:dyDescent="0.3">
      <c r="A376" s="1">
        <v>40766</v>
      </c>
      <c r="B376" s="1">
        <v>40770</v>
      </c>
      <c r="C376" t="s">
        <v>524</v>
      </c>
      <c r="D376" t="s">
        <v>78</v>
      </c>
      <c r="E376" t="s">
        <v>151</v>
      </c>
      <c r="F376">
        <v>22.96</v>
      </c>
      <c r="G376">
        <v>2</v>
      </c>
      <c r="H376">
        <v>10.7912</v>
      </c>
      <c r="I376">
        <v>4</v>
      </c>
      <c r="J376">
        <v>2011</v>
      </c>
      <c r="K376" t="s">
        <v>2206</v>
      </c>
      <c r="L376" t="str">
        <f>TEXT(maintable_2[[#This Row],[Order Date]],"mmmm")</f>
        <v>August</v>
      </c>
    </row>
    <row r="377" spans="1:12" x14ac:dyDescent="0.3">
      <c r="A377" s="1">
        <v>40889</v>
      </c>
      <c r="B377" s="1">
        <v>40891</v>
      </c>
      <c r="C377" t="s">
        <v>527</v>
      </c>
      <c r="D377" t="s">
        <v>21</v>
      </c>
      <c r="E377" t="s">
        <v>528</v>
      </c>
      <c r="F377">
        <v>764.68799999999999</v>
      </c>
      <c r="G377">
        <v>6</v>
      </c>
      <c r="H377">
        <v>95.585999999999999</v>
      </c>
      <c r="I377">
        <v>2</v>
      </c>
      <c r="J377">
        <v>2011</v>
      </c>
      <c r="K377" t="s">
        <v>2207</v>
      </c>
      <c r="L377" t="str">
        <f>TEXT(maintable_2[[#This Row],[Order Date]],"mmmm")</f>
        <v>December</v>
      </c>
    </row>
    <row r="378" spans="1:12" x14ac:dyDescent="0.3">
      <c r="A378" s="1">
        <v>40889</v>
      </c>
      <c r="B378" s="1">
        <v>40891</v>
      </c>
      <c r="C378" t="s">
        <v>527</v>
      </c>
      <c r="D378" t="s">
        <v>21</v>
      </c>
      <c r="E378" t="s">
        <v>529</v>
      </c>
      <c r="F378">
        <v>3610.848</v>
      </c>
      <c r="G378">
        <v>12</v>
      </c>
      <c r="H378">
        <v>135.4068</v>
      </c>
      <c r="I378">
        <v>2</v>
      </c>
      <c r="J378">
        <v>2011</v>
      </c>
      <c r="K378" t="s">
        <v>2207</v>
      </c>
      <c r="L378" t="str">
        <f>TEXT(maintable_2[[#This Row],[Order Date]],"mmmm")</f>
        <v>December</v>
      </c>
    </row>
    <row r="379" spans="1:12" x14ac:dyDescent="0.3">
      <c r="A379" s="1">
        <v>40889</v>
      </c>
      <c r="B379" s="1">
        <v>40891</v>
      </c>
      <c r="C379" t="s">
        <v>527</v>
      </c>
      <c r="D379" t="s">
        <v>196</v>
      </c>
      <c r="E379" t="s">
        <v>530</v>
      </c>
      <c r="F379">
        <v>254.97450000000001</v>
      </c>
      <c r="G379">
        <v>3</v>
      </c>
      <c r="H379">
        <v>11.998799999999999</v>
      </c>
      <c r="I379">
        <v>2</v>
      </c>
      <c r="J379">
        <v>2011</v>
      </c>
      <c r="K379" t="s">
        <v>2207</v>
      </c>
      <c r="L379" t="str">
        <f>TEXT(maintable_2[[#This Row],[Order Date]],"mmmm")</f>
        <v>December</v>
      </c>
    </row>
    <row r="380" spans="1:12" x14ac:dyDescent="0.3">
      <c r="A380" s="1">
        <v>41885</v>
      </c>
      <c r="B380" s="1">
        <v>41890</v>
      </c>
      <c r="C380" t="s">
        <v>531</v>
      </c>
      <c r="D380" t="s">
        <v>13</v>
      </c>
      <c r="E380" t="s">
        <v>532</v>
      </c>
      <c r="F380">
        <v>6.57</v>
      </c>
      <c r="G380">
        <v>3</v>
      </c>
      <c r="H380">
        <v>1.7739</v>
      </c>
      <c r="I380">
        <v>5</v>
      </c>
      <c r="J380">
        <v>2014</v>
      </c>
      <c r="K380" t="s">
        <v>2209</v>
      </c>
      <c r="L380" t="str">
        <f>TEXT(maintable_2[[#This Row],[Order Date]],"mmmm")</f>
        <v>September</v>
      </c>
    </row>
    <row r="381" spans="1:12" x14ac:dyDescent="0.3">
      <c r="A381" s="1">
        <v>40901</v>
      </c>
      <c r="B381" s="1">
        <v>40906</v>
      </c>
      <c r="C381" t="s">
        <v>533</v>
      </c>
      <c r="D381" t="s">
        <v>27</v>
      </c>
      <c r="E381" t="s">
        <v>534</v>
      </c>
      <c r="F381">
        <v>142.86000000000001</v>
      </c>
      <c r="G381">
        <v>1</v>
      </c>
      <c r="H381">
        <v>41.429400000000001</v>
      </c>
      <c r="I381">
        <v>5</v>
      </c>
      <c r="J381">
        <v>2011</v>
      </c>
      <c r="K381" t="s">
        <v>2207</v>
      </c>
      <c r="L381" t="str">
        <f>TEXT(maintable_2[[#This Row],[Order Date]],"mmmm")</f>
        <v>December</v>
      </c>
    </row>
    <row r="382" spans="1:12" x14ac:dyDescent="0.3">
      <c r="A382" s="1">
        <v>40901</v>
      </c>
      <c r="B382" s="1">
        <v>40906</v>
      </c>
      <c r="C382" t="s">
        <v>533</v>
      </c>
      <c r="D382" t="s">
        <v>71</v>
      </c>
      <c r="E382" t="s">
        <v>461</v>
      </c>
      <c r="F382">
        <v>292.27199999999999</v>
      </c>
      <c r="G382">
        <v>6</v>
      </c>
      <c r="H382">
        <v>18.266999999999999</v>
      </c>
      <c r="I382">
        <v>5</v>
      </c>
      <c r="J382">
        <v>2011</v>
      </c>
      <c r="K382" t="s">
        <v>2207</v>
      </c>
      <c r="L382" t="str">
        <f>TEXT(maintable_2[[#This Row],[Order Date]],"mmmm")</f>
        <v>December</v>
      </c>
    </row>
    <row r="383" spans="1:12" x14ac:dyDescent="0.3">
      <c r="A383" s="1">
        <v>41906</v>
      </c>
      <c r="B383" s="1">
        <v>41910</v>
      </c>
      <c r="C383" t="s">
        <v>535</v>
      </c>
      <c r="D383" t="s">
        <v>11</v>
      </c>
      <c r="E383" t="s">
        <v>337</v>
      </c>
      <c r="F383">
        <v>29.327999999999999</v>
      </c>
      <c r="G383">
        <v>3</v>
      </c>
      <c r="H383">
        <v>3.6659999999999999</v>
      </c>
      <c r="I383">
        <v>4</v>
      </c>
      <c r="J383">
        <v>2014</v>
      </c>
      <c r="K383" t="s">
        <v>2209</v>
      </c>
      <c r="L383" t="str">
        <f>TEXT(maintable_2[[#This Row],[Order Date]],"mmmm")</f>
        <v>September</v>
      </c>
    </row>
    <row r="384" spans="1:12" x14ac:dyDescent="0.3">
      <c r="A384" s="1">
        <v>41589</v>
      </c>
      <c r="B384" s="1">
        <v>41591</v>
      </c>
      <c r="C384" t="s">
        <v>536</v>
      </c>
      <c r="D384" t="s">
        <v>17</v>
      </c>
      <c r="E384" t="s">
        <v>537</v>
      </c>
      <c r="F384">
        <v>13.215999999999999</v>
      </c>
      <c r="G384">
        <v>4</v>
      </c>
      <c r="H384">
        <v>4.4603999999999999</v>
      </c>
      <c r="I384">
        <v>2</v>
      </c>
      <c r="J384">
        <v>2013</v>
      </c>
      <c r="K384" t="s">
        <v>2209</v>
      </c>
      <c r="L384" t="str">
        <f>TEXT(maintable_2[[#This Row],[Order Date]],"mmmm")</f>
        <v>November</v>
      </c>
    </row>
    <row r="385" spans="1:12" x14ac:dyDescent="0.3">
      <c r="A385" s="1">
        <v>41589</v>
      </c>
      <c r="B385" s="1">
        <v>41591</v>
      </c>
      <c r="C385" t="s">
        <v>536</v>
      </c>
      <c r="D385" t="s">
        <v>44</v>
      </c>
      <c r="E385" t="s">
        <v>538</v>
      </c>
      <c r="F385">
        <v>32.4</v>
      </c>
      <c r="G385">
        <v>5</v>
      </c>
      <c r="H385">
        <v>15.552</v>
      </c>
      <c r="I385">
        <v>2</v>
      </c>
      <c r="J385">
        <v>2013</v>
      </c>
      <c r="K385" t="s">
        <v>2209</v>
      </c>
      <c r="L385" t="str">
        <f>TEXT(maintable_2[[#This Row],[Order Date]],"mmmm")</f>
        <v>November</v>
      </c>
    </row>
    <row r="386" spans="1:12" x14ac:dyDescent="0.3">
      <c r="A386" s="1">
        <v>41148</v>
      </c>
      <c r="B386" s="1">
        <v>41153</v>
      </c>
      <c r="C386" t="s">
        <v>445</v>
      </c>
      <c r="D386" t="s">
        <v>81</v>
      </c>
      <c r="E386" t="s">
        <v>82</v>
      </c>
      <c r="F386">
        <v>32.94</v>
      </c>
      <c r="G386">
        <v>3</v>
      </c>
      <c r="H386">
        <v>9.2232000000000003</v>
      </c>
      <c r="I386">
        <v>5</v>
      </c>
      <c r="J386">
        <v>2012</v>
      </c>
      <c r="K386" t="s">
        <v>2206</v>
      </c>
      <c r="L386" t="str">
        <f>TEXT(maintable_2[[#This Row],[Order Date]],"mmmm")</f>
        <v>August</v>
      </c>
    </row>
    <row r="387" spans="1:12" x14ac:dyDescent="0.3">
      <c r="A387" s="1">
        <v>41148</v>
      </c>
      <c r="B387" s="1">
        <v>41153</v>
      </c>
      <c r="C387" t="s">
        <v>445</v>
      </c>
      <c r="D387" t="s">
        <v>44</v>
      </c>
      <c r="E387" t="s">
        <v>539</v>
      </c>
      <c r="F387">
        <v>114.2</v>
      </c>
      <c r="G387">
        <v>5</v>
      </c>
      <c r="H387">
        <v>52.531999999999996</v>
      </c>
      <c r="I387">
        <v>5</v>
      </c>
      <c r="J387">
        <v>2012</v>
      </c>
      <c r="K387" t="s">
        <v>2206</v>
      </c>
      <c r="L387" t="str">
        <f>TEXT(maintable_2[[#This Row],[Order Date]],"mmmm")</f>
        <v>August</v>
      </c>
    </row>
    <row r="388" spans="1:12" x14ac:dyDescent="0.3">
      <c r="A388" s="1">
        <v>41148</v>
      </c>
      <c r="B388" s="1">
        <v>41153</v>
      </c>
      <c r="C388" t="s">
        <v>445</v>
      </c>
      <c r="D388" t="s">
        <v>8</v>
      </c>
      <c r="E388" t="s">
        <v>540</v>
      </c>
      <c r="F388">
        <v>3.08</v>
      </c>
      <c r="G388">
        <v>1</v>
      </c>
      <c r="H388">
        <v>1.4783999999999999</v>
      </c>
      <c r="I388">
        <v>5</v>
      </c>
      <c r="J388">
        <v>2012</v>
      </c>
      <c r="K388" t="s">
        <v>2206</v>
      </c>
      <c r="L388" t="str">
        <f>TEXT(maintable_2[[#This Row],[Order Date]],"mmmm")</f>
        <v>August</v>
      </c>
    </row>
    <row r="389" spans="1:12" x14ac:dyDescent="0.3">
      <c r="A389" s="1">
        <v>41054</v>
      </c>
      <c r="B389" s="1">
        <v>41058</v>
      </c>
      <c r="C389" t="s">
        <v>541</v>
      </c>
      <c r="D389" t="s">
        <v>19</v>
      </c>
      <c r="E389" t="s">
        <v>542</v>
      </c>
      <c r="F389">
        <v>845.72799999999995</v>
      </c>
      <c r="G389">
        <v>13</v>
      </c>
      <c r="H389">
        <v>84.572800000000001</v>
      </c>
      <c r="I389">
        <v>4</v>
      </c>
      <c r="J389">
        <v>2012</v>
      </c>
      <c r="K389" t="s">
        <v>2208</v>
      </c>
      <c r="L389" t="str">
        <f>TEXT(maintable_2[[#This Row],[Order Date]],"mmmm")</f>
        <v>May</v>
      </c>
    </row>
    <row r="390" spans="1:12" x14ac:dyDescent="0.3">
      <c r="A390" s="1">
        <v>42004</v>
      </c>
      <c r="B390" s="1">
        <v>42008</v>
      </c>
      <c r="C390" t="s">
        <v>543</v>
      </c>
      <c r="D390" t="s">
        <v>17</v>
      </c>
      <c r="E390" t="s">
        <v>544</v>
      </c>
      <c r="F390">
        <v>13.904</v>
      </c>
      <c r="G390">
        <v>2</v>
      </c>
      <c r="H390">
        <v>4.5187999999999997</v>
      </c>
      <c r="I390">
        <v>4</v>
      </c>
      <c r="J390">
        <v>2014</v>
      </c>
      <c r="K390" t="s">
        <v>2207</v>
      </c>
      <c r="L390" t="str">
        <f>TEXT(maintable_2[[#This Row],[Order Date]],"mmmm")</f>
        <v>December</v>
      </c>
    </row>
    <row r="391" spans="1:12" x14ac:dyDescent="0.3">
      <c r="A391" s="1">
        <v>42004</v>
      </c>
      <c r="B391" s="1">
        <v>42008</v>
      </c>
      <c r="C391" t="s">
        <v>543</v>
      </c>
      <c r="D391" t="s">
        <v>17</v>
      </c>
      <c r="E391" t="s">
        <v>545</v>
      </c>
      <c r="F391">
        <v>20.72</v>
      </c>
      <c r="G391">
        <v>2</v>
      </c>
      <c r="H391">
        <v>6.4749999999999996</v>
      </c>
      <c r="I391">
        <v>4</v>
      </c>
      <c r="J391">
        <v>2014</v>
      </c>
      <c r="K391" t="s">
        <v>2207</v>
      </c>
      <c r="L391" t="str">
        <f>TEXT(maintable_2[[#This Row],[Order Date]],"mmmm")</f>
        <v>December</v>
      </c>
    </row>
    <row r="392" spans="1:12" x14ac:dyDescent="0.3">
      <c r="A392" s="1">
        <v>41186</v>
      </c>
      <c r="B392" s="1">
        <v>41189</v>
      </c>
      <c r="C392" t="s">
        <v>546</v>
      </c>
      <c r="D392" t="s">
        <v>27</v>
      </c>
      <c r="E392" t="s">
        <v>97</v>
      </c>
      <c r="F392">
        <v>26.96</v>
      </c>
      <c r="G392">
        <v>2</v>
      </c>
      <c r="H392">
        <v>7.0095999999999998</v>
      </c>
      <c r="I392">
        <v>3</v>
      </c>
      <c r="J392">
        <v>2012</v>
      </c>
      <c r="K392" t="s">
        <v>2209</v>
      </c>
      <c r="L392" t="str">
        <f>TEXT(maintable_2[[#This Row],[Order Date]],"mmmm")</f>
        <v>October</v>
      </c>
    </row>
    <row r="393" spans="1:12" x14ac:dyDescent="0.3">
      <c r="A393" s="1">
        <v>41446</v>
      </c>
      <c r="B393" s="1">
        <v>41447</v>
      </c>
      <c r="C393" t="s">
        <v>547</v>
      </c>
      <c r="D393" t="s">
        <v>44</v>
      </c>
      <c r="E393" t="s">
        <v>548</v>
      </c>
      <c r="F393">
        <v>46.76</v>
      </c>
      <c r="G393">
        <v>7</v>
      </c>
      <c r="H393">
        <v>22.444800000000001</v>
      </c>
      <c r="I393">
        <v>1</v>
      </c>
      <c r="J393">
        <v>2013</v>
      </c>
      <c r="K393" t="s">
        <v>2206</v>
      </c>
      <c r="L393" t="str">
        <f>TEXT(maintable_2[[#This Row],[Order Date]],"mmmm")</f>
        <v>June</v>
      </c>
    </row>
    <row r="394" spans="1:12" x14ac:dyDescent="0.3">
      <c r="A394" s="1">
        <v>41446</v>
      </c>
      <c r="B394" s="1">
        <v>41447</v>
      </c>
      <c r="C394" t="s">
        <v>547</v>
      </c>
      <c r="D394" t="s">
        <v>17</v>
      </c>
      <c r="E394" t="s">
        <v>453</v>
      </c>
      <c r="F394">
        <v>17.712</v>
      </c>
      <c r="G394">
        <v>3</v>
      </c>
      <c r="H394">
        <v>6.4206000000000003</v>
      </c>
      <c r="I394">
        <v>1</v>
      </c>
      <c r="J394">
        <v>2013</v>
      </c>
      <c r="K394" t="s">
        <v>2206</v>
      </c>
      <c r="L394" t="str">
        <f>TEXT(maintable_2[[#This Row],[Order Date]],"mmmm")</f>
        <v>June</v>
      </c>
    </row>
    <row r="395" spans="1:12" x14ac:dyDescent="0.3">
      <c r="A395" s="1">
        <v>41446</v>
      </c>
      <c r="B395" s="1">
        <v>41447</v>
      </c>
      <c r="C395" t="s">
        <v>547</v>
      </c>
      <c r="D395" t="s">
        <v>19</v>
      </c>
      <c r="E395" t="s">
        <v>549</v>
      </c>
      <c r="F395">
        <v>21.78</v>
      </c>
      <c r="G395">
        <v>2</v>
      </c>
      <c r="H395">
        <v>5.6627999999999998</v>
      </c>
      <c r="I395">
        <v>1</v>
      </c>
      <c r="J395">
        <v>2013</v>
      </c>
      <c r="K395" t="s">
        <v>2206</v>
      </c>
      <c r="L395" t="str">
        <f>TEXT(maintable_2[[#This Row],[Order Date]],"mmmm")</f>
        <v>June</v>
      </c>
    </row>
    <row r="396" spans="1:12" x14ac:dyDescent="0.3">
      <c r="A396" s="1">
        <v>41446</v>
      </c>
      <c r="B396" s="1">
        <v>41447</v>
      </c>
      <c r="C396" t="s">
        <v>547</v>
      </c>
      <c r="D396" t="s">
        <v>27</v>
      </c>
      <c r="E396" t="s">
        <v>550</v>
      </c>
      <c r="F396">
        <v>161.94</v>
      </c>
      <c r="G396">
        <v>3</v>
      </c>
      <c r="H396">
        <v>9.7164000000000001</v>
      </c>
      <c r="I396">
        <v>1</v>
      </c>
      <c r="J396">
        <v>2013</v>
      </c>
      <c r="K396" t="s">
        <v>2206</v>
      </c>
      <c r="L396" t="str">
        <f>TEXT(maintable_2[[#This Row],[Order Date]],"mmmm")</f>
        <v>June</v>
      </c>
    </row>
    <row r="397" spans="1:12" x14ac:dyDescent="0.3">
      <c r="A397" s="1">
        <v>41446</v>
      </c>
      <c r="B397" s="1">
        <v>41447</v>
      </c>
      <c r="C397" t="s">
        <v>547</v>
      </c>
      <c r="D397" t="s">
        <v>71</v>
      </c>
      <c r="E397" t="s">
        <v>551</v>
      </c>
      <c r="F397">
        <v>161.56800000000001</v>
      </c>
      <c r="G397">
        <v>2</v>
      </c>
      <c r="H397">
        <v>-8.0784000000000002</v>
      </c>
      <c r="I397">
        <v>1</v>
      </c>
      <c r="J397">
        <v>2013</v>
      </c>
      <c r="K397" t="s">
        <v>2206</v>
      </c>
      <c r="L397" t="str">
        <f>TEXT(maintable_2[[#This Row],[Order Date]],"mmmm")</f>
        <v>June</v>
      </c>
    </row>
    <row r="398" spans="1:12" x14ac:dyDescent="0.3">
      <c r="A398" s="1">
        <v>41627</v>
      </c>
      <c r="B398" s="1">
        <v>41632</v>
      </c>
      <c r="C398" t="s">
        <v>552</v>
      </c>
      <c r="D398" t="s">
        <v>44</v>
      </c>
      <c r="E398" t="s">
        <v>553</v>
      </c>
      <c r="F398">
        <v>38.880000000000003</v>
      </c>
      <c r="G398">
        <v>6</v>
      </c>
      <c r="H398">
        <v>18.662400000000002</v>
      </c>
      <c r="I398">
        <v>5</v>
      </c>
      <c r="J398">
        <v>2013</v>
      </c>
      <c r="K398" t="s">
        <v>2207</v>
      </c>
      <c r="L398" t="str">
        <f>TEXT(maintable_2[[#This Row],[Order Date]],"mmmm")</f>
        <v>December</v>
      </c>
    </row>
    <row r="399" spans="1:12" x14ac:dyDescent="0.3">
      <c r="A399" s="1">
        <v>41627</v>
      </c>
      <c r="B399" s="1">
        <v>41632</v>
      </c>
      <c r="C399" t="s">
        <v>552</v>
      </c>
      <c r="D399" t="s">
        <v>11</v>
      </c>
      <c r="E399" t="s">
        <v>554</v>
      </c>
      <c r="F399">
        <v>183.84</v>
      </c>
      <c r="G399">
        <v>8</v>
      </c>
      <c r="H399">
        <v>62.505600000000001</v>
      </c>
      <c r="I399">
        <v>5</v>
      </c>
      <c r="J399">
        <v>2013</v>
      </c>
      <c r="K399" t="s">
        <v>2207</v>
      </c>
      <c r="L399" t="str">
        <f>TEXT(maintable_2[[#This Row],[Order Date]],"mmmm")</f>
        <v>December</v>
      </c>
    </row>
    <row r="400" spans="1:12" x14ac:dyDescent="0.3">
      <c r="A400" s="1">
        <v>41627</v>
      </c>
      <c r="B400" s="1">
        <v>41632</v>
      </c>
      <c r="C400" t="s">
        <v>552</v>
      </c>
      <c r="D400" t="s">
        <v>81</v>
      </c>
      <c r="E400" t="s">
        <v>220</v>
      </c>
      <c r="F400">
        <v>579.29999999999995</v>
      </c>
      <c r="G400">
        <v>5</v>
      </c>
      <c r="H400">
        <v>28.965</v>
      </c>
      <c r="I400">
        <v>5</v>
      </c>
      <c r="J400">
        <v>2013</v>
      </c>
      <c r="K400" t="s">
        <v>2207</v>
      </c>
      <c r="L400" t="str">
        <f>TEXT(maintable_2[[#This Row],[Order Date]],"mmmm")</f>
        <v>December</v>
      </c>
    </row>
    <row r="401" spans="1:12" x14ac:dyDescent="0.3">
      <c r="A401" s="1">
        <v>41928</v>
      </c>
      <c r="B401" s="1">
        <v>41931</v>
      </c>
      <c r="C401" t="s">
        <v>555</v>
      </c>
      <c r="D401" t="s">
        <v>13</v>
      </c>
      <c r="E401" t="s">
        <v>556</v>
      </c>
      <c r="F401">
        <v>87.92</v>
      </c>
      <c r="G401">
        <v>4</v>
      </c>
      <c r="H401">
        <v>26.376000000000001</v>
      </c>
      <c r="I401">
        <v>3</v>
      </c>
      <c r="J401">
        <v>2014</v>
      </c>
      <c r="K401" t="s">
        <v>2209</v>
      </c>
      <c r="L401" t="str">
        <f>TEXT(maintable_2[[#This Row],[Order Date]],"mmmm")</f>
        <v>October</v>
      </c>
    </row>
    <row r="402" spans="1:12" x14ac:dyDescent="0.3">
      <c r="A402" s="1">
        <v>41418</v>
      </c>
      <c r="B402" s="1">
        <v>41422</v>
      </c>
      <c r="C402" t="s">
        <v>557</v>
      </c>
      <c r="D402" t="s">
        <v>11</v>
      </c>
      <c r="E402" t="s">
        <v>525</v>
      </c>
      <c r="F402">
        <v>37.049999999999997</v>
      </c>
      <c r="G402">
        <v>3</v>
      </c>
      <c r="H402">
        <v>16.302</v>
      </c>
      <c r="I402">
        <v>4</v>
      </c>
      <c r="J402">
        <v>2013</v>
      </c>
      <c r="K402" t="s">
        <v>2208</v>
      </c>
      <c r="L402" t="str">
        <f>TEXT(maintable_2[[#This Row],[Order Date]],"mmmm")</f>
        <v>May</v>
      </c>
    </row>
    <row r="403" spans="1:12" x14ac:dyDescent="0.3">
      <c r="A403" s="1">
        <v>40669</v>
      </c>
      <c r="B403" s="1">
        <v>40673</v>
      </c>
      <c r="C403" t="s">
        <v>558</v>
      </c>
      <c r="D403" t="s">
        <v>17</v>
      </c>
      <c r="E403" t="s">
        <v>559</v>
      </c>
      <c r="F403">
        <v>140.73599999999999</v>
      </c>
      <c r="G403">
        <v>8</v>
      </c>
      <c r="H403">
        <v>52.776000000000003</v>
      </c>
      <c r="I403">
        <v>4</v>
      </c>
      <c r="J403">
        <v>2011</v>
      </c>
      <c r="K403" t="s">
        <v>2208</v>
      </c>
      <c r="L403" t="str">
        <f>TEXT(maintable_2[[#This Row],[Order Date]],"mmmm")</f>
        <v>May</v>
      </c>
    </row>
    <row r="404" spans="1:12" x14ac:dyDescent="0.3">
      <c r="A404" s="1">
        <v>41732</v>
      </c>
      <c r="B404" s="1">
        <v>41737</v>
      </c>
      <c r="C404" t="s">
        <v>560</v>
      </c>
      <c r="D404" t="s">
        <v>11</v>
      </c>
      <c r="E404" t="s">
        <v>561</v>
      </c>
      <c r="F404">
        <v>25.11</v>
      </c>
      <c r="G404">
        <v>3</v>
      </c>
      <c r="H404">
        <v>6.5286</v>
      </c>
      <c r="I404">
        <v>5</v>
      </c>
      <c r="J404">
        <v>2014</v>
      </c>
      <c r="K404" t="s">
        <v>2208</v>
      </c>
      <c r="L404" t="str">
        <f>TEXT(maintable_2[[#This Row],[Order Date]],"mmmm")</f>
        <v>April</v>
      </c>
    </row>
    <row r="405" spans="1:12" x14ac:dyDescent="0.3">
      <c r="A405" s="1">
        <v>41764</v>
      </c>
      <c r="B405" s="1">
        <v>41769</v>
      </c>
      <c r="C405" t="s">
        <v>425</v>
      </c>
      <c r="D405" t="s">
        <v>15</v>
      </c>
      <c r="E405" t="s">
        <v>562</v>
      </c>
      <c r="F405">
        <v>183.96</v>
      </c>
      <c r="G405">
        <v>5</v>
      </c>
      <c r="H405">
        <v>20.695499999999999</v>
      </c>
      <c r="I405">
        <v>5</v>
      </c>
      <c r="J405">
        <v>2014</v>
      </c>
      <c r="K405" t="s">
        <v>2208</v>
      </c>
      <c r="L405" t="str">
        <f>TEXT(maintable_2[[#This Row],[Order Date]],"mmmm")</f>
        <v>May</v>
      </c>
    </row>
    <row r="406" spans="1:12" x14ac:dyDescent="0.3">
      <c r="A406" s="1">
        <v>41764</v>
      </c>
      <c r="B406" s="1">
        <v>41769</v>
      </c>
      <c r="C406" t="s">
        <v>425</v>
      </c>
      <c r="D406" t="s">
        <v>44</v>
      </c>
      <c r="E406" t="s">
        <v>563</v>
      </c>
      <c r="F406">
        <v>17.61</v>
      </c>
      <c r="G406">
        <v>3</v>
      </c>
      <c r="H406">
        <v>8.4527999999999999</v>
      </c>
      <c r="I406">
        <v>5</v>
      </c>
      <c r="J406">
        <v>2014</v>
      </c>
      <c r="K406" t="s">
        <v>2208</v>
      </c>
      <c r="L406" t="str">
        <f>TEXT(maintable_2[[#This Row],[Order Date]],"mmmm")</f>
        <v>May</v>
      </c>
    </row>
    <row r="407" spans="1:12" x14ac:dyDescent="0.3">
      <c r="A407" s="1">
        <v>41764</v>
      </c>
      <c r="B407" s="1">
        <v>41769</v>
      </c>
      <c r="C407" t="s">
        <v>425</v>
      </c>
      <c r="D407" t="s">
        <v>21</v>
      </c>
      <c r="E407" t="s">
        <v>529</v>
      </c>
      <c r="F407">
        <v>300.904</v>
      </c>
      <c r="G407">
        <v>1</v>
      </c>
      <c r="H407">
        <v>11.283899999999999</v>
      </c>
      <c r="I407">
        <v>5</v>
      </c>
      <c r="J407">
        <v>2014</v>
      </c>
      <c r="K407" t="s">
        <v>2208</v>
      </c>
      <c r="L407" t="str">
        <f>TEXT(maintable_2[[#This Row],[Order Date]],"mmmm")</f>
        <v>May</v>
      </c>
    </row>
    <row r="408" spans="1:12" x14ac:dyDescent="0.3">
      <c r="A408" s="1">
        <v>40812</v>
      </c>
      <c r="B408" s="1">
        <v>40817</v>
      </c>
      <c r="C408" t="s">
        <v>564</v>
      </c>
      <c r="D408" t="s">
        <v>71</v>
      </c>
      <c r="E408" t="s">
        <v>565</v>
      </c>
      <c r="F408">
        <v>145.56800000000001</v>
      </c>
      <c r="G408">
        <v>2</v>
      </c>
      <c r="H408">
        <v>0</v>
      </c>
      <c r="I408">
        <v>5</v>
      </c>
      <c r="J408">
        <v>2011</v>
      </c>
      <c r="K408" t="s">
        <v>2209</v>
      </c>
      <c r="L408" t="str">
        <f>TEXT(maintable_2[[#This Row],[Order Date]],"mmmm")</f>
        <v>September</v>
      </c>
    </row>
    <row r="409" spans="1:12" x14ac:dyDescent="0.3">
      <c r="A409" s="1">
        <v>41954</v>
      </c>
      <c r="B409" s="1">
        <v>41955</v>
      </c>
      <c r="C409" t="s">
        <v>566</v>
      </c>
      <c r="D409" t="s">
        <v>17</v>
      </c>
      <c r="E409" t="s">
        <v>567</v>
      </c>
      <c r="F409">
        <v>38.387999999999998</v>
      </c>
      <c r="G409">
        <v>14</v>
      </c>
      <c r="H409">
        <v>-25.591999999999999</v>
      </c>
      <c r="I409">
        <v>1</v>
      </c>
      <c r="J409">
        <v>2014</v>
      </c>
      <c r="K409" t="s">
        <v>2209</v>
      </c>
      <c r="L409" t="str">
        <f>TEXT(maintable_2[[#This Row],[Order Date]],"mmmm")</f>
        <v>November</v>
      </c>
    </row>
    <row r="410" spans="1:12" x14ac:dyDescent="0.3">
      <c r="A410" s="1">
        <v>41954</v>
      </c>
      <c r="B410" s="1">
        <v>41955</v>
      </c>
      <c r="C410" t="s">
        <v>566</v>
      </c>
      <c r="D410" t="s">
        <v>494</v>
      </c>
      <c r="E410" t="s">
        <v>568</v>
      </c>
      <c r="F410">
        <v>95.994</v>
      </c>
      <c r="G410">
        <v>2</v>
      </c>
      <c r="H410">
        <v>-63.996000000000002</v>
      </c>
      <c r="I410">
        <v>1</v>
      </c>
      <c r="J410">
        <v>2014</v>
      </c>
      <c r="K410" t="s">
        <v>2209</v>
      </c>
      <c r="L410" t="str">
        <f>TEXT(maintable_2[[#This Row],[Order Date]],"mmmm")</f>
        <v>November</v>
      </c>
    </row>
    <row r="411" spans="1:12" x14ac:dyDescent="0.3">
      <c r="A411" s="1">
        <v>41954</v>
      </c>
      <c r="B411" s="1">
        <v>41955</v>
      </c>
      <c r="C411" t="s">
        <v>566</v>
      </c>
      <c r="D411" t="s">
        <v>37</v>
      </c>
      <c r="E411" t="s">
        <v>569</v>
      </c>
      <c r="F411">
        <v>239.952</v>
      </c>
      <c r="G411">
        <v>6</v>
      </c>
      <c r="H411">
        <v>-35.992800000000003</v>
      </c>
      <c r="I411">
        <v>1</v>
      </c>
      <c r="J411">
        <v>2014</v>
      </c>
      <c r="K411" t="s">
        <v>2209</v>
      </c>
      <c r="L411" t="str">
        <f>TEXT(maintable_2[[#This Row],[Order Date]],"mmmm")</f>
        <v>November</v>
      </c>
    </row>
    <row r="412" spans="1:12" x14ac:dyDescent="0.3">
      <c r="A412" s="1">
        <v>41954</v>
      </c>
      <c r="B412" s="1">
        <v>41955</v>
      </c>
      <c r="C412" t="s">
        <v>566</v>
      </c>
      <c r="D412" t="s">
        <v>15</v>
      </c>
      <c r="E412" t="s">
        <v>123</v>
      </c>
      <c r="F412">
        <v>201.584</v>
      </c>
      <c r="G412">
        <v>2</v>
      </c>
      <c r="H412">
        <v>15.1188</v>
      </c>
      <c r="I412">
        <v>1</v>
      </c>
      <c r="J412">
        <v>2014</v>
      </c>
      <c r="K412" t="s">
        <v>2209</v>
      </c>
      <c r="L412" t="str">
        <f>TEXT(maintable_2[[#This Row],[Order Date]],"mmmm")</f>
        <v>November</v>
      </c>
    </row>
    <row r="413" spans="1:12" x14ac:dyDescent="0.3">
      <c r="A413" s="1">
        <v>41954</v>
      </c>
      <c r="B413" s="1">
        <v>41955</v>
      </c>
      <c r="C413" t="s">
        <v>566</v>
      </c>
      <c r="D413" t="s">
        <v>71</v>
      </c>
      <c r="E413" t="s">
        <v>570</v>
      </c>
      <c r="F413">
        <v>899.13599999999997</v>
      </c>
      <c r="G413">
        <v>4</v>
      </c>
      <c r="H413">
        <v>-146.1096</v>
      </c>
      <c r="I413">
        <v>1</v>
      </c>
      <c r="J413">
        <v>2014</v>
      </c>
      <c r="K413" t="s">
        <v>2209</v>
      </c>
      <c r="L413" t="str">
        <f>TEXT(maintable_2[[#This Row],[Order Date]],"mmmm")</f>
        <v>November</v>
      </c>
    </row>
    <row r="414" spans="1:12" x14ac:dyDescent="0.3">
      <c r="A414" s="1">
        <v>41829</v>
      </c>
      <c r="B414" s="1">
        <v>41832</v>
      </c>
      <c r="C414" t="s">
        <v>571</v>
      </c>
      <c r="D414" t="s">
        <v>11</v>
      </c>
      <c r="E414" t="s">
        <v>572</v>
      </c>
      <c r="F414">
        <v>145.9</v>
      </c>
      <c r="G414">
        <v>5</v>
      </c>
      <c r="H414">
        <v>62.737000000000002</v>
      </c>
      <c r="I414">
        <v>3</v>
      </c>
      <c r="J414">
        <v>2014</v>
      </c>
      <c r="K414" t="s">
        <v>2206</v>
      </c>
      <c r="L414" t="str">
        <f>TEXT(maintable_2[[#This Row],[Order Date]],"mmmm")</f>
        <v>July</v>
      </c>
    </row>
    <row r="415" spans="1:12" x14ac:dyDescent="0.3">
      <c r="A415" s="1">
        <v>41267</v>
      </c>
      <c r="B415" s="1">
        <v>41271</v>
      </c>
      <c r="C415" t="s">
        <v>573</v>
      </c>
      <c r="D415" t="s">
        <v>196</v>
      </c>
      <c r="E415" t="s">
        <v>574</v>
      </c>
      <c r="F415">
        <v>590.05799999999999</v>
      </c>
      <c r="G415">
        <v>7</v>
      </c>
      <c r="H415">
        <v>-786.74400000000003</v>
      </c>
      <c r="I415">
        <v>4</v>
      </c>
      <c r="J415">
        <v>2012</v>
      </c>
      <c r="K415" t="s">
        <v>2207</v>
      </c>
      <c r="L415" t="str">
        <f>TEXT(maintable_2[[#This Row],[Order Date]],"mmmm")</f>
        <v>December</v>
      </c>
    </row>
    <row r="416" spans="1:12" x14ac:dyDescent="0.3">
      <c r="A416" s="1">
        <v>41267</v>
      </c>
      <c r="B416" s="1">
        <v>41271</v>
      </c>
      <c r="C416" t="s">
        <v>573</v>
      </c>
      <c r="D416" t="s">
        <v>13</v>
      </c>
      <c r="E416" t="s">
        <v>575</v>
      </c>
      <c r="F416">
        <v>14.04</v>
      </c>
      <c r="G416">
        <v>3</v>
      </c>
      <c r="H416">
        <v>1.5794999999999999</v>
      </c>
      <c r="I416">
        <v>4</v>
      </c>
      <c r="J416">
        <v>2012</v>
      </c>
      <c r="K416" t="s">
        <v>2207</v>
      </c>
      <c r="L416" t="str">
        <f>TEXT(maintable_2[[#This Row],[Order Date]],"mmmm")</f>
        <v>December</v>
      </c>
    </row>
    <row r="417" spans="1:12" x14ac:dyDescent="0.3">
      <c r="A417" s="1">
        <v>40634</v>
      </c>
      <c r="B417" s="1">
        <v>40639</v>
      </c>
      <c r="C417" t="s">
        <v>41</v>
      </c>
      <c r="D417" t="s">
        <v>8</v>
      </c>
      <c r="E417" t="s">
        <v>576</v>
      </c>
      <c r="F417">
        <v>29.6</v>
      </c>
      <c r="G417">
        <v>2</v>
      </c>
      <c r="H417">
        <v>14.8</v>
      </c>
      <c r="I417">
        <v>5</v>
      </c>
      <c r="J417">
        <v>2011</v>
      </c>
      <c r="K417" t="s">
        <v>2208</v>
      </c>
      <c r="L417" t="str">
        <f>TEXT(maintable_2[[#This Row],[Order Date]],"mmmm")</f>
        <v>April</v>
      </c>
    </row>
    <row r="418" spans="1:12" x14ac:dyDescent="0.3">
      <c r="A418" s="1">
        <v>40634</v>
      </c>
      <c r="B418" s="1">
        <v>40639</v>
      </c>
      <c r="C418" t="s">
        <v>41</v>
      </c>
      <c r="D418" t="s">
        <v>17</v>
      </c>
      <c r="E418" t="s">
        <v>577</v>
      </c>
      <c r="F418">
        <v>17.088000000000001</v>
      </c>
      <c r="G418">
        <v>4</v>
      </c>
      <c r="H418">
        <v>5.5536000000000003</v>
      </c>
      <c r="I418">
        <v>5</v>
      </c>
      <c r="J418">
        <v>2011</v>
      </c>
      <c r="K418" t="s">
        <v>2208</v>
      </c>
      <c r="L418" t="str">
        <f>TEXT(maintable_2[[#This Row],[Order Date]],"mmmm")</f>
        <v>April</v>
      </c>
    </row>
    <row r="419" spans="1:12" x14ac:dyDescent="0.3">
      <c r="A419" s="1">
        <v>41166</v>
      </c>
      <c r="B419" s="1">
        <v>41171</v>
      </c>
      <c r="C419" t="s">
        <v>578</v>
      </c>
      <c r="D419" t="s">
        <v>21</v>
      </c>
      <c r="E419" t="s">
        <v>579</v>
      </c>
      <c r="F419">
        <v>912.75</v>
      </c>
      <c r="G419">
        <v>5</v>
      </c>
      <c r="H419">
        <v>118.6575</v>
      </c>
      <c r="I419">
        <v>5</v>
      </c>
      <c r="J419">
        <v>2012</v>
      </c>
      <c r="K419" t="s">
        <v>2209</v>
      </c>
      <c r="L419" t="str">
        <f>TEXT(maintable_2[[#This Row],[Order Date]],"mmmm")</f>
        <v>September</v>
      </c>
    </row>
    <row r="420" spans="1:12" x14ac:dyDescent="0.3">
      <c r="A420" s="1">
        <v>40759</v>
      </c>
      <c r="B420" s="1">
        <v>40764</v>
      </c>
      <c r="C420" t="s">
        <v>580</v>
      </c>
      <c r="D420" t="s">
        <v>19</v>
      </c>
      <c r="E420" t="s">
        <v>581</v>
      </c>
      <c r="F420">
        <v>1089.75</v>
      </c>
      <c r="G420">
        <v>3</v>
      </c>
      <c r="H420">
        <v>305.13</v>
      </c>
      <c r="I420">
        <v>5</v>
      </c>
      <c r="J420">
        <v>2011</v>
      </c>
      <c r="K420" t="s">
        <v>2206</v>
      </c>
      <c r="L420" t="str">
        <f>TEXT(maintable_2[[#This Row],[Order Date]],"mmmm")</f>
        <v>August</v>
      </c>
    </row>
    <row r="421" spans="1:12" x14ac:dyDescent="0.3">
      <c r="A421" s="1">
        <v>40759</v>
      </c>
      <c r="B421" s="1">
        <v>40764</v>
      </c>
      <c r="C421" t="s">
        <v>580</v>
      </c>
      <c r="D421" t="s">
        <v>44</v>
      </c>
      <c r="E421" t="s">
        <v>582</v>
      </c>
      <c r="F421">
        <v>447.84</v>
      </c>
      <c r="G421">
        <v>8</v>
      </c>
      <c r="H421">
        <v>219.44159999999999</v>
      </c>
      <c r="I421">
        <v>5</v>
      </c>
      <c r="J421">
        <v>2011</v>
      </c>
      <c r="K421" t="s">
        <v>2206</v>
      </c>
      <c r="L421" t="str">
        <f>TEXT(maintable_2[[#This Row],[Order Date]],"mmmm")</f>
        <v>August</v>
      </c>
    </row>
    <row r="422" spans="1:12" x14ac:dyDescent="0.3">
      <c r="A422" s="1">
        <v>40759</v>
      </c>
      <c r="B422" s="1">
        <v>40764</v>
      </c>
      <c r="C422" t="s">
        <v>580</v>
      </c>
      <c r="D422" t="s">
        <v>13</v>
      </c>
      <c r="E422" t="s">
        <v>583</v>
      </c>
      <c r="F422">
        <v>16.399999999999999</v>
      </c>
      <c r="G422">
        <v>5</v>
      </c>
      <c r="H422">
        <v>4.2640000000000002</v>
      </c>
      <c r="I422">
        <v>5</v>
      </c>
      <c r="J422">
        <v>2011</v>
      </c>
      <c r="K422" t="s">
        <v>2206</v>
      </c>
      <c r="L422" t="str">
        <f>TEXT(maintable_2[[#This Row],[Order Date]],"mmmm")</f>
        <v>August</v>
      </c>
    </row>
    <row r="423" spans="1:12" x14ac:dyDescent="0.3">
      <c r="A423" s="1">
        <v>40759</v>
      </c>
      <c r="B423" s="1">
        <v>40764</v>
      </c>
      <c r="C423" t="s">
        <v>580</v>
      </c>
      <c r="D423" t="s">
        <v>15</v>
      </c>
      <c r="E423" t="s">
        <v>584</v>
      </c>
      <c r="F423">
        <v>399.96</v>
      </c>
      <c r="G423">
        <v>5</v>
      </c>
      <c r="H423">
        <v>34.996499999999997</v>
      </c>
      <c r="I423">
        <v>5</v>
      </c>
      <c r="J423">
        <v>2011</v>
      </c>
      <c r="K423" t="s">
        <v>2206</v>
      </c>
      <c r="L423" t="str">
        <f>TEXT(maintable_2[[#This Row],[Order Date]],"mmmm")</f>
        <v>August</v>
      </c>
    </row>
    <row r="424" spans="1:12" x14ac:dyDescent="0.3">
      <c r="A424" s="1">
        <v>40759</v>
      </c>
      <c r="B424" s="1">
        <v>40764</v>
      </c>
      <c r="C424" t="s">
        <v>580</v>
      </c>
      <c r="D424" t="s">
        <v>27</v>
      </c>
      <c r="E424" t="s">
        <v>585</v>
      </c>
      <c r="F424">
        <v>158.9</v>
      </c>
      <c r="G424">
        <v>5</v>
      </c>
      <c r="H424">
        <v>7.9450000000000003</v>
      </c>
      <c r="I424">
        <v>5</v>
      </c>
      <c r="J424">
        <v>2011</v>
      </c>
      <c r="K424" t="s">
        <v>2206</v>
      </c>
      <c r="L424" t="str">
        <f>TEXT(maintable_2[[#This Row],[Order Date]],"mmmm")</f>
        <v>August</v>
      </c>
    </row>
    <row r="425" spans="1:12" x14ac:dyDescent="0.3">
      <c r="A425" s="1">
        <v>40759</v>
      </c>
      <c r="B425" s="1">
        <v>40764</v>
      </c>
      <c r="C425" t="s">
        <v>580</v>
      </c>
      <c r="D425" t="s">
        <v>17</v>
      </c>
      <c r="E425" t="s">
        <v>586</v>
      </c>
      <c r="F425">
        <v>13.183999999999999</v>
      </c>
      <c r="G425">
        <v>1</v>
      </c>
      <c r="H425">
        <v>4.7792000000000003</v>
      </c>
      <c r="I425">
        <v>5</v>
      </c>
      <c r="J425">
        <v>2011</v>
      </c>
      <c r="K425" t="s">
        <v>2206</v>
      </c>
      <c r="L425" t="str">
        <f>TEXT(maintable_2[[#This Row],[Order Date]],"mmmm")</f>
        <v>August</v>
      </c>
    </row>
    <row r="426" spans="1:12" x14ac:dyDescent="0.3">
      <c r="A426" s="1">
        <v>41543</v>
      </c>
      <c r="B426" s="1">
        <v>41548</v>
      </c>
      <c r="C426" t="s">
        <v>587</v>
      </c>
      <c r="D426" t="s">
        <v>21</v>
      </c>
      <c r="E426" t="s">
        <v>418</v>
      </c>
      <c r="F426">
        <v>393.16500000000002</v>
      </c>
      <c r="G426">
        <v>3</v>
      </c>
      <c r="H426">
        <v>-204.44579999999999</v>
      </c>
      <c r="I426">
        <v>5</v>
      </c>
      <c r="J426">
        <v>2013</v>
      </c>
      <c r="K426" t="s">
        <v>2209</v>
      </c>
      <c r="L426" t="str">
        <f>TEXT(maintable_2[[#This Row],[Order Date]],"mmmm")</f>
        <v>September</v>
      </c>
    </row>
    <row r="427" spans="1:12" x14ac:dyDescent="0.3">
      <c r="A427" s="1">
        <v>41668</v>
      </c>
      <c r="B427" s="1">
        <v>41671</v>
      </c>
      <c r="C427" t="s">
        <v>588</v>
      </c>
      <c r="D427" t="s">
        <v>37</v>
      </c>
      <c r="E427" t="s">
        <v>589</v>
      </c>
      <c r="F427">
        <v>239.97</v>
      </c>
      <c r="G427">
        <v>3</v>
      </c>
      <c r="H427">
        <v>26.396699999999999</v>
      </c>
      <c r="I427">
        <v>3</v>
      </c>
      <c r="J427">
        <v>2014</v>
      </c>
      <c r="K427" t="s">
        <v>2210</v>
      </c>
      <c r="L427" t="str">
        <f>TEXT(maintable_2[[#This Row],[Order Date]],"mmmm")</f>
        <v>January</v>
      </c>
    </row>
    <row r="428" spans="1:12" x14ac:dyDescent="0.3">
      <c r="A428" s="1">
        <v>41668</v>
      </c>
      <c r="B428" s="1">
        <v>41671</v>
      </c>
      <c r="C428" t="s">
        <v>588</v>
      </c>
      <c r="D428" t="s">
        <v>11</v>
      </c>
      <c r="E428" t="s">
        <v>590</v>
      </c>
      <c r="F428">
        <v>37.74</v>
      </c>
      <c r="G428">
        <v>3</v>
      </c>
      <c r="H428">
        <v>12.8316</v>
      </c>
      <c r="I428">
        <v>3</v>
      </c>
      <c r="J428">
        <v>2014</v>
      </c>
      <c r="K428" t="s">
        <v>2210</v>
      </c>
      <c r="L428" t="str">
        <f>TEXT(maintable_2[[#This Row],[Order Date]],"mmmm")</f>
        <v>January</v>
      </c>
    </row>
    <row r="429" spans="1:12" x14ac:dyDescent="0.3">
      <c r="A429" s="1">
        <v>41178</v>
      </c>
      <c r="B429" s="1">
        <v>41182</v>
      </c>
      <c r="C429" t="s">
        <v>591</v>
      </c>
      <c r="D429" t="s">
        <v>44</v>
      </c>
      <c r="E429" t="s">
        <v>592</v>
      </c>
      <c r="F429">
        <v>86.272000000000006</v>
      </c>
      <c r="G429">
        <v>4</v>
      </c>
      <c r="H429">
        <v>31.273599999999998</v>
      </c>
      <c r="I429">
        <v>4</v>
      </c>
      <c r="J429">
        <v>2012</v>
      </c>
      <c r="K429" t="s">
        <v>2209</v>
      </c>
      <c r="L429" t="str">
        <f>TEXT(maintable_2[[#This Row],[Order Date]],"mmmm")</f>
        <v>September</v>
      </c>
    </row>
    <row r="430" spans="1:12" x14ac:dyDescent="0.3">
      <c r="A430" s="1">
        <v>41178</v>
      </c>
      <c r="B430" s="1">
        <v>41182</v>
      </c>
      <c r="C430" t="s">
        <v>591</v>
      </c>
      <c r="D430" t="s">
        <v>17</v>
      </c>
      <c r="E430" t="s">
        <v>593</v>
      </c>
      <c r="F430">
        <v>72.587999999999994</v>
      </c>
      <c r="G430">
        <v>2</v>
      </c>
      <c r="H430">
        <v>-48.392000000000003</v>
      </c>
      <c r="I430">
        <v>4</v>
      </c>
      <c r="J430">
        <v>2012</v>
      </c>
      <c r="K430" t="s">
        <v>2209</v>
      </c>
      <c r="L430" t="str">
        <f>TEXT(maintable_2[[#This Row],[Order Date]],"mmmm")</f>
        <v>September</v>
      </c>
    </row>
    <row r="431" spans="1:12" x14ac:dyDescent="0.3">
      <c r="A431" s="1">
        <v>41178</v>
      </c>
      <c r="B431" s="1">
        <v>41182</v>
      </c>
      <c r="C431" t="s">
        <v>591</v>
      </c>
      <c r="D431" t="s">
        <v>19</v>
      </c>
      <c r="E431" t="s">
        <v>594</v>
      </c>
      <c r="F431">
        <v>60.671999999999997</v>
      </c>
      <c r="G431">
        <v>2</v>
      </c>
      <c r="H431">
        <v>14.409599999999999</v>
      </c>
      <c r="I431">
        <v>4</v>
      </c>
      <c r="J431">
        <v>2012</v>
      </c>
      <c r="K431" t="s">
        <v>2209</v>
      </c>
      <c r="L431" t="str">
        <f>TEXT(maintable_2[[#This Row],[Order Date]],"mmmm")</f>
        <v>September</v>
      </c>
    </row>
    <row r="432" spans="1:12" x14ac:dyDescent="0.3">
      <c r="A432" s="1">
        <v>41178</v>
      </c>
      <c r="B432" s="1">
        <v>41182</v>
      </c>
      <c r="C432" t="s">
        <v>591</v>
      </c>
      <c r="D432" t="s">
        <v>17</v>
      </c>
      <c r="E432" t="s">
        <v>498</v>
      </c>
      <c r="F432">
        <v>77.031000000000006</v>
      </c>
      <c r="G432">
        <v>9</v>
      </c>
      <c r="H432">
        <v>-59.057099999999998</v>
      </c>
      <c r="I432">
        <v>4</v>
      </c>
      <c r="J432">
        <v>2012</v>
      </c>
      <c r="K432" t="s">
        <v>2209</v>
      </c>
      <c r="L432" t="str">
        <f>TEXT(maintable_2[[#This Row],[Order Date]],"mmmm")</f>
        <v>September</v>
      </c>
    </row>
    <row r="433" spans="1:12" x14ac:dyDescent="0.3">
      <c r="A433" s="1">
        <v>41178</v>
      </c>
      <c r="B433" s="1">
        <v>41182</v>
      </c>
      <c r="C433" t="s">
        <v>591</v>
      </c>
      <c r="D433" t="s">
        <v>27</v>
      </c>
      <c r="E433" t="s">
        <v>595</v>
      </c>
      <c r="F433">
        <v>119.904</v>
      </c>
      <c r="G433">
        <v>6</v>
      </c>
      <c r="H433">
        <v>-1.4987999999999999</v>
      </c>
      <c r="I433">
        <v>4</v>
      </c>
      <c r="J433">
        <v>2012</v>
      </c>
      <c r="K433" t="s">
        <v>2209</v>
      </c>
      <c r="L433" t="str">
        <f>TEXT(maintable_2[[#This Row],[Order Date]],"mmmm")</f>
        <v>September</v>
      </c>
    </row>
    <row r="434" spans="1:12" x14ac:dyDescent="0.3">
      <c r="A434" s="1">
        <v>41178</v>
      </c>
      <c r="B434" s="1">
        <v>41182</v>
      </c>
      <c r="C434" t="s">
        <v>591</v>
      </c>
      <c r="D434" t="s">
        <v>15</v>
      </c>
      <c r="E434" t="s">
        <v>596</v>
      </c>
      <c r="F434">
        <v>263.95999999999998</v>
      </c>
      <c r="G434">
        <v>5</v>
      </c>
      <c r="H434">
        <v>23.096499999999999</v>
      </c>
      <c r="I434">
        <v>4</v>
      </c>
      <c r="J434">
        <v>2012</v>
      </c>
      <c r="K434" t="s">
        <v>2209</v>
      </c>
      <c r="L434" t="str">
        <f>TEXT(maintable_2[[#This Row],[Order Date]],"mmmm")</f>
        <v>September</v>
      </c>
    </row>
    <row r="435" spans="1:12" x14ac:dyDescent="0.3">
      <c r="A435" s="1">
        <v>41178</v>
      </c>
      <c r="B435" s="1">
        <v>41182</v>
      </c>
      <c r="C435" t="s">
        <v>591</v>
      </c>
      <c r="D435" t="s">
        <v>27</v>
      </c>
      <c r="E435" t="s">
        <v>223</v>
      </c>
      <c r="F435">
        <v>363.64800000000002</v>
      </c>
      <c r="G435">
        <v>4</v>
      </c>
      <c r="H435">
        <v>-86.366399999999999</v>
      </c>
      <c r="I435">
        <v>4</v>
      </c>
      <c r="J435">
        <v>2012</v>
      </c>
      <c r="K435" t="s">
        <v>2209</v>
      </c>
      <c r="L435" t="str">
        <f>TEXT(maintable_2[[#This Row],[Order Date]],"mmmm")</f>
        <v>September</v>
      </c>
    </row>
    <row r="436" spans="1:12" x14ac:dyDescent="0.3">
      <c r="A436" s="1">
        <v>41213</v>
      </c>
      <c r="B436" s="1">
        <v>41217</v>
      </c>
      <c r="C436" t="s">
        <v>597</v>
      </c>
      <c r="D436" t="s">
        <v>17</v>
      </c>
      <c r="E436" t="s">
        <v>598</v>
      </c>
      <c r="F436">
        <v>9.7279999999999998</v>
      </c>
      <c r="G436">
        <v>2</v>
      </c>
      <c r="H436">
        <v>3.2831999999999999</v>
      </c>
      <c r="I436">
        <v>4</v>
      </c>
      <c r="J436">
        <v>2012</v>
      </c>
      <c r="K436" t="s">
        <v>2209</v>
      </c>
      <c r="L436" t="str">
        <f>TEXT(maintable_2[[#This Row],[Order Date]],"mmmm")</f>
        <v>October</v>
      </c>
    </row>
    <row r="437" spans="1:12" x14ac:dyDescent="0.3">
      <c r="A437" s="1">
        <v>41213</v>
      </c>
      <c r="B437" s="1">
        <v>41217</v>
      </c>
      <c r="C437" t="s">
        <v>597</v>
      </c>
      <c r="D437" t="s">
        <v>86</v>
      </c>
      <c r="E437" t="s">
        <v>441</v>
      </c>
      <c r="F437">
        <v>14.75</v>
      </c>
      <c r="G437">
        <v>5</v>
      </c>
      <c r="H437">
        <v>7.08</v>
      </c>
      <c r="I437">
        <v>4</v>
      </c>
      <c r="J437">
        <v>2012</v>
      </c>
      <c r="K437" t="s">
        <v>2209</v>
      </c>
      <c r="L437" t="str">
        <f>TEXT(maintable_2[[#This Row],[Order Date]],"mmmm")</f>
        <v>October</v>
      </c>
    </row>
    <row r="438" spans="1:12" x14ac:dyDescent="0.3">
      <c r="A438" s="1">
        <v>41213</v>
      </c>
      <c r="B438" s="1">
        <v>41217</v>
      </c>
      <c r="C438" t="s">
        <v>597</v>
      </c>
      <c r="D438" t="s">
        <v>17</v>
      </c>
      <c r="E438" t="s">
        <v>599</v>
      </c>
      <c r="F438">
        <v>29.8</v>
      </c>
      <c r="G438">
        <v>5</v>
      </c>
      <c r="H438">
        <v>9.3125</v>
      </c>
      <c r="I438">
        <v>4</v>
      </c>
      <c r="J438">
        <v>2012</v>
      </c>
      <c r="K438" t="s">
        <v>2209</v>
      </c>
      <c r="L438" t="str">
        <f>TEXT(maintable_2[[#This Row],[Order Date]],"mmmm")</f>
        <v>October</v>
      </c>
    </row>
    <row r="439" spans="1:12" x14ac:dyDescent="0.3">
      <c r="A439" s="1">
        <v>41213</v>
      </c>
      <c r="B439" s="1">
        <v>41217</v>
      </c>
      <c r="C439" t="s">
        <v>597</v>
      </c>
      <c r="D439" t="s">
        <v>8</v>
      </c>
      <c r="E439" t="s">
        <v>600</v>
      </c>
      <c r="F439">
        <v>427.42</v>
      </c>
      <c r="G439">
        <v>14</v>
      </c>
      <c r="H439">
        <v>196.61320000000001</v>
      </c>
      <c r="I439">
        <v>4</v>
      </c>
      <c r="J439">
        <v>2012</v>
      </c>
      <c r="K439" t="s">
        <v>2209</v>
      </c>
      <c r="L439" t="str">
        <f>TEXT(maintable_2[[#This Row],[Order Date]],"mmmm")</f>
        <v>October</v>
      </c>
    </row>
    <row r="440" spans="1:12" x14ac:dyDescent="0.3">
      <c r="A440" s="1">
        <v>41635</v>
      </c>
      <c r="B440" s="1">
        <v>41639</v>
      </c>
      <c r="C440" t="s">
        <v>279</v>
      </c>
      <c r="D440" t="s">
        <v>44</v>
      </c>
      <c r="E440" t="s">
        <v>601</v>
      </c>
      <c r="F440">
        <v>33.9</v>
      </c>
      <c r="G440">
        <v>5</v>
      </c>
      <c r="H440">
        <v>15.593999999999999</v>
      </c>
      <c r="I440">
        <v>4</v>
      </c>
      <c r="J440">
        <v>2013</v>
      </c>
      <c r="K440" t="s">
        <v>2207</v>
      </c>
      <c r="L440" t="str">
        <f>TEXT(maintable_2[[#This Row],[Order Date]],"mmmm")</f>
        <v>December</v>
      </c>
    </row>
    <row r="441" spans="1:12" x14ac:dyDescent="0.3">
      <c r="A441" s="1">
        <v>41993</v>
      </c>
      <c r="B441" s="1">
        <v>41998</v>
      </c>
      <c r="C441" t="s">
        <v>602</v>
      </c>
      <c r="D441" t="s">
        <v>17</v>
      </c>
      <c r="E441" t="s">
        <v>603</v>
      </c>
      <c r="F441">
        <v>36.671999999999997</v>
      </c>
      <c r="G441">
        <v>2</v>
      </c>
      <c r="H441">
        <v>11.46</v>
      </c>
      <c r="I441">
        <v>5</v>
      </c>
      <c r="J441">
        <v>2014</v>
      </c>
      <c r="K441" t="s">
        <v>2207</v>
      </c>
      <c r="L441" t="str">
        <f>TEXT(maintable_2[[#This Row],[Order Date]],"mmmm")</f>
        <v>December</v>
      </c>
    </row>
    <row r="442" spans="1:12" x14ac:dyDescent="0.3">
      <c r="A442" s="1">
        <v>41183</v>
      </c>
      <c r="B442" s="1">
        <v>41188</v>
      </c>
      <c r="C442" t="s">
        <v>604</v>
      </c>
      <c r="D442" t="s">
        <v>27</v>
      </c>
      <c r="E442" t="s">
        <v>69</v>
      </c>
      <c r="F442">
        <v>139.42400000000001</v>
      </c>
      <c r="G442">
        <v>4</v>
      </c>
      <c r="H442">
        <v>17.428000000000001</v>
      </c>
      <c r="I442">
        <v>5</v>
      </c>
      <c r="J442">
        <v>2012</v>
      </c>
      <c r="K442" t="s">
        <v>2209</v>
      </c>
      <c r="L442" t="str">
        <f>TEXT(maintable_2[[#This Row],[Order Date]],"mmmm")</f>
        <v>October</v>
      </c>
    </row>
    <row r="443" spans="1:12" x14ac:dyDescent="0.3">
      <c r="A443" s="1">
        <v>41030</v>
      </c>
      <c r="B443" s="1">
        <v>41036</v>
      </c>
      <c r="C443" t="s">
        <v>605</v>
      </c>
      <c r="D443" t="s">
        <v>15</v>
      </c>
      <c r="E443" t="s">
        <v>606</v>
      </c>
      <c r="F443">
        <v>88.751999999999995</v>
      </c>
      <c r="G443">
        <v>3</v>
      </c>
      <c r="H443">
        <v>11.093999999999999</v>
      </c>
      <c r="I443">
        <v>6</v>
      </c>
      <c r="J443">
        <v>2012</v>
      </c>
      <c r="K443" t="s">
        <v>2208</v>
      </c>
      <c r="L443" t="str">
        <f>TEXT(maintable_2[[#This Row],[Order Date]],"mmmm")</f>
        <v>May</v>
      </c>
    </row>
    <row r="444" spans="1:12" x14ac:dyDescent="0.3">
      <c r="A444" s="1">
        <v>41109</v>
      </c>
      <c r="B444" s="1">
        <v>41110</v>
      </c>
      <c r="C444" t="s">
        <v>607</v>
      </c>
      <c r="D444" t="s">
        <v>17</v>
      </c>
      <c r="E444" t="s">
        <v>608</v>
      </c>
      <c r="F444">
        <v>2.0249999999999999</v>
      </c>
      <c r="G444">
        <v>1</v>
      </c>
      <c r="H444">
        <v>-1.35</v>
      </c>
      <c r="I444">
        <v>1</v>
      </c>
      <c r="J444">
        <v>2012</v>
      </c>
      <c r="K444" t="s">
        <v>2206</v>
      </c>
      <c r="L444" t="str">
        <f>TEXT(maintable_2[[#This Row],[Order Date]],"mmmm")</f>
        <v>July</v>
      </c>
    </row>
    <row r="445" spans="1:12" x14ac:dyDescent="0.3">
      <c r="A445" s="1">
        <v>41244</v>
      </c>
      <c r="B445" s="1">
        <v>41251</v>
      </c>
      <c r="C445" t="s">
        <v>308</v>
      </c>
      <c r="D445" t="s">
        <v>17</v>
      </c>
      <c r="E445" t="s">
        <v>609</v>
      </c>
      <c r="F445">
        <v>55.423999999999999</v>
      </c>
      <c r="G445">
        <v>2</v>
      </c>
      <c r="H445">
        <v>19.398399999999999</v>
      </c>
      <c r="I445">
        <v>7</v>
      </c>
      <c r="J445">
        <v>2012</v>
      </c>
      <c r="K445" t="s">
        <v>2209</v>
      </c>
      <c r="L445" t="str">
        <f>TEXT(maintable_2[[#This Row],[Order Date]],"mmmm")</f>
        <v>December</v>
      </c>
    </row>
    <row r="446" spans="1:12" x14ac:dyDescent="0.3">
      <c r="A446" s="1">
        <v>40763</v>
      </c>
      <c r="B446" s="1">
        <v>40769</v>
      </c>
      <c r="C446" t="s">
        <v>610</v>
      </c>
      <c r="D446" t="s">
        <v>11</v>
      </c>
      <c r="E446" t="s">
        <v>444</v>
      </c>
      <c r="F446">
        <v>121.376</v>
      </c>
      <c r="G446">
        <v>4</v>
      </c>
      <c r="H446">
        <v>-3.0344000000000002</v>
      </c>
      <c r="I446">
        <v>6</v>
      </c>
      <c r="J446">
        <v>2011</v>
      </c>
      <c r="K446" t="s">
        <v>2206</v>
      </c>
      <c r="L446" t="str">
        <f>TEXT(maintable_2[[#This Row],[Order Date]],"mmmm")</f>
        <v>August</v>
      </c>
    </row>
    <row r="447" spans="1:12" x14ac:dyDescent="0.3">
      <c r="A447" s="1">
        <v>40763</v>
      </c>
      <c r="B447" s="1">
        <v>40769</v>
      </c>
      <c r="C447" t="s">
        <v>610</v>
      </c>
      <c r="D447" t="s">
        <v>37</v>
      </c>
      <c r="E447" t="s">
        <v>611</v>
      </c>
      <c r="F447">
        <v>95.975999999999999</v>
      </c>
      <c r="G447">
        <v>3</v>
      </c>
      <c r="H447">
        <v>-10.7973</v>
      </c>
      <c r="I447">
        <v>6</v>
      </c>
      <c r="J447">
        <v>2011</v>
      </c>
      <c r="K447" t="s">
        <v>2206</v>
      </c>
      <c r="L447" t="str">
        <f>TEXT(maintable_2[[#This Row],[Order Date]],"mmmm")</f>
        <v>August</v>
      </c>
    </row>
    <row r="448" spans="1:12" x14ac:dyDescent="0.3">
      <c r="A448" s="1">
        <v>41832</v>
      </c>
      <c r="B448" s="1">
        <v>41836</v>
      </c>
      <c r="C448" t="s">
        <v>612</v>
      </c>
      <c r="D448" t="s">
        <v>8</v>
      </c>
      <c r="E448" t="s">
        <v>613</v>
      </c>
      <c r="F448">
        <v>8.67</v>
      </c>
      <c r="G448">
        <v>3</v>
      </c>
      <c r="H448">
        <v>4.0749000000000004</v>
      </c>
      <c r="I448">
        <v>4</v>
      </c>
      <c r="J448">
        <v>2014</v>
      </c>
      <c r="K448" t="s">
        <v>2206</v>
      </c>
      <c r="L448" t="str">
        <f>TEXT(maintable_2[[#This Row],[Order Date]],"mmmm")</f>
        <v>July</v>
      </c>
    </row>
    <row r="449" spans="1:12" x14ac:dyDescent="0.3">
      <c r="A449" s="1">
        <v>41963</v>
      </c>
      <c r="B449" s="1">
        <v>41964</v>
      </c>
      <c r="C449" t="s">
        <v>59</v>
      </c>
      <c r="D449" t="s">
        <v>15</v>
      </c>
      <c r="E449" t="s">
        <v>614</v>
      </c>
      <c r="F449">
        <v>31.968</v>
      </c>
      <c r="G449">
        <v>4</v>
      </c>
      <c r="H449">
        <v>2.3976000000000002</v>
      </c>
      <c r="I449">
        <v>1</v>
      </c>
      <c r="J449">
        <v>2014</v>
      </c>
      <c r="K449" t="s">
        <v>2209</v>
      </c>
      <c r="L449" t="str">
        <f>TEXT(maintable_2[[#This Row],[Order Date]],"mmmm")</f>
        <v>November</v>
      </c>
    </row>
    <row r="450" spans="1:12" x14ac:dyDescent="0.3">
      <c r="A450" s="1">
        <v>41611</v>
      </c>
      <c r="B450" s="1">
        <v>41617</v>
      </c>
      <c r="C450" t="s">
        <v>615</v>
      </c>
      <c r="D450" t="s">
        <v>44</v>
      </c>
      <c r="E450" t="s">
        <v>616</v>
      </c>
      <c r="F450">
        <v>25.92</v>
      </c>
      <c r="G450">
        <v>4</v>
      </c>
      <c r="H450">
        <v>12.441599999999999</v>
      </c>
      <c r="I450">
        <v>6</v>
      </c>
      <c r="J450">
        <v>2013</v>
      </c>
      <c r="K450" t="s">
        <v>2207</v>
      </c>
      <c r="L450" t="str">
        <f>TEXT(maintable_2[[#This Row],[Order Date]],"mmmm")</f>
        <v>December</v>
      </c>
    </row>
    <row r="451" spans="1:12" x14ac:dyDescent="0.3">
      <c r="A451" s="1">
        <v>41611</v>
      </c>
      <c r="B451" s="1">
        <v>41617</v>
      </c>
      <c r="C451" t="s">
        <v>615</v>
      </c>
      <c r="D451" t="s">
        <v>44</v>
      </c>
      <c r="E451" t="s">
        <v>617</v>
      </c>
      <c r="F451">
        <v>40.46</v>
      </c>
      <c r="G451">
        <v>7</v>
      </c>
      <c r="H451">
        <v>19.825399999999998</v>
      </c>
      <c r="I451">
        <v>6</v>
      </c>
      <c r="J451">
        <v>2013</v>
      </c>
      <c r="K451" t="s">
        <v>2207</v>
      </c>
      <c r="L451" t="str">
        <f>TEXT(maintable_2[[#This Row],[Order Date]],"mmmm")</f>
        <v>December</v>
      </c>
    </row>
    <row r="452" spans="1:12" x14ac:dyDescent="0.3">
      <c r="A452" s="1">
        <v>41611</v>
      </c>
      <c r="B452" s="1">
        <v>41617</v>
      </c>
      <c r="C452" t="s">
        <v>615</v>
      </c>
      <c r="D452" t="s">
        <v>27</v>
      </c>
      <c r="E452" t="s">
        <v>618</v>
      </c>
      <c r="F452">
        <v>33.869999999999997</v>
      </c>
      <c r="G452">
        <v>3</v>
      </c>
      <c r="H452">
        <v>8.8062000000000005</v>
      </c>
      <c r="I452">
        <v>6</v>
      </c>
      <c r="J452">
        <v>2013</v>
      </c>
      <c r="K452" t="s">
        <v>2207</v>
      </c>
      <c r="L452" t="str">
        <f>TEXT(maintable_2[[#This Row],[Order Date]],"mmmm")</f>
        <v>December</v>
      </c>
    </row>
    <row r="453" spans="1:12" x14ac:dyDescent="0.3">
      <c r="A453" s="1">
        <v>41562</v>
      </c>
      <c r="B453" s="1">
        <v>41566</v>
      </c>
      <c r="C453" t="s">
        <v>619</v>
      </c>
      <c r="D453" t="s">
        <v>37</v>
      </c>
      <c r="E453" t="s">
        <v>620</v>
      </c>
      <c r="F453">
        <v>177</v>
      </c>
      <c r="G453">
        <v>3</v>
      </c>
      <c r="H453">
        <v>30.09</v>
      </c>
      <c r="I453">
        <v>4</v>
      </c>
      <c r="J453">
        <v>2013</v>
      </c>
      <c r="K453" t="s">
        <v>2209</v>
      </c>
      <c r="L453" t="str">
        <f>TEXT(maintable_2[[#This Row],[Order Date]],"mmmm")</f>
        <v>October</v>
      </c>
    </row>
    <row r="454" spans="1:12" x14ac:dyDescent="0.3">
      <c r="A454" s="1">
        <v>41216</v>
      </c>
      <c r="B454" s="1">
        <v>41220</v>
      </c>
      <c r="C454" t="s">
        <v>621</v>
      </c>
      <c r="D454" t="s">
        <v>15</v>
      </c>
      <c r="E454" t="s">
        <v>622</v>
      </c>
      <c r="F454">
        <v>1212.848</v>
      </c>
      <c r="G454">
        <v>7</v>
      </c>
      <c r="H454">
        <v>106.1242</v>
      </c>
      <c r="I454">
        <v>4</v>
      </c>
      <c r="J454">
        <v>2012</v>
      </c>
      <c r="K454" t="s">
        <v>2209</v>
      </c>
      <c r="L454" t="str">
        <f>TEXT(maintable_2[[#This Row],[Order Date]],"mmmm")</f>
        <v>November</v>
      </c>
    </row>
    <row r="455" spans="1:12" x14ac:dyDescent="0.3">
      <c r="A455" s="1">
        <v>41216</v>
      </c>
      <c r="B455" s="1">
        <v>41220</v>
      </c>
      <c r="C455" t="s">
        <v>621</v>
      </c>
      <c r="D455" t="s">
        <v>37</v>
      </c>
      <c r="E455" t="s">
        <v>623</v>
      </c>
      <c r="F455">
        <v>89.97</v>
      </c>
      <c r="G455">
        <v>3</v>
      </c>
      <c r="H455">
        <v>37.787399999999998</v>
      </c>
      <c r="I455">
        <v>4</v>
      </c>
      <c r="J455">
        <v>2012</v>
      </c>
      <c r="K455" t="s">
        <v>2209</v>
      </c>
      <c r="L455" t="str">
        <f>TEXT(maintable_2[[#This Row],[Order Date]],"mmmm")</f>
        <v>November</v>
      </c>
    </row>
    <row r="456" spans="1:12" x14ac:dyDescent="0.3">
      <c r="A456" s="1">
        <v>41216</v>
      </c>
      <c r="B456" s="1">
        <v>41220</v>
      </c>
      <c r="C456" t="s">
        <v>621</v>
      </c>
      <c r="D456" t="s">
        <v>11</v>
      </c>
      <c r="E456" t="s">
        <v>275</v>
      </c>
      <c r="F456">
        <v>42.6</v>
      </c>
      <c r="G456">
        <v>3</v>
      </c>
      <c r="H456">
        <v>16.614000000000001</v>
      </c>
      <c r="I456">
        <v>4</v>
      </c>
      <c r="J456">
        <v>2012</v>
      </c>
      <c r="K456" t="s">
        <v>2209</v>
      </c>
      <c r="L456" t="str">
        <f>TEXT(maintable_2[[#This Row],[Order Date]],"mmmm")</f>
        <v>November</v>
      </c>
    </row>
    <row r="457" spans="1:12" x14ac:dyDescent="0.3">
      <c r="A457" s="1">
        <v>41943</v>
      </c>
      <c r="B457" s="1">
        <v>41947</v>
      </c>
      <c r="C457" t="s">
        <v>624</v>
      </c>
      <c r="D457" t="s">
        <v>11</v>
      </c>
      <c r="E457" t="s">
        <v>625</v>
      </c>
      <c r="F457">
        <v>9.64</v>
      </c>
      <c r="G457">
        <v>2</v>
      </c>
      <c r="H457">
        <v>3.6631999999999998</v>
      </c>
      <c r="I457">
        <v>4</v>
      </c>
      <c r="J457">
        <v>2014</v>
      </c>
      <c r="K457" t="s">
        <v>2209</v>
      </c>
      <c r="L457" t="str">
        <f>TEXT(maintable_2[[#This Row],[Order Date]],"mmmm")</f>
        <v>October</v>
      </c>
    </row>
    <row r="458" spans="1:12" x14ac:dyDescent="0.3">
      <c r="A458" s="1">
        <v>41565</v>
      </c>
      <c r="B458" s="1">
        <v>41568</v>
      </c>
      <c r="C458" t="s">
        <v>98</v>
      </c>
      <c r="D458" t="s">
        <v>17</v>
      </c>
      <c r="E458" t="s">
        <v>626</v>
      </c>
      <c r="F458">
        <v>18.16</v>
      </c>
      <c r="G458">
        <v>5</v>
      </c>
      <c r="H458">
        <v>6.5830000000000002</v>
      </c>
      <c r="I458">
        <v>3</v>
      </c>
      <c r="J458">
        <v>2013</v>
      </c>
      <c r="K458" t="s">
        <v>2209</v>
      </c>
      <c r="L458" t="str">
        <f>TEXT(maintable_2[[#This Row],[Order Date]],"mmmm")</f>
        <v>October</v>
      </c>
    </row>
    <row r="459" spans="1:12" x14ac:dyDescent="0.3">
      <c r="A459" s="1">
        <v>41603</v>
      </c>
      <c r="B459" s="1">
        <v>41610</v>
      </c>
      <c r="C459" t="s">
        <v>504</v>
      </c>
      <c r="D459" t="s">
        <v>15</v>
      </c>
      <c r="E459" t="s">
        <v>627</v>
      </c>
      <c r="F459">
        <v>33.520000000000003</v>
      </c>
      <c r="G459">
        <v>2</v>
      </c>
      <c r="H459">
        <v>3.3519999999999999</v>
      </c>
      <c r="I459">
        <v>7</v>
      </c>
      <c r="J459">
        <v>2013</v>
      </c>
      <c r="K459" t="s">
        <v>2209</v>
      </c>
      <c r="L459" t="str">
        <f>TEXT(maintable_2[[#This Row],[Order Date]],"mmmm")</f>
        <v>November</v>
      </c>
    </row>
    <row r="460" spans="1:12" x14ac:dyDescent="0.3">
      <c r="A460" s="1">
        <v>41603</v>
      </c>
      <c r="B460" s="1">
        <v>41610</v>
      </c>
      <c r="C460" t="s">
        <v>504</v>
      </c>
      <c r="D460" t="s">
        <v>11</v>
      </c>
      <c r="E460" t="s">
        <v>628</v>
      </c>
      <c r="F460">
        <v>9.94</v>
      </c>
      <c r="G460">
        <v>2</v>
      </c>
      <c r="H460">
        <v>3.0813999999999999</v>
      </c>
      <c r="I460">
        <v>7</v>
      </c>
      <c r="J460">
        <v>2013</v>
      </c>
      <c r="K460" t="s">
        <v>2209</v>
      </c>
      <c r="L460" t="str">
        <f>TEXT(maintable_2[[#This Row],[Order Date]],"mmmm")</f>
        <v>November</v>
      </c>
    </row>
    <row r="461" spans="1:12" x14ac:dyDescent="0.3">
      <c r="A461" s="1">
        <v>41122</v>
      </c>
      <c r="B461" s="1">
        <v>41128</v>
      </c>
      <c r="C461" t="s">
        <v>629</v>
      </c>
      <c r="D461" t="s">
        <v>13</v>
      </c>
      <c r="E461" t="s">
        <v>630</v>
      </c>
      <c r="F461">
        <v>6.72</v>
      </c>
      <c r="G461">
        <v>4</v>
      </c>
      <c r="H461">
        <v>3.36</v>
      </c>
      <c r="I461">
        <v>6</v>
      </c>
      <c r="J461">
        <v>2012</v>
      </c>
      <c r="K461" t="s">
        <v>2206</v>
      </c>
      <c r="L461" t="str">
        <f>TEXT(maintable_2[[#This Row],[Order Date]],"mmmm")</f>
        <v>August</v>
      </c>
    </row>
    <row r="462" spans="1:12" x14ac:dyDescent="0.3">
      <c r="A462" s="1">
        <v>41122</v>
      </c>
      <c r="B462" s="1">
        <v>41128</v>
      </c>
      <c r="C462" t="s">
        <v>629</v>
      </c>
      <c r="D462" t="s">
        <v>21</v>
      </c>
      <c r="E462" t="s">
        <v>631</v>
      </c>
      <c r="F462">
        <v>1004.976</v>
      </c>
      <c r="G462">
        <v>6</v>
      </c>
      <c r="H462">
        <v>-175.8708</v>
      </c>
      <c r="I462">
        <v>6</v>
      </c>
      <c r="J462">
        <v>2012</v>
      </c>
      <c r="K462" t="s">
        <v>2206</v>
      </c>
      <c r="L462" t="str">
        <f>TEXT(maintable_2[[#This Row],[Order Date]],"mmmm")</f>
        <v>August</v>
      </c>
    </row>
    <row r="463" spans="1:12" x14ac:dyDescent="0.3">
      <c r="A463" s="1">
        <v>41895</v>
      </c>
      <c r="B463" s="1">
        <v>41898</v>
      </c>
      <c r="C463" t="s">
        <v>632</v>
      </c>
      <c r="D463" t="s">
        <v>11</v>
      </c>
      <c r="E463" t="s">
        <v>633</v>
      </c>
      <c r="F463">
        <v>8.36</v>
      </c>
      <c r="G463">
        <v>2</v>
      </c>
      <c r="H463">
        <v>3.0095999999999998</v>
      </c>
      <c r="I463">
        <v>3</v>
      </c>
      <c r="J463">
        <v>2014</v>
      </c>
      <c r="K463" t="s">
        <v>2209</v>
      </c>
      <c r="L463" t="str">
        <f>TEXT(maintable_2[[#This Row],[Order Date]],"mmmm")</f>
        <v>September</v>
      </c>
    </row>
    <row r="464" spans="1:12" x14ac:dyDescent="0.3">
      <c r="A464" s="1">
        <v>41815</v>
      </c>
      <c r="B464" s="1">
        <v>41822</v>
      </c>
      <c r="C464" t="s">
        <v>634</v>
      </c>
      <c r="D464" t="s">
        <v>13</v>
      </c>
      <c r="E464" t="s">
        <v>635</v>
      </c>
      <c r="F464">
        <v>385.6</v>
      </c>
      <c r="G464">
        <v>8</v>
      </c>
      <c r="H464">
        <v>111.824</v>
      </c>
      <c r="I464">
        <v>7</v>
      </c>
      <c r="J464">
        <v>2014</v>
      </c>
      <c r="K464" t="s">
        <v>2206</v>
      </c>
      <c r="L464" t="str">
        <f>TEXT(maintable_2[[#This Row],[Order Date]],"mmmm")</f>
        <v>June</v>
      </c>
    </row>
    <row r="465" spans="1:12" x14ac:dyDescent="0.3">
      <c r="A465" s="1">
        <v>41815</v>
      </c>
      <c r="B465" s="1">
        <v>41822</v>
      </c>
      <c r="C465" t="s">
        <v>634</v>
      </c>
      <c r="D465" t="s">
        <v>13</v>
      </c>
      <c r="E465" t="s">
        <v>636</v>
      </c>
      <c r="F465">
        <v>35.82</v>
      </c>
      <c r="G465">
        <v>9</v>
      </c>
      <c r="H465">
        <v>11.820600000000001</v>
      </c>
      <c r="I465">
        <v>7</v>
      </c>
      <c r="J465">
        <v>2014</v>
      </c>
      <c r="K465" t="s">
        <v>2206</v>
      </c>
      <c r="L465" t="str">
        <f>TEXT(maintable_2[[#This Row],[Order Date]],"mmmm")</f>
        <v>June</v>
      </c>
    </row>
    <row r="466" spans="1:12" x14ac:dyDescent="0.3">
      <c r="A466" s="1">
        <v>41984</v>
      </c>
      <c r="B466" s="1">
        <v>41988</v>
      </c>
      <c r="C466" t="s">
        <v>637</v>
      </c>
      <c r="D466" t="s">
        <v>21</v>
      </c>
      <c r="E466" t="s">
        <v>272</v>
      </c>
      <c r="F466">
        <v>1669.6</v>
      </c>
      <c r="G466">
        <v>4</v>
      </c>
      <c r="H466">
        <v>116.872</v>
      </c>
      <c r="I466">
        <v>4</v>
      </c>
      <c r="J466">
        <v>2014</v>
      </c>
      <c r="K466" t="s">
        <v>2207</v>
      </c>
      <c r="L466" t="str">
        <f>TEXT(maintable_2[[#This Row],[Order Date]],"mmmm")</f>
        <v>December</v>
      </c>
    </row>
    <row r="467" spans="1:12" x14ac:dyDescent="0.3">
      <c r="A467" s="1">
        <v>40578</v>
      </c>
      <c r="B467" s="1">
        <v>40581</v>
      </c>
      <c r="C467" t="s">
        <v>638</v>
      </c>
      <c r="D467" t="s">
        <v>17</v>
      </c>
      <c r="E467" t="s">
        <v>150</v>
      </c>
      <c r="F467">
        <v>83.84</v>
      </c>
      <c r="G467">
        <v>2</v>
      </c>
      <c r="H467">
        <v>27.248000000000001</v>
      </c>
      <c r="I467">
        <v>3</v>
      </c>
      <c r="J467">
        <v>2011</v>
      </c>
      <c r="K467" t="s">
        <v>2210</v>
      </c>
      <c r="L467" t="str">
        <f>TEXT(maintable_2[[#This Row],[Order Date]],"mmmm")</f>
        <v>February</v>
      </c>
    </row>
    <row r="468" spans="1:12" x14ac:dyDescent="0.3">
      <c r="A468" s="1">
        <v>40578</v>
      </c>
      <c r="B468" s="1">
        <v>40581</v>
      </c>
      <c r="C468" t="s">
        <v>638</v>
      </c>
      <c r="D468" t="s">
        <v>17</v>
      </c>
      <c r="E468" t="s">
        <v>639</v>
      </c>
      <c r="F468">
        <v>13.272</v>
      </c>
      <c r="G468">
        <v>3</v>
      </c>
      <c r="H468">
        <v>4.3133999999999997</v>
      </c>
      <c r="I468">
        <v>3</v>
      </c>
      <c r="J468">
        <v>2011</v>
      </c>
      <c r="K468" t="s">
        <v>2210</v>
      </c>
      <c r="L468" t="str">
        <f>TEXT(maintable_2[[#This Row],[Order Date]],"mmmm")</f>
        <v>February</v>
      </c>
    </row>
    <row r="469" spans="1:12" x14ac:dyDescent="0.3">
      <c r="A469" s="1">
        <v>41682</v>
      </c>
      <c r="B469" s="1">
        <v>41685</v>
      </c>
      <c r="C469" t="s">
        <v>640</v>
      </c>
      <c r="D469" t="s">
        <v>17</v>
      </c>
      <c r="E469" t="s">
        <v>413</v>
      </c>
      <c r="F469">
        <v>21.335999999999999</v>
      </c>
      <c r="G469">
        <v>7</v>
      </c>
      <c r="H469">
        <v>7.7343000000000002</v>
      </c>
      <c r="I469">
        <v>3</v>
      </c>
      <c r="J469">
        <v>2014</v>
      </c>
      <c r="K469" t="s">
        <v>2210</v>
      </c>
      <c r="L469" t="str">
        <f>TEXT(maintable_2[[#This Row],[Order Date]],"mmmm")</f>
        <v>February</v>
      </c>
    </row>
    <row r="470" spans="1:12" x14ac:dyDescent="0.3">
      <c r="A470" s="1">
        <v>41249</v>
      </c>
      <c r="B470" s="1">
        <v>41254</v>
      </c>
      <c r="C470" t="s">
        <v>641</v>
      </c>
      <c r="D470" t="s">
        <v>11</v>
      </c>
      <c r="E470" t="s">
        <v>642</v>
      </c>
      <c r="F470">
        <v>206.11199999999999</v>
      </c>
      <c r="G470">
        <v>6</v>
      </c>
      <c r="H470">
        <v>48.951599999999999</v>
      </c>
      <c r="I470">
        <v>5</v>
      </c>
      <c r="J470">
        <v>2012</v>
      </c>
      <c r="K470" t="s">
        <v>2207</v>
      </c>
      <c r="L470" t="str">
        <f>TEXT(maintable_2[[#This Row],[Order Date]],"mmmm")</f>
        <v>December</v>
      </c>
    </row>
    <row r="471" spans="1:12" x14ac:dyDescent="0.3">
      <c r="A471" s="1">
        <v>41249</v>
      </c>
      <c r="B471" s="1">
        <v>41254</v>
      </c>
      <c r="C471" t="s">
        <v>641</v>
      </c>
      <c r="D471" t="s">
        <v>44</v>
      </c>
      <c r="E471" t="s">
        <v>643</v>
      </c>
      <c r="F471">
        <v>19.920000000000002</v>
      </c>
      <c r="G471">
        <v>5</v>
      </c>
      <c r="H471">
        <v>6.7229999999999999</v>
      </c>
      <c r="I471">
        <v>5</v>
      </c>
      <c r="J471">
        <v>2012</v>
      </c>
      <c r="K471" t="s">
        <v>2207</v>
      </c>
      <c r="L471" t="str">
        <f>TEXT(maintable_2[[#This Row],[Order Date]],"mmmm")</f>
        <v>December</v>
      </c>
    </row>
    <row r="472" spans="1:12" x14ac:dyDescent="0.3">
      <c r="A472" s="1">
        <v>41249</v>
      </c>
      <c r="B472" s="1">
        <v>41254</v>
      </c>
      <c r="C472" t="s">
        <v>641</v>
      </c>
      <c r="D472" t="s">
        <v>44</v>
      </c>
      <c r="E472" t="s">
        <v>644</v>
      </c>
      <c r="F472">
        <v>198.27199999999999</v>
      </c>
      <c r="G472">
        <v>8</v>
      </c>
      <c r="H472">
        <v>61.96</v>
      </c>
      <c r="I472">
        <v>5</v>
      </c>
      <c r="J472">
        <v>2012</v>
      </c>
      <c r="K472" t="s">
        <v>2207</v>
      </c>
      <c r="L472" t="str">
        <f>TEXT(maintable_2[[#This Row],[Order Date]],"mmmm")</f>
        <v>December</v>
      </c>
    </row>
    <row r="473" spans="1:12" x14ac:dyDescent="0.3">
      <c r="A473" s="1">
        <v>41249</v>
      </c>
      <c r="B473" s="1">
        <v>41254</v>
      </c>
      <c r="C473" t="s">
        <v>641</v>
      </c>
      <c r="D473" t="s">
        <v>27</v>
      </c>
      <c r="E473" t="s">
        <v>645</v>
      </c>
      <c r="F473">
        <v>247.10400000000001</v>
      </c>
      <c r="G473">
        <v>6</v>
      </c>
      <c r="H473">
        <v>-58.687199999999997</v>
      </c>
      <c r="I473">
        <v>5</v>
      </c>
      <c r="J473">
        <v>2012</v>
      </c>
      <c r="K473" t="s">
        <v>2207</v>
      </c>
      <c r="L473" t="str">
        <f>TEXT(maintable_2[[#This Row],[Order Date]],"mmmm")</f>
        <v>December</v>
      </c>
    </row>
    <row r="474" spans="1:12" x14ac:dyDescent="0.3">
      <c r="A474" s="1">
        <v>41249</v>
      </c>
      <c r="B474" s="1">
        <v>41254</v>
      </c>
      <c r="C474" t="s">
        <v>641</v>
      </c>
      <c r="D474" t="s">
        <v>13</v>
      </c>
      <c r="E474" t="s">
        <v>502</v>
      </c>
      <c r="F474">
        <v>86.304000000000002</v>
      </c>
      <c r="G474">
        <v>6</v>
      </c>
      <c r="H474">
        <v>9.7091999999999992</v>
      </c>
      <c r="I474">
        <v>5</v>
      </c>
      <c r="J474">
        <v>2012</v>
      </c>
      <c r="K474" t="s">
        <v>2207</v>
      </c>
      <c r="L474" t="str">
        <f>TEXT(maintable_2[[#This Row],[Order Date]],"mmmm")</f>
        <v>December</v>
      </c>
    </row>
    <row r="475" spans="1:12" x14ac:dyDescent="0.3">
      <c r="A475" s="1">
        <v>41883</v>
      </c>
      <c r="B475" s="1">
        <v>41888</v>
      </c>
      <c r="C475" t="s">
        <v>277</v>
      </c>
      <c r="D475" t="s">
        <v>27</v>
      </c>
      <c r="E475" t="s">
        <v>646</v>
      </c>
      <c r="F475">
        <v>10.744</v>
      </c>
      <c r="G475">
        <v>1</v>
      </c>
      <c r="H475">
        <v>0.80579999999999996</v>
      </c>
      <c r="I475">
        <v>5</v>
      </c>
      <c r="J475">
        <v>2014</v>
      </c>
      <c r="K475" t="s">
        <v>2206</v>
      </c>
      <c r="L475" t="str">
        <f>TEXT(maintable_2[[#This Row],[Order Date]],"mmmm")</f>
        <v>September</v>
      </c>
    </row>
    <row r="476" spans="1:12" x14ac:dyDescent="0.3">
      <c r="A476" s="1">
        <v>41883</v>
      </c>
      <c r="B476" s="1">
        <v>41888</v>
      </c>
      <c r="C476" t="s">
        <v>277</v>
      </c>
      <c r="D476" t="s">
        <v>78</v>
      </c>
      <c r="E476" t="s">
        <v>647</v>
      </c>
      <c r="F476">
        <v>8.3759999999999994</v>
      </c>
      <c r="G476">
        <v>3</v>
      </c>
      <c r="H476">
        <v>2.7222</v>
      </c>
      <c r="I476">
        <v>5</v>
      </c>
      <c r="J476">
        <v>2014</v>
      </c>
      <c r="K476" t="s">
        <v>2206</v>
      </c>
      <c r="L476" t="str">
        <f>TEXT(maintable_2[[#This Row],[Order Date]],"mmmm")</f>
        <v>September</v>
      </c>
    </row>
    <row r="477" spans="1:12" x14ac:dyDescent="0.3">
      <c r="A477" s="1">
        <v>41681</v>
      </c>
      <c r="B477" s="1">
        <v>41685</v>
      </c>
      <c r="C477" t="s">
        <v>648</v>
      </c>
      <c r="D477" t="s">
        <v>196</v>
      </c>
      <c r="E477" t="s">
        <v>649</v>
      </c>
      <c r="F477">
        <v>203.983</v>
      </c>
      <c r="G477">
        <v>2</v>
      </c>
      <c r="H477">
        <v>16.7986</v>
      </c>
      <c r="I477">
        <v>4</v>
      </c>
      <c r="J477">
        <v>2014</v>
      </c>
      <c r="K477" t="s">
        <v>2210</v>
      </c>
      <c r="L477" t="str">
        <f>TEXT(maintable_2[[#This Row],[Order Date]],"mmmm")</f>
        <v>February</v>
      </c>
    </row>
    <row r="478" spans="1:12" x14ac:dyDescent="0.3">
      <c r="A478" s="1">
        <v>40579</v>
      </c>
      <c r="B478" s="1">
        <v>40583</v>
      </c>
      <c r="C478" t="s">
        <v>650</v>
      </c>
      <c r="D478" t="s">
        <v>17</v>
      </c>
      <c r="E478" t="s">
        <v>651</v>
      </c>
      <c r="F478">
        <v>82.896000000000001</v>
      </c>
      <c r="G478">
        <v>3</v>
      </c>
      <c r="H478">
        <v>29.0136</v>
      </c>
      <c r="I478">
        <v>4</v>
      </c>
      <c r="J478">
        <v>2011</v>
      </c>
      <c r="K478" t="s">
        <v>2210</v>
      </c>
      <c r="L478" t="str">
        <f>TEXT(maintable_2[[#This Row],[Order Date]],"mmmm")</f>
        <v>February</v>
      </c>
    </row>
    <row r="479" spans="1:12" x14ac:dyDescent="0.3">
      <c r="A479" s="1">
        <v>40579</v>
      </c>
      <c r="B479" s="1">
        <v>40583</v>
      </c>
      <c r="C479" t="s">
        <v>650</v>
      </c>
      <c r="D479" t="s">
        <v>44</v>
      </c>
      <c r="E479" t="s">
        <v>411</v>
      </c>
      <c r="F479">
        <v>34.24</v>
      </c>
      <c r="G479">
        <v>4</v>
      </c>
      <c r="H479">
        <v>16.0928</v>
      </c>
      <c r="I479">
        <v>4</v>
      </c>
      <c r="J479">
        <v>2011</v>
      </c>
      <c r="K479" t="s">
        <v>2210</v>
      </c>
      <c r="L479" t="str">
        <f>TEXT(maintable_2[[#This Row],[Order Date]],"mmmm")</f>
        <v>February</v>
      </c>
    </row>
    <row r="480" spans="1:12" x14ac:dyDescent="0.3">
      <c r="A480" s="1">
        <v>41443</v>
      </c>
      <c r="B480" s="1">
        <v>41448</v>
      </c>
      <c r="C480" t="s">
        <v>652</v>
      </c>
      <c r="D480" t="s">
        <v>44</v>
      </c>
      <c r="E480" t="s">
        <v>582</v>
      </c>
      <c r="F480">
        <v>111.96</v>
      </c>
      <c r="G480">
        <v>2</v>
      </c>
      <c r="H480">
        <v>54.860399999999998</v>
      </c>
      <c r="I480">
        <v>5</v>
      </c>
      <c r="J480">
        <v>2013</v>
      </c>
      <c r="K480" t="s">
        <v>2206</v>
      </c>
      <c r="L480" t="str">
        <f>TEXT(maintable_2[[#This Row],[Order Date]],"mmmm")</f>
        <v>June</v>
      </c>
    </row>
    <row r="481" spans="1:12" x14ac:dyDescent="0.3">
      <c r="A481" s="1">
        <v>40945</v>
      </c>
      <c r="B481" s="1">
        <v>40952</v>
      </c>
      <c r="C481" t="s">
        <v>640</v>
      </c>
      <c r="D481" t="s">
        <v>13</v>
      </c>
      <c r="E481" t="s">
        <v>653</v>
      </c>
      <c r="F481">
        <v>5.28</v>
      </c>
      <c r="G481">
        <v>3</v>
      </c>
      <c r="H481">
        <v>1.5311999999999999</v>
      </c>
      <c r="I481">
        <v>7</v>
      </c>
      <c r="J481">
        <v>2012</v>
      </c>
      <c r="K481" t="s">
        <v>2210</v>
      </c>
      <c r="L481" t="str">
        <f>TEXT(maintable_2[[#This Row],[Order Date]],"mmmm")</f>
        <v>February</v>
      </c>
    </row>
    <row r="482" spans="1:12" x14ac:dyDescent="0.3">
      <c r="A482" s="1">
        <v>40984</v>
      </c>
      <c r="B482" s="1">
        <v>40986</v>
      </c>
      <c r="C482" t="s">
        <v>654</v>
      </c>
      <c r="D482" t="s">
        <v>21</v>
      </c>
      <c r="E482" t="s">
        <v>655</v>
      </c>
      <c r="F482">
        <v>171.96</v>
      </c>
      <c r="G482">
        <v>2</v>
      </c>
      <c r="H482">
        <v>44.709600000000002</v>
      </c>
      <c r="I482">
        <v>2</v>
      </c>
      <c r="J482">
        <v>2012</v>
      </c>
      <c r="K482" t="s">
        <v>2208</v>
      </c>
      <c r="L482" t="str">
        <f>TEXT(maintable_2[[#This Row],[Order Date]],"mmmm")</f>
        <v>March</v>
      </c>
    </row>
    <row r="483" spans="1:12" x14ac:dyDescent="0.3">
      <c r="A483" s="1">
        <v>41374</v>
      </c>
      <c r="B483" s="1">
        <v>41378</v>
      </c>
      <c r="C483" t="s">
        <v>656</v>
      </c>
      <c r="D483" t="s">
        <v>17</v>
      </c>
      <c r="E483" t="s">
        <v>657</v>
      </c>
      <c r="F483">
        <v>35.351999999999997</v>
      </c>
      <c r="G483">
        <v>9</v>
      </c>
      <c r="H483">
        <v>12.815099999999999</v>
      </c>
      <c r="I483">
        <v>4</v>
      </c>
      <c r="J483">
        <v>2013</v>
      </c>
      <c r="K483" t="s">
        <v>2208</v>
      </c>
      <c r="L483" t="str">
        <f>TEXT(maintable_2[[#This Row],[Order Date]],"mmmm")</f>
        <v>April</v>
      </c>
    </row>
    <row r="484" spans="1:12" x14ac:dyDescent="0.3">
      <c r="A484" s="1">
        <v>40637</v>
      </c>
      <c r="B484" s="1">
        <v>40642</v>
      </c>
      <c r="C484" t="s">
        <v>658</v>
      </c>
      <c r="D484" t="s">
        <v>8</v>
      </c>
      <c r="E484" t="s">
        <v>659</v>
      </c>
      <c r="F484">
        <v>18.899999999999999</v>
      </c>
      <c r="G484">
        <v>6</v>
      </c>
      <c r="H484">
        <v>9.0719999999999992</v>
      </c>
      <c r="I484">
        <v>5</v>
      </c>
      <c r="J484">
        <v>2011</v>
      </c>
      <c r="K484" t="s">
        <v>2208</v>
      </c>
      <c r="L484" t="str">
        <f>TEXT(maintable_2[[#This Row],[Order Date]],"mmmm")</f>
        <v>April</v>
      </c>
    </row>
    <row r="485" spans="1:12" x14ac:dyDescent="0.3">
      <c r="A485" s="1">
        <v>41888</v>
      </c>
      <c r="B485" s="1">
        <v>41889</v>
      </c>
      <c r="C485" t="s">
        <v>660</v>
      </c>
      <c r="D485" t="s">
        <v>13</v>
      </c>
      <c r="E485" t="s">
        <v>463</v>
      </c>
      <c r="F485">
        <v>2.78</v>
      </c>
      <c r="G485">
        <v>1</v>
      </c>
      <c r="H485">
        <v>0.7228</v>
      </c>
      <c r="I485">
        <v>1</v>
      </c>
      <c r="J485">
        <v>2014</v>
      </c>
      <c r="K485" t="s">
        <v>2209</v>
      </c>
      <c r="L485" t="str">
        <f>TEXT(maintable_2[[#This Row],[Order Date]],"mmmm")</f>
        <v>September</v>
      </c>
    </row>
    <row r="486" spans="1:12" x14ac:dyDescent="0.3">
      <c r="A486" s="1">
        <v>40987</v>
      </c>
      <c r="B486" s="1">
        <v>40993</v>
      </c>
      <c r="C486" t="s">
        <v>661</v>
      </c>
      <c r="D486" t="s">
        <v>15</v>
      </c>
      <c r="E486" t="s">
        <v>662</v>
      </c>
      <c r="F486">
        <v>453.57600000000002</v>
      </c>
      <c r="G486">
        <v>3</v>
      </c>
      <c r="H486">
        <v>39.687899999999999</v>
      </c>
      <c r="I486">
        <v>6</v>
      </c>
      <c r="J486">
        <v>2012</v>
      </c>
      <c r="K486" t="s">
        <v>2208</v>
      </c>
      <c r="L486" t="str">
        <f>TEXT(maintable_2[[#This Row],[Order Date]],"mmmm")</f>
        <v>March</v>
      </c>
    </row>
    <row r="487" spans="1:12" x14ac:dyDescent="0.3">
      <c r="A487" s="1">
        <v>41802</v>
      </c>
      <c r="B487" s="1">
        <v>41802</v>
      </c>
      <c r="C487" t="s">
        <v>293</v>
      </c>
      <c r="D487" t="s">
        <v>44</v>
      </c>
      <c r="E487" t="s">
        <v>247</v>
      </c>
      <c r="F487">
        <v>122.97</v>
      </c>
      <c r="G487">
        <v>3</v>
      </c>
      <c r="H487">
        <v>60.255299999999998</v>
      </c>
      <c r="I487">
        <v>0</v>
      </c>
      <c r="J487">
        <v>2014</v>
      </c>
      <c r="K487" t="s">
        <v>2206</v>
      </c>
      <c r="L487" t="str">
        <f>TEXT(maintable_2[[#This Row],[Order Date]],"mmmm")</f>
        <v>June</v>
      </c>
    </row>
    <row r="488" spans="1:12" x14ac:dyDescent="0.3">
      <c r="A488" s="1">
        <v>40870</v>
      </c>
      <c r="B488" s="1">
        <v>40872</v>
      </c>
      <c r="C488" t="s">
        <v>210</v>
      </c>
      <c r="D488" t="s">
        <v>71</v>
      </c>
      <c r="E488" t="s">
        <v>663</v>
      </c>
      <c r="F488">
        <v>603.91999999999996</v>
      </c>
      <c r="G488">
        <v>5</v>
      </c>
      <c r="H488">
        <v>-67.941000000000003</v>
      </c>
      <c r="I488">
        <v>2</v>
      </c>
      <c r="J488">
        <v>2011</v>
      </c>
      <c r="K488" t="s">
        <v>2209</v>
      </c>
      <c r="L488" t="str">
        <f>TEXT(maintable_2[[#This Row],[Order Date]],"mmmm")</f>
        <v>November</v>
      </c>
    </row>
    <row r="489" spans="1:12" x14ac:dyDescent="0.3">
      <c r="A489" s="1">
        <v>40870</v>
      </c>
      <c r="B489" s="1">
        <v>40872</v>
      </c>
      <c r="C489" t="s">
        <v>210</v>
      </c>
      <c r="D489" t="s">
        <v>86</v>
      </c>
      <c r="E489" t="s">
        <v>664</v>
      </c>
      <c r="F489">
        <v>21.84</v>
      </c>
      <c r="G489">
        <v>3</v>
      </c>
      <c r="H489">
        <v>10.4832</v>
      </c>
      <c r="I489">
        <v>2</v>
      </c>
      <c r="J489">
        <v>2011</v>
      </c>
      <c r="K489" t="s">
        <v>2209</v>
      </c>
      <c r="L489" t="str">
        <f>TEXT(maintable_2[[#This Row],[Order Date]],"mmmm")</f>
        <v>November</v>
      </c>
    </row>
    <row r="490" spans="1:12" x14ac:dyDescent="0.3">
      <c r="A490" s="1">
        <v>40870</v>
      </c>
      <c r="B490" s="1">
        <v>40872</v>
      </c>
      <c r="C490" t="s">
        <v>210</v>
      </c>
      <c r="D490" t="s">
        <v>37</v>
      </c>
      <c r="E490" t="s">
        <v>665</v>
      </c>
      <c r="F490">
        <v>29.99</v>
      </c>
      <c r="G490">
        <v>1</v>
      </c>
      <c r="H490">
        <v>6.2979000000000003</v>
      </c>
      <c r="I490">
        <v>2</v>
      </c>
      <c r="J490">
        <v>2011</v>
      </c>
      <c r="K490" t="s">
        <v>2209</v>
      </c>
      <c r="L490" t="str">
        <f>TEXT(maintable_2[[#This Row],[Order Date]],"mmmm")</f>
        <v>November</v>
      </c>
    </row>
    <row r="491" spans="1:12" x14ac:dyDescent="0.3">
      <c r="A491" s="1">
        <v>40870</v>
      </c>
      <c r="B491" s="1">
        <v>40872</v>
      </c>
      <c r="C491" t="s">
        <v>210</v>
      </c>
      <c r="D491" t="s">
        <v>71</v>
      </c>
      <c r="E491" t="s">
        <v>259</v>
      </c>
      <c r="F491">
        <v>381.44</v>
      </c>
      <c r="G491">
        <v>2</v>
      </c>
      <c r="H491">
        <v>23.84</v>
      </c>
      <c r="I491">
        <v>2</v>
      </c>
      <c r="J491">
        <v>2011</v>
      </c>
      <c r="K491" t="s">
        <v>2209</v>
      </c>
      <c r="L491" t="str">
        <f>TEXT(maintable_2[[#This Row],[Order Date]],"mmmm")</f>
        <v>November</v>
      </c>
    </row>
    <row r="492" spans="1:12" x14ac:dyDescent="0.3">
      <c r="A492" s="1">
        <v>41083</v>
      </c>
      <c r="B492" s="1">
        <v>41085</v>
      </c>
      <c r="C492" t="s">
        <v>666</v>
      </c>
      <c r="D492" t="s">
        <v>15</v>
      </c>
      <c r="E492" t="s">
        <v>667</v>
      </c>
      <c r="F492">
        <v>201.56800000000001</v>
      </c>
      <c r="G492">
        <v>4</v>
      </c>
      <c r="H492">
        <v>22.676400000000001</v>
      </c>
      <c r="I492">
        <v>2</v>
      </c>
      <c r="J492">
        <v>2012</v>
      </c>
      <c r="K492" t="s">
        <v>2206</v>
      </c>
      <c r="L492" t="str">
        <f>TEXT(maintable_2[[#This Row],[Order Date]],"mmmm")</f>
        <v>June</v>
      </c>
    </row>
    <row r="493" spans="1:12" x14ac:dyDescent="0.3">
      <c r="A493" s="1">
        <v>40835</v>
      </c>
      <c r="B493" s="1">
        <v>40835</v>
      </c>
      <c r="C493" t="s">
        <v>277</v>
      </c>
      <c r="D493" t="s">
        <v>44</v>
      </c>
      <c r="E493" t="s">
        <v>668</v>
      </c>
      <c r="F493">
        <v>13.44</v>
      </c>
      <c r="G493">
        <v>3</v>
      </c>
      <c r="H493">
        <v>6.5856000000000003</v>
      </c>
      <c r="I493">
        <v>0</v>
      </c>
      <c r="J493">
        <v>2011</v>
      </c>
      <c r="K493" t="s">
        <v>2209</v>
      </c>
      <c r="L493" t="str">
        <f>TEXT(maintable_2[[#This Row],[Order Date]],"mmmm")</f>
        <v>October</v>
      </c>
    </row>
    <row r="494" spans="1:12" x14ac:dyDescent="0.3">
      <c r="A494" s="1">
        <v>41384</v>
      </c>
      <c r="B494" s="1">
        <v>41389</v>
      </c>
      <c r="C494" t="s">
        <v>141</v>
      </c>
      <c r="D494" t="s">
        <v>15</v>
      </c>
      <c r="E494" t="s">
        <v>669</v>
      </c>
      <c r="F494">
        <v>39.96</v>
      </c>
      <c r="G494">
        <v>5</v>
      </c>
      <c r="H494">
        <v>12.987</v>
      </c>
      <c r="I494">
        <v>5</v>
      </c>
      <c r="J494">
        <v>2013</v>
      </c>
      <c r="K494" t="s">
        <v>2208</v>
      </c>
      <c r="L494" t="str">
        <f>TEXT(maintable_2[[#This Row],[Order Date]],"mmmm")</f>
        <v>April</v>
      </c>
    </row>
    <row r="495" spans="1:12" x14ac:dyDescent="0.3">
      <c r="A495" s="1">
        <v>41384</v>
      </c>
      <c r="B495" s="1">
        <v>41389</v>
      </c>
      <c r="C495" t="s">
        <v>141</v>
      </c>
      <c r="D495" t="s">
        <v>13</v>
      </c>
      <c r="E495" t="s">
        <v>670</v>
      </c>
      <c r="F495">
        <v>5.46</v>
      </c>
      <c r="G495">
        <v>3</v>
      </c>
      <c r="H495">
        <v>1.5287999999999999</v>
      </c>
      <c r="I495">
        <v>5</v>
      </c>
      <c r="J495">
        <v>2013</v>
      </c>
      <c r="K495" t="s">
        <v>2208</v>
      </c>
      <c r="L495" t="str">
        <f>TEXT(maintable_2[[#This Row],[Order Date]],"mmmm")</f>
        <v>April</v>
      </c>
    </row>
    <row r="496" spans="1:12" x14ac:dyDescent="0.3">
      <c r="A496" s="1">
        <v>41384</v>
      </c>
      <c r="B496" s="1">
        <v>41389</v>
      </c>
      <c r="C496" t="s">
        <v>141</v>
      </c>
      <c r="D496" t="s">
        <v>13</v>
      </c>
      <c r="E496" t="s">
        <v>671</v>
      </c>
      <c r="F496">
        <v>73.2</v>
      </c>
      <c r="G496">
        <v>5</v>
      </c>
      <c r="H496">
        <v>21.228000000000002</v>
      </c>
      <c r="I496">
        <v>5</v>
      </c>
      <c r="J496">
        <v>2013</v>
      </c>
      <c r="K496" t="s">
        <v>2208</v>
      </c>
      <c r="L496" t="str">
        <f>TEXT(maintable_2[[#This Row],[Order Date]],"mmmm")</f>
        <v>April</v>
      </c>
    </row>
    <row r="497" spans="1:12" x14ac:dyDescent="0.3">
      <c r="A497" s="1">
        <v>41384</v>
      </c>
      <c r="B497" s="1">
        <v>41389</v>
      </c>
      <c r="C497" t="s">
        <v>141</v>
      </c>
      <c r="D497" t="s">
        <v>17</v>
      </c>
      <c r="E497" t="s">
        <v>672</v>
      </c>
      <c r="F497">
        <v>5.84</v>
      </c>
      <c r="G497">
        <v>1</v>
      </c>
      <c r="H497">
        <v>1.9710000000000001</v>
      </c>
      <c r="I497">
        <v>5</v>
      </c>
      <c r="J497">
        <v>2013</v>
      </c>
      <c r="K497" t="s">
        <v>2208</v>
      </c>
      <c r="L497" t="str">
        <f>TEXT(maintable_2[[#This Row],[Order Date]],"mmmm")</f>
        <v>April</v>
      </c>
    </row>
    <row r="498" spans="1:12" x14ac:dyDescent="0.3">
      <c r="A498" s="1">
        <v>41384</v>
      </c>
      <c r="B498" s="1">
        <v>41389</v>
      </c>
      <c r="C498" t="s">
        <v>141</v>
      </c>
      <c r="D498" t="s">
        <v>44</v>
      </c>
      <c r="E498" t="s">
        <v>673</v>
      </c>
      <c r="F498">
        <v>22.72</v>
      </c>
      <c r="G498">
        <v>4</v>
      </c>
      <c r="H498">
        <v>10.224</v>
      </c>
      <c r="I498">
        <v>5</v>
      </c>
      <c r="J498">
        <v>2013</v>
      </c>
      <c r="K498" t="s">
        <v>2208</v>
      </c>
      <c r="L498" t="str">
        <f>TEXT(maintable_2[[#This Row],[Order Date]],"mmmm")</f>
        <v>April</v>
      </c>
    </row>
    <row r="499" spans="1:12" x14ac:dyDescent="0.3">
      <c r="A499" s="1">
        <v>41384</v>
      </c>
      <c r="B499" s="1">
        <v>41389</v>
      </c>
      <c r="C499" t="s">
        <v>141</v>
      </c>
      <c r="D499" t="s">
        <v>17</v>
      </c>
      <c r="E499" t="s">
        <v>674</v>
      </c>
      <c r="F499">
        <v>9.3360000000000003</v>
      </c>
      <c r="G499">
        <v>3</v>
      </c>
      <c r="H499">
        <v>3.2675999999999998</v>
      </c>
      <c r="I499">
        <v>5</v>
      </c>
      <c r="J499">
        <v>2013</v>
      </c>
      <c r="K499" t="s">
        <v>2208</v>
      </c>
      <c r="L499" t="str">
        <f>TEXT(maintable_2[[#This Row],[Order Date]],"mmmm")</f>
        <v>April</v>
      </c>
    </row>
    <row r="500" spans="1:12" x14ac:dyDescent="0.3">
      <c r="A500" s="1">
        <v>40689</v>
      </c>
      <c r="B500" s="1">
        <v>40693</v>
      </c>
      <c r="C500" t="s">
        <v>675</v>
      </c>
      <c r="D500" t="s">
        <v>196</v>
      </c>
      <c r="E500" t="s">
        <v>676</v>
      </c>
      <c r="F500">
        <v>290.666</v>
      </c>
      <c r="G500">
        <v>2</v>
      </c>
      <c r="H500">
        <v>27.3568</v>
      </c>
      <c r="I500">
        <v>4</v>
      </c>
      <c r="J500">
        <v>2011</v>
      </c>
      <c r="K500" t="s">
        <v>2208</v>
      </c>
      <c r="L500" t="str">
        <f>TEXT(maintable_2[[#This Row],[Order Date]],"mmmm")</f>
        <v>May</v>
      </c>
    </row>
    <row r="501" spans="1:12" x14ac:dyDescent="0.3">
      <c r="A501" s="1">
        <v>40689</v>
      </c>
      <c r="B501" s="1">
        <v>40693</v>
      </c>
      <c r="C501" t="s">
        <v>675</v>
      </c>
      <c r="D501" t="s">
        <v>15</v>
      </c>
      <c r="E501" t="s">
        <v>677</v>
      </c>
      <c r="F501">
        <v>201.584</v>
      </c>
      <c r="G501">
        <v>2</v>
      </c>
      <c r="H501">
        <v>20.1584</v>
      </c>
      <c r="I501">
        <v>4</v>
      </c>
      <c r="J501">
        <v>2011</v>
      </c>
      <c r="K501" t="s">
        <v>2208</v>
      </c>
      <c r="L501" t="str">
        <f>TEXT(maintable_2[[#This Row],[Order Date]],"mmmm")</f>
        <v>May</v>
      </c>
    </row>
    <row r="502" spans="1:12" x14ac:dyDescent="0.3">
      <c r="A502" s="1">
        <v>40689</v>
      </c>
      <c r="B502" s="1">
        <v>40693</v>
      </c>
      <c r="C502" t="s">
        <v>675</v>
      </c>
      <c r="D502" t="s">
        <v>15</v>
      </c>
      <c r="E502" t="s">
        <v>49</v>
      </c>
      <c r="F502">
        <v>83.983999999999995</v>
      </c>
      <c r="G502">
        <v>2</v>
      </c>
      <c r="H502">
        <v>31.494</v>
      </c>
      <c r="I502">
        <v>4</v>
      </c>
      <c r="J502">
        <v>2011</v>
      </c>
      <c r="K502" t="s">
        <v>2208</v>
      </c>
      <c r="L502" t="str">
        <f>TEXT(maintable_2[[#This Row],[Order Date]],"mmmm")</f>
        <v>May</v>
      </c>
    </row>
    <row r="503" spans="1:12" x14ac:dyDescent="0.3">
      <c r="A503" s="1">
        <v>41995</v>
      </c>
      <c r="B503" s="1">
        <v>41999</v>
      </c>
      <c r="C503" t="s">
        <v>678</v>
      </c>
      <c r="D503" t="s">
        <v>27</v>
      </c>
      <c r="E503" t="s">
        <v>534</v>
      </c>
      <c r="F503">
        <v>1000.02</v>
      </c>
      <c r="G503">
        <v>7</v>
      </c>
      <c r="H503">
        <v>290.00580000000002</v>
      </c>
      <c r="I503">
        <v>4</v>
      </c>
      <c r="J503">
        <v>2014</v>
      </c>
      <c r="K503" t="s">
        <v>2207</v>
      </c>
      <c r="L503" t="str">
        <f>TEXT(maintable_2[[#This Row],[Order Date]],"mmmm")</f>
        <v>December</v>
      </c>
    </row>
    <row r="504" spans="1:12" x14ac:dyDescent="0.3">
      <c r="A504" s="1">
        <v>41829</v>
      </c>
      <c r="B504" s="1">
        <v>41836</v>
      </c>
      <c r="C504" t="s">
        <v>679</v>
      </c>
      <c r="D504" t="s">
        <v>11</v>
      </c>
      <c r="E504" t="s">
        <v>680</v>
      </c>
      <c r="F504">
        <v>198.46</v>
      </c>
      <c r="G504">
        <v>2</v>
      </c>
      <c r="H504">
        <v>99.23</v>
      </c>
      <c r="I504">
        <v>7</v>
      </c>
      <c r="J504">
        <v>2014</v>
      </c>
      <c r="K504" t="s">
        <v>2206</v>
      </c>
      <c r="L504" t="str">
        <f>TEXT(maintable_2[[#This Row],[Order Date]],"mmmm")</f>
        <v>July</v>
      </c>
    </row>
    <row r="505" spans="1:12" x14ac:dyDescent="0.3">
      <c r="A505" s="1">
        <v>41829</v>
      </c>
      <c r="B505" s="1">
        <v>41836</v>
      </c>
      <c r="C505" t="s">
        <v>679</v>
      </c>
      <c r="D505" t="s">
        <v>8</v>
      </c>
      <c r="E505" t="s">
        <v>681</v>
      </c>
      <c r="F505">
        <v>786.48</v>
      </c>
      <c r="G505">
        <v>8</v>
      </c>
      <c r="H505">
        <v>385.37520000000001</v>
      </c>
      <c r="I505">
        <v>7</v>
      </c>
      <c r="J505">
        <v>2014</v>
      </c>
      <c r="K505" t="s">
        <v>2206</v>
      </c>
      <c r="L505" t="str">
        <f>TEXT(maintable_2[[#This Row],[Order Date]],"mmmm")</f>
        <v>July</v>
      </c>
    </row>
    <row r="506" spans="1:12" x14ac:dyDescent="0.3">
      <c r="A506" s="1">
        <v>41829</v>
      </c>
      <c r="B506" s="1">
        <v>41836</v>
      </c>
      <c r="C506" t="s">
        <v>679</v>
      </c>
      <c r="D506" t="s">
        <v>17</v>
      </c>
      <c r="E506" t="s">
        <v>283</v>
      </c>
      <c r="F506">
        <v>23.167999999999999</v>
      </c>
      <c r="G506">
        <v>2</v>
      </c>
      <c r="H506">
        <v>7.8192000000000004</v>
      </c>
      <c r="I506">
        <v>7</v>
      </c>
      <c r="J506">
        <v>2014</v>
      </c>
      <c r="K506" t="s">
        <v>2206</v>
      </c>
      <c r="L506" t="str">
        <f>TEXT(maintable_2[[#This Row],[Order Date]],"mmmm")</f>
        <v>July</v>
      </c>
    </row>
    <row r="507" spans="1:12" x14ac:dyDescent="0.3">
      <c r="A507" s="1">
        <v>41829</v>
      </c>
      <c r="B507" s="1">
        <v>41836</v>
      </c>
      <c r="C507" t="s">
        <v>679</v>
      </c>
      <c r="D507" t="s">
        <v>37</v>
      </c>
      <c r="E507" t="s">
        <v>682</v>
      </c>
      <c r="F507">
        <v>50</v>
      </c>
      <c r="G507">
        <v>2</v>
      </c>
      <c r="H507">
        <v>10.5</v>
      </c>
      <c r="I507">
        <v>7</v>
      </c>
      <c r="J507">
        <v>2014</v>
      </c>
      <c r="K507" t="s">
        <v>2206</v>
      </c>
      <c r="L507" t="str">
        <f>TEXT(maintable_2[[#This Row],[Order Date]],"mmmm")</f>
        <v>July</v>
      </c>
    </row>
    <row r="508" spans="1:12" x14ac:dyDescent="0.3">
      <c r="A508" s="1">
        <v>41262</v>
      </c>
      <c r="B508" s="1">
        <v>41267</v>
      </c>
      <c r="C508" t="s">
        <v>683</v>
      </c>
      <c r="D508" t="s">
        <v>15</v>
      </c>
      <c r="E508" t="s">
        <v>684</v>
      </c>
      <c r="F508">
        <v>675.96</v>
      </c>
      <c r="G508">
        <v>5</v>
      </c>
      <c r="H508">
        <v>84.495000000000005</v>
      </c>
      <c r="I508">
        <v>5</v>
      </c>
      <c r="J508">
        <v>2012</v>
      </c>
      <c r="K508" t="s">
        <v>2207</v>
      </c>
      <c r="L508" t="str">
        <f>TEXT(maintable_2[[#This Row],[Order Date]],"mmmm")</f>
        <v>December</v>
      </c>
    </row>
    <row r="509" spans="1:12" x14ac:dyDescent="0.3">
      <c r="A509" s="1">
        <v>41262</v>
      </c>
      <c r="B509" s="1">
        <v>41267</v>
      </c>
      <c r="C509" t="s">
        <v>683</v>
      </c>
      <c r="D509" t="s">
        <v>37</v>
      </c>
      <c r="E509" t="s">
        <v>685</v>
      </c>
      <c r="F509">
        <v>1265.8499999999999</v>
      </c>
      <c r="G509">
        <v>3</v>
      </c>
      <c r="H509">
        <v>556.97400000000005</v>
      </c>
      <c r="I509">
        <v>5</v>
      </c>
      <c r="J509">
        <v>2012</v>
      </c>
      <c r="K509" t="s">
        <v>2207</v>
      </c>
      <c r="L509" t="str">
        <f>TEXT(maintable_2[[#This Row],[Order Date]],"mmmm")</f>
        <v>December</v>
      </c>
    </row>
    <row r="510" spans="1:12" x14ac:dyDescent="0.3">
      <c r="A510" s="1">
        <v>40873</v>
      </c>
      <c r="B510" s="1">
        <v>40879</v>
      </c>
      <c r="C510" t="s">
        <v>686</v>
      </c>
      <c r="D510" t="s">
        <v>44</v>
      </c>
      <c r="E510" t="s">
        <v>687</v>
      </c>
      <c r="F510">
        <v>15.552</v>
      </c>
      <c r="G510">
        <v>3</v>
      </c>
      <c r="H510">
        <v>5.4432</v>
      </c>
      <c r="I510">
        <v>6</v>
      </c>
      <c r="J510">
        <v>2011</v>
      </c>
      <c r="K510" t="s">
        <v>2209</v>
      </c>
      <c r="L510" t="str">
        <f>TEXT(maintable_2[[#This Row],[Order Date]],"mmmm")</f>
        <v>November</v>
      </c>
    </row>
    <row r="511" spans="1:12" x14ac:dyDescent="0.3">
      <c r="A511" s="1">
        <v>40873</v>
      </c>
      <c r="B511" s="1">
        <v>40879</v>
      </c>
      <c r="C511" t="s">
        <v>686</v>
      </c>
      <c r="D511" t="s">
        <v>27</v>
      </c>
      <c r="E511" t="s">
        <v>688</v>
      </c>
      <c r="F511">
        <v>669.08</v>
      </c>
      <c r="G511">
        <v>5</v>
      </c>
      <c r="H511">
        <v>-167.27</v>
      </c>
      <c r="I511">
        <v>6</v>
      </c>
      <c r="J511">
        <v>2011</v>
      </c>
      <c r="K511" t="s">
        <v>2209</v>
      </c>
      <c r="L511" t="str">
        <f>TEXT(maintable_2[[#This Row],[Order Date]],"mmmm")</f>
        <v>November</v>
      </c>
    </row>
    <row r="512" spans="1:12" x14ac:dyDescent="0.3">
      <c r="A512" s="1">
        <v>40873</v>
      </c>
      <c r="B512" s="1">
        <v>40879</v>
      </c>
      <c r="C512" t="s">
        <v>686</v>
      </c>
      <c r="D512" t="s">
        <v>15</v>
      </c>
      <c r="E512" t="s">
        <v>689</v>
      </c>
      <c r="F512">
        <v>438.33600000000001</v>
      </c>
      <c r="G512">
        <v>4</v>
      </c>
      <c r="H512">
        <v>-87.667199999999994</v>
      </c>
      <c r="I512">
        <v>6</v>
      </c>
      <c r="J512">
        <v>2011</v>
      </c>
      <c r="K512" t="s">
        <v>2209</v>
      </c>
      <c r="L512" t="str">
        <f>TEXT(maintable_2[[#This Row],[Order Date]],"mmmm")</f>
        <v>November</v>
      </c>
    </row>
    <row r="513" spans="1:12" x14ac:dyDescent="0.3">
      <c r="A513" s="1">
        <v>40987</v>
      </c>
      <c r="B513" s="1">
        <v>40988</v>
      </c>
      <c r="C513" t="s">
        <v>690</v>
      </c>
      <c r="D513" t="s">
        <v>27</v>
      </c>
      <c r="E513" t="s">
        <v>691</v>
      </c>
      <c r="F513">
        <v>1247.6400000000001</v>
      </c>
      <c r="G513">
        <v>3</v>
      </c>
      <c r="H513">
        <v>349.33920000000001</v>
      </c>
      <c r="I513">
        <v>1</v>
      </c>
      <c r="J513">
        <v>2012</v>
      </c>
      <c r="K513" t="s">
        <v>2208</v>
      </c>
      <c r="L513" t="str">
        <f>TEXT(maintable_2[[#This Row],[Order Date]],"mmmm")</f>
        <v>March</v>
      </c>
    </row>
    <row r="514" spans="1:12" x14ac:dyDescent="0.3">
      <c r="A514" s="1">
        <v>40987</v>
      </c>
      <c r="B514" s="1">
        <v>40988</v>
      </c>
      <c r="C514" t="s">
        <v>690</v>
      </c>
      <c r="D514" t="s">
        <v>163</v>
      </c>
      <c r="E514" t="s">
        <v>692</v>
      </c>
      <c r="F514">
        <v>3149.93</v>
      </c>
      <c r="G514">
        <v>7</v>
      </c>
      <c r="H514">
        <v>1480.4671000000001</v>
      </c>
      <c r="I514">
        <v>1</v>
      </c>
      <c r="J514">
        <v>2012</v>
      </c>
      <c r="K514" t="s">
        <v>2208</v>
      </c>
      <c r="L514" t="str">
        <f>TEXT(maintable_2[[#This Row],[Order Date]],"mmmm")</f>
        <v>March</v>
      </c>
    </row>
    <row r="515" spans="1:12" x14ac:dyDescent="0.3">
      <c r="A515" s="1">
        <v>40987</v>
      </c>
      <c r="B515" s="1">
        <v>40988</v>
      </c>
      <c r="C515" t="s">
        <v>690</v>
      </c>
      <c r="D515" t="s">
        <v>44</v>
      </c>
      <c r="E515" t="s">
        <v>693</v>
      </c>
      <c r="F515">
        <v>209.7</v>
      </c>
      <c r="G515">
        <v>2</v>
      </c>
      <c r="H515">
        <v>100.65600000000001</v>
      </c>
      <c r="I515">
        <v>1</v>
      </c>
      <c r="J515">
        <v>2012</v>
      </c>
      <c r="K515" t="s">
        <v>2208</v>
      </c>
      <c r="L515" t="str">
        <f>TEXT(maintable_2[[#This Row],[Order Date]],"mmmm")</f>
        <v>March</v>
      </c>
    </row>
    <row r="516" spans="1:12" x14ac:dyDescent="0.3">
      <c r="A516" s="1">
        <v>40784</v>
      </c>
      <c r="B516" s="1">
        <v>40784</v>
      </c>
      <c r="C516" t="s">
        <v>694</v>
      </c>
      <c r="D516" t="s">
        <v>44</v>
      </c>
      <c r="E516" t="s">
        <v>695</v>
      </c>
      <c r="F516">
        <v>109.92</v>
      </c>
      <c r="G516">
        <v>2</v>
      </c>
      <c r="H516">
        <v>53.860799999999998</v>
      </c>
      <c r="I516">
        <v>0</v>
      </c>
      <c r="J516">
        <v>2011</v>
      </c>
      <c r="K516" t="s">
        <v>2206</v>
      </c>
      <c r="L516" t="str">
        <f>TEXT(maintable_2[[#This Row],[Order Date]],"mmmm")</f>
        <v>August</v>
      </c>
    </row>
    <row r="517" spans="1:12" x14ac:dyDescent="0.3">
      <c r="A517" s="1">
        <v>40784</v>
      </c>
      <c r="B517" s="1">
        <v>40784</v>
      </c>
      <c r="C517" t="s">
        <v>694</v>
      </c>
      <c r="D517" t="s">
        <v>44</v>
      </c>
      <c r="E517" t="s">
        <v>696</v>
      </c>
      <c r="F517">
        <v>13.36</v>
      </c>
      <c r="G517">
        <v>2</v>
      </c>
      <c r="H517">
        <v>6.4127999999999998</v>
      </c>
      <c r="I517">
        <v>0</v>
      </c>
      <c r="J517">
        <v>2011</v>
      </c>
      <c r="K517" t="s">
        <v>2206</v>
      </c>
      <c r="L517" t="str">
        <f>TEXT(maintable_2[[#This Row],[Order Date]],"mmmm")</f>
        <v>August</v>
      </c>
    </row>
    <row r="518" spans="1:12" x14ac:dyDescent="0.3">
      <c r="A518" s="1">
        <v>41962</v>
      </c>
      <c r="B518" s="1">
        <v>41965</v>
      </c>
      <c r="C518" t="s">
        <v>697</v>
      </c>
      <c r="D518" t="s">
        <v>27</v>
      </c>
      <c r="E518" t="s">
        <v>698</v>
      </c>
      <c r="F518">
        <v>169.68</v>
      </c>
      <c r="G518">
        <v>6</v>
      </c>
      <c r="H518">
        <v>45.813600000000001</v>
      </c>
      <c r="I518">
        <v>3</v>
      </c>
      <c r="J518">
        <v>2014</v>
      </c>
      <c r="K518" t="s">
        <v>2209</v>
      </c>
      <c r="L518" t="str">
        <f>TEXT(maintable_2[[#This Row],[Order Date]],"mmmm")</f>
        <v>November</v>
      </c>
    </row>
    <row r="519" spans="1:12" x14ac:dyDescent="0.3">
      <c r="A519" s="1">
        <v>41962</v>
      </c>
      <c r="B519" s="1">
        <v>41965</v>
      </c>
      <c r="C519" t="s">
        <v>697</v>
      </c>
      <c r="D519" t="s">
        <v>37</v>
      </c>
      <c r="E519" t="s">
        <v>257</v>
      </c>
      <c r="F519">
        <v>132.52000000000001</v>
      </c>
      <c r="G519">
        <v>4</v>
      </c>
      <c r="H519">
        <v>54.333199999999998</v>
      </c>
      <c r="I519">
        <v>3</v>
      </c>
      <c r="J519">
        <v>2014</v>
      </c>
      <c r="K519" t="s">
        <v>2209</v>
      </c>
      <c r="L519" t="str">
        <f>TEXT(maintable_2[[#This Row],[Order Date]],"mmmm")</f>
        <v>November</v>
      </c>
    </row>
    <row r="520" spans="1:12" x14ac:dyDescent="0.3">
      <c r="A520" s="1">
        <v>41962</v>
      </c>
      <c r="B520" s="1">
        <v>41965</v>
      </c>
      <c r="C520" t="s">
        <v>697</v>
      </c>
      <c r="D520" t="s">
        <v>78</v>
      </c>
      <c r="E520" t="s">
        <v>699</v>
      </c>
      <c r="F520">
        <v>2.96</v>
      </c>
      <c r="G520">
        <v>2</v>
      </c>
      <c r="H520">
        <v>1.4208000000000001</v>
      </c>
      <c r="I520">
        <v>3</v>
      </c>
      <c r="J520">
        <v>2014</v>
      </c>
      <c r="K520" t="s">
        <v>2209</v>
      </c>
      <c r="L520" t="str">
        <f>TEXT(maintable_2[[#This Row],[Order Date]],"mmmm")</f>
        <v>November</v>
      </c>
    </row>
    <row r="521" spans="1:12" x14ac:dyDescent="0.3">
      <c r="A521" s="1">
        <v>41962</v>
      </c>
      <c r="B521" s="1">
        <v>41965</v>
      </c>
      <c r="C521" t="s">
        <v>697</v>
      </c>
      <c r="D521" t="s">
        <v>17</v>
      </c>
      <c r="E521" t="s">
        <v>700</v>
      </c>
      <c r="F521">
        <v>8.4480000000000004</v>
      </c>
      <c r="G521">
        <v>2</v>
      </c>
      <c r="H521">
        <v>2.9567999999999999</v>
      </c>
      <c r="I521">
        <v>3</v>
      </c>
      <c r="J521">
        <v>2014</v>
      </c>
      <c r="K521" t="s">
        <v>2209</v>
      </c>
      <c r="L521" t="str">
        <f>TEXT(maintable_2[[#This Row],[Order Date]],"mmmm")</f>
        <v>November</v>
      </c>
    </row>
    <row r="522" spans="1:12" x14ac:dyDescent="0.3">
      <c r="A522" s="1">
        <v>41962</v>
      </c>
      <c r="B522" s="1">
        <v>41965</v>
      </c>
      <c r="C522" t="s">
        <v>697</v>
      </c>
      <c r="D522" t="s">
        <v>27</v>
      </c>
      <c r="E522" t="s">
        <v>701</v>
      </c>
      <c r="F522">
        <v>95.94</v>
      </c>
      <c r="G522">
        <v>3</v>
      </c>
      <c r="H522">
        <v>9.5939999999999994</v>
      </c>
      <c r="I522">
        <v>3</v>
      </c>
      <c r="J522">
        <v>2014</v>
      </c>
      <c r="K522" t="s">
        <v>2209</v>
      </c>
      <c r="L522" t="str">
        <f>TEXT(maintable_2[[#This Row],[Order Date]],"mmmm")</f>
        <v>November</v>
      </c>
    </row>
    <row r="523" spans="1:12" x14ac:dyDescent="0.3">
      <c r="A523" s="1">
        <v>41660</v>
      </c>
      <c r="B523" s="1">
        <v>41666</v>
      </c>
      <c r="C523" t="s">
        <v>702</v>
      </c>
      <c r="D523" t="s">
        <v>15</v>
      </c>
      <c r="E523" t="s">
        <v>703</v>
      </c>
      <c r="F523">
        <v>160.77600000000001</v>
      </c>
      <c r="G523">
        <v>3</v>
      </c>
      <c r="H523">
        <v>10.048500000000001</v>
      </c>
      <c r="I523">
        <v>6</v>
      </c>
      <c r="J523">
        <v>2014</v>
      </c>
      <c r="K523" t="s">
        <v>2210</v>
      </c>
      <c r="L523" t="str">
        <f>TEXT(maintable_2[[#This Row],[Order Date]],"mmmm")</f>
        <v>January</v>
      </c>
    </row>
    <row r="524" spans="1:12" x14ac:dyDescent="0.3">
      <c r="A524" s="1">
        <v>41943</v>
      </c>
      <c r="B524" s="1">
        <v>41950</v>
      </c>
      <c r="C524" t="s">
        <v>704</v>
      </c>
      <c r="D524" t="s">
        <v>17</v>
      </c>
      <c r="E524" t="s">
        <v>705</v>
      </c>
      <c r="F524">
        <v>88.751999999999995</v>
      </c>
      <c r="G524">
        <v>3</v>
      </c>
      <c r="H524">
        <v>27.734999999999999</v>
      </c>
      <c r="I524">
        <v>7</v>
      </c>
      <c r="J524">
        <v>2014</v>
      </c>
      <c r="K524" t="s">
        <v>2209</v>
      </c>
      <c r="L524" t="str">
        <f>TEXT(maintable_2[[#This Row],[Order Date]],"mmmm")</f>
        <v>October</v>
      </c>
    </row>
    <row r="525" spans="1:12" x14ac:dyDescent="0.3">
      <c r="A525" s="1">
        <v>41943</v>
      </c>
      <c r="B525" s="1">
        <v>41950</v>
      </c>
      <c r="C525" t="s">
        <v>704</v>
      </c>
      <c r="D525" t="s">
        <v>17</v>
      </c>
      <c r="E525" t="s">
        <v>706</v>
      </c>
      <c r="F525">
        <v>13.904</v>
      </c>
      <c r="G525">
        <v>2</v>
      </c>
      <c r="H525">
        <v>5.2140000000000004</v>
      </c>
      <c r="I525">
        <v>7</v>
      </c>
      <c r="J525">
        <v>2014</v>
      </c>
      <c r="K525" t="s">
        <v>2209</v>
      </c>
      <c r="L525" t="str">
        <f>TEXT(maintable_2[[#This Row],[Order Date]],"mmmm")</f>
        <v>October</v>
      </c>
    </row>
    <row r="526" spans="1:12" x14ac:dyDescent="0.3">
      <c r="A526" s="1">
        <v>41356</v>
      </c>
      <c r="B526" s="1">
        <v>41359</v>
      </c>
      <c r="C526" t="s">
        <v>707</v>
      </c>
      <c r="D526" t="s">
        <v>37</v>
      </c>
      <c r="E526" t="s">
        <v>484</v>
      </c>
      <c r="F526">
        <v>58.58</v>
      </c>
      <c r="G526">
        <v>2</v>
      </c>
      <c r="H526">
        <v>19.331399999999999</v>
      </c>
      <c r="I526">
        <v>3</v>
      </c>
      <c r="J526">
        <v>2013</v>
      </c>
      <c r="K526" t="s">
        <v>2208</v>
      </c>
      <c r="L526" t="str">
        <f>TEXT(maintable_2[[#This Row],[Order Date]],"mmmm")</f>
        <v>March</v>
      </c>
    </row>
    <row r="527" spans="1:12" x14ac:dyDescent="0.3">
      <c r="A527" s="1">
        <v>41413</v>
      </c>
      <c r="B527" s="1">
        <v>41419</v>
      </c>
      <c r="C527" t="s">
        <v>708</v>
      </c>
      <c r="D527" t="s">
        <v>27</v>
      </c>
      <c r="E527" t="s">
        <v>709</v>
      </c>
      <c r="F527">
        <v>104.28</v>
      </c>
      <c r="G527">
        <v>3</v>
      </c>
      <c r="H527">
        <v>26.07</v>
      </c>
      <c r="I527">
        <v>6</v>
      </c>
      <c r="J527">
        <v>2013</v>
      </c>
      <c r="K527" t="s">
        <v>2208</v>
      </c>
      <c r="L527" t="str">
        <f>TEXT(maintable_2[[#This Row],[Order Date]],"mmmm")</f>
        <v>May</v>
      </c>
    </row>
    <row r="528" spans="1:12" x14ac:dyDescent="0.3">
      <c r="A528" s="1">
        <v>41413</v>
      </c>
      <c r="B528" s="1">
        <v>41419</v>
      </c>
      <c r="C528" t="s">
        <v>708</v>
      </c>
      <c r="D528" t="s">
        <v>44</v>
      </c>
      <c r="E528" t="s">
        <v>710</v>
      </c>
      <c r="F528">
        <v>17.940000000000001</v>
      </c>
      <c r="G528">
        <v>3</v>
      </c>
      <c r="H528">
        <v>8.7905999999999995</v>
      </c>
      <c r="I528">
        <v>6</v>
      </c>
      <c r="J528">
        <v>2013</v>
      </c>
      <c r="K528" t="s">
        <v>2208</v>
      </c>
      <c r="L528" t="str">
        <f>TEXT(maintable_2[[#This Row],[Order Date]],"mmmm")</f>
        <v>May</v>
      </c>
    </row>
    <row r="529" spans="1:12" x14ac:dyDescent="0.3">
      <c r="A529" s="1">
        <v>41547</v>
      </c>
      <c r="B529" s="1">
        <v>41549</v>
      </c>
      <c r="C529" t="s">
        <v>711</v>
      </c>
      <c r="D529" t="s">
        <v>44</v>
      </c>
      <c r="E529" t="s">
        <v>712</v>
      </c>
      <c r="F529">
        <v>18.97</v>
      </c>
      <c r="G529">
        <v>1</v>
      </c>
      <c r="H529">
        <v>9.1056000000000008</v>
      </c>
      <c r="I529">
        <v>2</v>
      </c>
      <c r="J529">
        <v>2013</v>
      </c>
      <c r="K529" t="s">
        <v>2209</v>
      </c>
      <c r="L529" t="str">
        <f>TEXT(maintable_2[[#This Row],[Order Date]],"mmmm")</f>
        <v>September</v>
      </c>
    </row>
    <row r="530" spans="1:12" x14ac:dyDescent="0.3">
      <c r="A530" s="1">
        <v>41586</v>
      </c>
      <c r="B530" s="1">
        <v>41591</v>
      </c>
      <c r="C530" t="s">
        <v>713</v>
      </c>
      <c r="D530" t="s">
        <v>11</v>
      </c>
      <c r="E530" t="s">
        <v>714</v>
      </c>
      <c r="F530">
        <v>14.82</v>
      </c>
      <c r="G530">
        <v>3</v>
      </c>
      <c r="H530">
        <v>6.2244000000000002</v>
      </c>
      <c r="I530">
        <v>5</v>
      </c>
      <c r="J530">
        <v>2013</v>
      </c>
      <c r="K530" t="s">
        <v>2209</v>
      </c>
      <c r="L530" t="str">
        <f>TEXT(maintable_2[[#This Row],[Order Date]],"mmmm")</f>
        <v>November</v>
      </c>
    </row>
    <row r="531" spans="1:12" x14ac:dyDescent="0.3">
      <c r="A531" s="1">
        <v>41270</v>
      </c>
      <c r="B531" s="1">
        <v>41274</v>
      </c>
      <c r="C531" t="s">
        <v>175</v>
      </c>
      <c r="D531" t="s">
        <v>19</v>
      </c>
      <c r="E531" t="s">
        <v>378</v>
      </c>
      <c r="F531">
        <v>106.96</v>
      </c>
      <c r="G531">
        <v>2</v>
      </c>
      <c r="H531">
        <v>31.0184</v>
      </c>
      <c r="I531">
        <v>4</v>
      </c>
      <c r="J531">
        <v>2012</v>
      </c>
      <c r="K531" t="s">
        <v>2207</v>
      </c>
      <c r="L531" t="str">
        <f>TEXT(maintable_2[[#This Row],[Order Date]],"mmmm")</f>
        <v>December</v>
      </c>
    </row>
    <row r="532" spans="1:12" x14ac:dyDescent="0.3">
      <c r="A532" s="1">
        <v>41270</v>
      </c>
      <c r="B532" s="1">
        <v>41274</v>
      </c>
      <c r="C532" t="s">
        <v>175</v>
      </c>
      <c r="D532" t="s">
        <v>8</v>
      </c>
      <c r="E532" t="s">
        <v>715</v>
      </c>
      <c r="F532">
        <v>21.56</v>
      </c>
      <c r="G532">
        <v>7</v>
      </c>
      <c r="H532">
        <v>10.348800000000001</v>
      </c>
      <c r="I532">
        <v>4</v>
      </c>
      <c r="J532">
        <v>2012</v>
      </c>
      <c r="K532" t="s">
        <v>2207</v>
      </c>
      <c r="L532" t="str">
        <f>TEXT(maintable_2[[#This Row],[Order Date]],"mmmm")</f>
        <v>December</v>
      </c>
    </row>
    <row r="533" spans="1:12" x14ac:dyDescent="0.3">
      <c r="A533" s="1">
        <v>40697</v>
      </c>
      <c r="B533" s="1">
        <v>40701</v>
      </c>
      <c r="C533" t="s">
        <v>716</v>
      </c>
      <c r="D533" t="s">
        <v>21</v>
      </c>
      <c r="E533" t="s">
        <v>655</v>
      </c>
      <c r="F533">
        <v>515.88</v>
      </c>
      <c r="G533">
        <v>6</v>
      </c>
      <c r="H533">
        <v>113.4936</v>
      </c>
      <c r="I533">
        <v>4</v>
      </c>
      <c r="J533">
        <v>2011</v>
      </c>
      <c r="K533" t="s">
        <v>2206</v>
      </c>
      <c r="L533" t="str">
        <f>TEXT(maintable_2[[#This Row],[Order Date]],"mmmm")</f>
        <v>June</v>
      </c>
    </row>
    <row r="534" spans="1:12" x14ac:dyDescent="0.3">
      <c r="A534" s="1">
        <v>40577</v>
      </c>
      <c r="B534" s="1">
        <v>40581</v>
      </c>
      <c r="C534" t="s">
        <v>717</v>
      </c>
      <c r="D534" t="s">
        <v>78</v>
      </c>
      <c r="E534" t="s">
        <v>105</v>
      </c>
      <c r="F534">
        <v>12.35</v>
      </c>
      <c r="G534">
        <v>5</v>
      </c>
      <c r="H534">
        <v>5.8045</v>
      </c>
      <c r="I534">
        <v>4</v>
      </c>
      <c r="J534">
        <v>2011</v>
      </c>
      <c r="K534" t="s">
        <v>2210</v>
      </c>
      <c r="L534" t="str">
        <f>TEXT(maintable_2[[#This Row],[Order Date]],"mmmm")</f>
        <v>February</v>
      </c>
    </row>
    <row r="535" spans="1:12" x14ac:dyDescent="0.3">
      <c r="A535" s="1">
        <v>41342</v>
      </c>
      <c r="B535" s="1">
        <v>41342</v>
      </c>
      <c r="C535" t="s">
        <v>382</v>
      </c>
      <c r="D535" t="s">
        <v>17</v>
      </c>
      <c r="E535" t="s">
        <v>718</v>
      </c>
      <c r="F535">
        <v>9.702</v>
      </c>
      <c r="G535">
        <v>3</v>
      </c>
      <c r="H535">
        <v>-7.1147999999999998</v>
      </c>
      <c r="I535">
        <v>0</v>
      </c>
      <c r="J535">
        <v>2013</v>
      </c>
      <c r="K535" t="s">
        <v>2208</v>
      </c>
      <c r="L535" t="str">
        <f>TEXT(maintable_2[[#This Row],[Order Date]],"mmmm")</f>
        <v>March</v>
      </c>
    </row>
    <row r="536" spans="1:12" x14ac:dyDescent="0.3">
      <c r="A536" s="1">
        <v>41943</v>
      </c>
      <c r="B536" s="1">
        <v>41949</v>
      </c>
      <c r="C536" t="s">
        <v>719</v>
      </c>
      <c r="D536" t="s">
        <v>8</v>
      </c>
      <c r="E536" t="s">
        <v>720</v>
      </c>
      <c r="F536">
        <v>43.86</v>
      </c>
      <c r="G536">
        <v>6</v>
      </c>
      <c r="H536">
        <v>20.6142</v>
      </c>
      <c r="I536">
        <v>6</v>
      </c>
      <c r="J536">
        <v>2014</v>
      </c>
      <c r="K536" t="s">
        <v>2209</v>
      </c>
      <c r="L536" t="str">
        <f>TEXT(maintable_2[[#This Row],[Order Date]],"mmmm")</f>
        <v>October</v>
      </c>
    </row>
    <row r="537" spans="1:12" x14ac:dyDescent="0.3">
      <c r="A537" s="1">
        <v>41943</v>
      </c>
      <c r="B537" s="1">
        <v>41949</v>
      </c>
      <c r="C537" t="s">
        <v>719</v>
      </c>
      <c r="D537" t="s">
        <v>15</v>
      </c>
      <c r="E537" t="s">
        <v>721</v>
      </c>
      <c r="F537">
        <v>148.47999999999999</v>
      </c>
      <c r="G537">
        <v>2</v>
      </c>
      <c r="H537">
        <v>16.704000000000001</v>
      </c>
      <c r="I537">
        <v>6</v>
      </c>
      <c r="J537">
        <v>2014</v>
      </c>
      <c r="K537" t="s">
        <v>2209</v>
      </c>
      <c r="L537" t="str">
        <f>TEXT(maintable_2[[#This Row],[Order Date]],"mmmm")</f>
        <v>October</v>
      </c>
    </row>
    <row r="538" spans="1:12" x14ac:dyDescent="0.3">
      <c r="A538" s="1">
        <v>41943</v>
      </c>
      <c r="B538" s="1">
        <v>41949</v>
      </c>
      <c r="C538" t="s">
        <v>719</v>
      </c>
      <c r="D538" t="s">
        <v>44</v>
      </c>
      <c r="E538" t="s">
        <v>722</v>
      </c>
      <c r="F538">
        <v>7.42</v>
      </c>
      <c r="G538">
        <v>2</v>
      </c>
      <c r="H538">
        <v>3.71</v>
      </c>
      <c r="I538">
        <v>6</v>
      </c>
      <c r="J538">
        <v>2014</v>
      </c>
      <c r="K538" t="s">
        <v>2209</v>
      </c>
      <c r="L538" t="str">
        <f>TEXT(maintable_2[[#This Row],[Order Date]],"mmmm")</f>
        <v>October</v>
      </c>
    </row>
    <row r="539" spans="1:12" x14ac:dyDescent="0.3">
      <c r="A539" s="1">
        <v>41943</v>
      </c>
      <c r="B539" s="1">
        <v>41949</v>
      </c>
      <c r="C539" t="s">
        <v>719</v>
      </c>
      <c r="D539" t="s">
        <v>71</v>
      </c>
      <c r="E539" t="s">
        <v>723</v>
      </c>
      <c r="F539">
        <v>71.992000000000004</v>
      </c>
      <c r="G539">
        <v>1</v>
      </c>
      <c r="H539">
        <v>-0.89990000000000003</v>
      </c>
      <c r="I539">
        <v>6</v>
      </c>
      <c r="J539">
        <v>2014</v>
      </c>
      <c r="K539" t="s">
        <v>2209</v>
      </c>
      <c r="L539" t="str">
        <f>TEXT(maintable_2[[#This Row],[Order Date]],"mmmm")</f>
        <v>October</v>
      </c>
    </row>
    <row r="540" spans="1:12" x14ac:dyDescent="0.3">
      <c r="A540" s="1">
        <v>41943</v>
      </c>
      <c r="B540" s="1">
        <v>41949</v>
      </c>
      <c r="C540" t="s">
        <v>719</v>
      </c>
      <c r="D540" t="s">
        <v>13</v>
      </c>
      <c r="E540" t="s">
        <v>636</v>
      </c>
      <c r="F540">
        <v>19.899999999999999</v>
      </c>
      <c r="G540">
        <v>5</v>
      </c>
      <c r="H540">
        <v>6.5670000000000002</v>
      </c>
      <c r="I540">
        <v>6</v>
      </c>
      <c r="J540">
        <v>2014</v>
      </c>
      <c r="K540" t="s">
        <v>2209</v>
      </c>
      <c r="L540" t="str">
        <f>TEXT(maintable_2[[#This Row],[Order Date]],"mmmm")</f>
        <v>October</v>
      </c>
    </row>
    <row r="541" spans="1:12" x14ac:dyDescent="0.3">
      <c r="A541" s="1">
        <v>41943</v>
      </c>
      <c r="B541" s="1">
        <v>41949</v>
      </c>
      <c r="C541" t="s">
        <v>719</v>
      </c>
      <c r="D541" t="s">
        <v>19</v>
      </c>
      <c r="E541" t="s">
        <v>724</v>
      </c>
      <c r="F541">
        <v>1702.12</v>
      </c>
      <c r="G541">
        <v>14</v>
      </c>
      <c r="H541">
        <v>510.63600000000002</v>
      </c>
      <c r="I541">
        <v>6</v>
      </c>
      <c r="J541">
        <v>2014</v>
      </c>
      <c r="K541" t="s">
        <v>2209</v>
      </c>
      <c r="L541" t="str">
        <f>TEXT(maintable_2[[#This Row],[Order Date]],"mmmm")</f>
        <v>October</v>
      </c>
    </row>
    <row r="542" spans="1:12" x14ac:dyDescent="0.3">
      <c r="A542" s="1">
        <v>41920</v>
      </c>
      <c r="B542" s="1">
        <v>41926</v>
      </c>
      <c r="C542" t="s">
        <v>725</v>
      </c>
      <c r="D542" t="s">
        <v>196</v>
      </c>
      <c r="E542" t="s">
        <v>726</v>
      </c>
      <c r="F542">
        <v>307.666</v>
      </c>
      <c r="G542">
        <v>2</v>
      </c>
      <c r="H542">
        <v>-14.478400000000001</v>
      </c>
      <c r="I542">
        <v>6</v>
      </c>
      <c r="J542">
        <v>2014</v>
      </c>
      <c r="K542" t="s">
        <v>2209</v>
      </c>
      <c r="L542" t="str">
        <f>TEXT(maintable_2[[#This Row],[Order Date]],"mmmm")</f>
        <v>October</v>
      </c>
    </row>
    <row r="543" spans="1:12" x14ac:dyDescent="0.3">
      <c r="A543" s="1">
        <v>41155</v>
      </c>
      <c r="B543" s="1">
        <v>41161</v>
      </c>
      <c r="C543" t="s">
        <v>124</v>
      </c>
      <c r="D543" t="s">
        <v>27</v>
      </c>
      <c r="E543" t="s">
        <v>263</v>
      </c>
      <c r="F543">
        <v>31.44</v>
      </c>
      <c r="G543">
        <v>3</v>
      </c>
      <c r="H543">
        <v>8.4887999999999995</v>
      </c>
      <c r="I543">
        <v>6</v>
      </c>
      <c r="J543">
        <v>2012</v>
      </c>
      <c r="K543" t="s">
        <v>2209</v>
      </c>
      <c r="L543" t="str">
        <f>TEXT(maintable_2[[#This Row],[Order Date]],"mmmm")</f>
        <v>September</v>
      </c>
    </row>
    <row r="544" spans="1:12" x14ac:dyDescent="0.3">
      <c r="A544" s="1">
        <v>41155</v>
      </c>
      <c r="B544" s="1">
        <v>41161</v>
      </c>
      <c r="C544" t="s">
        <v>124</v>
      </c>
      <c r="D544" t="s">
        <v>37</v>
      </c>
      <c r="E544" t="s">
        <v>727</v>
      </c>
      <c r="F544">
        <v>17.899999999999999</v>
      </c>
      <c r="G544">
        <v>2</v>
      </c>
      <c r="H544">
        <v>3.4009999999999998</v>
      </c>
      <c r="I544">
        <v>6</v>
      </c>
      <c r="J544">
        <v>2012</v>
      </c>
      <c r="K544" t="s">
        <v>2209</v>
      </c>
      <c r="L544" t="str">
        <f>TEXT(maintable_2[[#This Row],[Order Date]],"mmmm")</f>
        <v>September</v>
      </c>
    </row>
    <row r="545" spans="1:12" x14ac:dyDescent="0.3">
      <c r="A545" s="1">
        <v>41155</v>
      </c>
      <c r="B545" s="1">
        <v>41161</v>
      </c>
      <c r="C545" t="s">
        <v>124</v>
      </c>
      <c r="D545" t="s">
        <v>37</v>
      </c>
      <c r="E545" t="s">
        <v>728</v>
      </c>
      <c r="F545">
        <v>129.44999999999999</v>
      </c>
      <c r="G545">
        <v>5</v>
      </c>
      <c r="H545">
        <v>46.601999999999997</v>
      </c>
      <c r="I545">
        <v>6</v>
      </c>
      <c r="J545">
        <v>2012</v>
      </c>
      <c r="K545" t="s">
        <v>2209</v>
      </c>
      <c r="L545" t="str">
        <f>TEXT(maintable_2[[#This Row],[Order Date]],"mmmm")</f>
        <v>September</v>
      </c>
    </row>
    <row r="546" spans="1:12" x14ac:dyDescent="0.3">
      <c r="A546" s="1">
        <v>40764</v>
      </c>
      <c r="B546" s="1">
        <v>40771</v>
      </c>
      <c r="C546" t="s">
        <v>729</v>
      </c>
      <c r="D546" t="s">
        <v>8</v>
      </c>
      <c r="E546" t="s">
        <v>730</v>
      </c>
      <c r="F546">
        <v>20.88</v>
      </c>
      <c r="G546">
        <v>8</v>
      </c>
      <c r="H546">
        <v>9.6047999999999991</v>
      </c>
      <c r="I546">
        <v>7</v>
      </c>
      <c r="J546">
        <v>2011</v>
      </c>
      <c r="K546" t="s">
        <v>2206</v>
      </c>
      <c r="L546" t="str">
        <f>TEXT(maintable_2[[#This Row],[Order Date]],"mmmm")</f>
        <v>August</v>
      </c>
    </row>
    <row r="547" spans="1:12" x14ac:dyDescent="0.3">
      <c r="A547" s="1">
        <v>41927</v>
      </c>
      <c r="B547" s="1">
        <v>41930</v>
      </c>
      <c r="C547" t="s">
        <v>731</v>
      </c>
      <c r="D547" t="s">
        <v>11</v>
      </c>
      <c r="E547" t="s">
        <v>153</v>
      </c>
      <c r="F547">
        <v>9.4600000000000009</v>
      </c>
      <c r="G547">
        <v>2</v>
      </c>
      <c r="H547">
        <v>3.6894</v>
      </c>
      <c r="I547">
        <v>3</v>
      </c>
      <c r="J547">
        <v>2014</v>
      </c>
      <c r="K547" t="s">
        <v>2209</v>
      </c>
      <c r="L547" t="str">
        <f>TEXT(maintable_2[[#This Row],[Order Date]],"mmmm")</f>
        <v>October</v>
      </c>
    </row>
    <row r="548" spans="1:12" x14ac:dyDescent="0.3">
      <c r="A548" s="1">
        <v>41976</v>
      </c>
      <c r="B548" s="1">
        <v>41979</v>
      </c>
      <c r="C548" t="s">
        <v>640</v>
      </c>
      <c r="D548" t="s">
        <v>27</v>
      </c>
      <c r="E548" t="s">
        <v>496</v>
      </c>
      <c r="F548">
        <v>559.62</v>
      </c>
      <c r="G548">
        <v>9</v>
      </c>
      <c r="H548">
        <v>151.09739999999999</v>
      </c>
      <c r="I548">
        <v>3</v>
      </c>
      <c r="J548">
        <v>2014</v>
      </c>
      <c r="K548" t="s">
        <v>2207</v>
      </c>
      <c r="L548" t="str">
        <f>TEXT(maintable_2[[#This Row],[Order Date]],"mmmm")</f>
        <v>December</v>
      </c>
    </row>
    <row r="549" spans="1:12" x14ac:dyDescent="0.3">
      <c r="A549" s="1">
        <v>41976</v>
      </c>
      <c r="B549" s="1">
        <v>41979</v>
      </c>
      <c r="C549" t="s">
        <v>640</v>
      </c>
      <c r="D549" t="s">
        <v>44</v>
      </c>
      <c r="E549" t="s">
        <v>695</v>
      </c>
      <c r="F549">
        <v>109.92</v>
      </c>
      <c r="G549">
        <v>2</v>
      </c>
      <c r="H549">
        <v>53.860799999999998</v>
      </c>
      <c r="I549">
        <v>3</v>
      </c>
      <c r="J549">
        <v>2014</v>
      </c>
      <c r="K549" t="s">
        <v>2207</v>
      </c>
      <c r="L549" t="str">
        <f>TEXT(maintable_2[[#This Row],[Order Date]],"mmmm")</f>
        <v>December</v>
      </c>
    </row>
    <row r="550" spans="1:12" x14ac:dyDescent="0.3">
      <c r="A550" s="1">
        <v>41976</v>
      </c>
      <c r="B550" s="1">
        <v>41979</v>
      </c>
      <c r="C550" t="s">
        <v>640</v>
      </c>
      <c r="D550" t="s">
        <v>44</v>
      </c>
      <c r="E550" t="s">
        <v>732</v>
      </c>
      <c r="F550">
        <v>8.56</v>
      </c>
      <c r="G550">
        <v>2</v>
      </c>
      <c r="H550">
        <v>3.8519999999999999</v>
      </c>
      <c r="I550">
        <v>3</v>
      </c>
      <c r="J550">
        <v>2014</v>
      </c>
      <c r="K550" t="s">
        <v>2207</v>
      </c>
      <c r="L550" t="str">
        <f>TEXT(maintable_2[[#This Row],[Order Date]],"mmmm")</f>
        <v>December</v>
      </c>
    </row>
    <row r="551" spans="1:12" x14ac:dyDescent="0.3">
      <c r="A551" s="1">
        <v>41157</v>
      </c>
      <c r="B551" s="1">
        <v>41161</v>
      </c>
      <c r="C551" t="s">
        <v>175</v>
      </c>
      <c r="D551" t="s">
        <v>196</v>
      </c>
      <c r="E551" t="s">
        <v>733</v>
      </c>
      <c r="F551">
        <v>411.33199999999999</v>
      </c>
      <c r="G551">
        <v>4</v>
      </c>
      <c r="H551">
        <v>-4.8391999999999999</v>
      </c>
      <c r="I551">
        <v>4</v>
      </c>
      <c r="J551">
        <v>2012</v>
      </c>
      <c r="K551" t="s">
        <v>2209</v>
      </c>
      <c r="L551" t="str">
        <f>TEXT(maintable_2[[#This Row],[Order Date]],"mmmm")</f>
        <v>September</v>
      </c>
    </row>
    <row r="552" spans="1:12" x14ac:dyDescent="0.3">
      <c r="A552" s="1">
        <v>41157</v>
      </c>
      <c r="B552" s="1">
        <v>41161</v>
      </c>
      <c r="C552" t="s">
        <v>175</v>
      </c>
      <c r="D552" t="s">
        <v>17</v>
      </c>
      <c r="E552" t="s">
        <v>734</v>
      </c>
      <c r="F552">
        <v>28.751999999999999</v>
      </c>
      <c r="G552">
        <v>6</v>
      </c>
      <c r="H552">
        <v>9.7037999999999993</v>
      </c>
      <c r="I552">
        <v>4</v>
      </c>
      <c r="J552">
        <v>2012</v>
      </c>
      <c r="K552" t="s">
        <v>2209</v>
      </c>
      <c r="L552" t="str">
        <f>TEXT(maintable_2[[#This Row],[Order Date]],"mmmm")</f>
        <v>September</v>
      </c>
    </row>
    <row r="553" spans="1:12" x14ac:dyDescent="0.3">
      <c r="A553" s="1">
        <v>41157</v>
      </c>
      <c r="B553" s="1">
        <v>41161</v>
      </c>
      <c r="C553" t="s">
        <v>175</v>
      </c>
      <c r="D553" t="s">
        <v>196</v>
      </c>
      <c r="E553" t="s">
        <v>735</v>
      </c>
      <c r="F553">
        <v>293.19900000000001</v>
      </c>
      <c r="G553">
        <v>3</v>
      </c>
      <c r="H553">
        <v>-20.696400000000001</v>
      </c>
      <c r="I553">
        <v>4</v>
      </c>
      <c r="J553">
        <v>2012</v>
      </c>
      <c r="K553" t="s">
        <v>2209</v>
      </c>
      <c r="L553" t="str">
        <f>TEXT(maintable_2[[#This Row],[Order Date]],"mmmm")</f>
        <v>September</v>
      </c>
    </row>
    <row r="554" spans="1:12" x14ac:dyDescent="0.3">
      <c r="A554" s="1">
        <v>41237</v>
      </c>
      <c r="B554" s="1">
        <v>41241</v>
      </c>
      <c r="C554" t="s">
        <v>736</v>
      </c>
      <c r="D554" t="s">
        <v>44</v>
      </c>
      <c r="E554" t="s">
        <v>737</v>
      </c>
      <c r="F554">
        <v>368.91</v>
      </c>
      <c r="G554">
        <v>9</v>
      </c>
      <c r="H554">
        <v>180.76589999999999</v>
      </c>
      <c r="I554">
        <v>4</v>
      </c>
      <c r="J554">
        <v>2012</v>
      </c>
      <c r="K554" t="s">
        <v>2209</v>
      </c>
      <c r="L554" t="str">
        <f>TEXT(maintable_2[[#This Row],[Order Date]],"mmmm")</f>
        <v>November</v>
      </c>
    </row>
    <row r="555" spans="1:12" x14ac:dyDescent="0.3">
      <c r="A555" s="1">
        <v>41237</v>
      </c>
      <c r="B555" s="1">
        <v>41241</v>
      </c>
      <c r="C555" t="s">
        <v>736</v>
      </c>
      <c r="D555" t="s">
        <v>13</v>
      </c>
      <c r="E555" t="s">
        <v>738</v>
      </c>
      <c r="F555">
        <v>14.7</v>
      </c>
      <c r="G555">
        <v>5</v>
      </c>
      <c r="H555">
        <v>6.6150000000000002</v>
      </c>
      <c r="I555">
        <v>4</v>
      </c>
      <c r="J555">
        <v>2012</v>
      </c>
      <c r="K555" t="s">
        <v>2209</v>
      </c>
      <c r="L555" t="str">
        <f>TEXT(maintable_2[[#This Row],[Order Date]],"mmmm")</f>
        <v>November</v>
      </c>
    </row>
    <row r="556" spans="1:12" x14ac:dyDescent="0.3">
      <c r="A556" s="1">
        <v>41463</v>
      </c>
      <c r="B556" s="1">
        <v>41467</v>
      </c>
      <c r="C556" t="s">
        <v>739</v>
      </c>
      <c r="D556" t="s">
        <v>11</v>
      </c>
      <c r="E556" t="s">
        <v>740</v>
      </c>
      <c r="F556">
        <v>215.65</v>
      </c>
      <c r="G556">
        <v>5</v>
      </c>
      <c r="H556">
        <v>73.320999999999998</v>
      </c>
      <c r="I556">
        <v>4</v>
      </c>
      <c r="J556">
        <v>2013</v>
      </c>
      <c r="K556" t="s">
        <v>2206</v>
      </c>
      <c r="L556" t="str">
        <f>TEXT(maintable_2[[#This Row],[Order Date]],"mmmm")</f>
        <v>July</v>
      </c>
    </row>
    <row r="557" spans="1:12" x14ac:dyDescent="0.3">
      <c r="A557" s="1">
        <v>41592</v>
      </c>
      <c r="B557" s="1">
        <v>41598</v>
      </c>
      <c r="C557" t="s">
        <v>741</v>
      </c>
      <c r="D557" t="s">
        <v>11</v>
      </c>
      <c r="E557" t="s">
        <v>633</v>
      </c>
      <c r="F557">
        <v>4.18</v>
      </c>
      <c r="G557">
        <v>1</v>
      </c>
      <c r="H557">
        <v>1.5047999999999999</v>
      </c>
      <c r="I557">
        <v>6</v>
      </c>
      <c r="J557">
        <v>2013</v>
      </c>
      <c r="K557" t="s">
        <v>2209</v>
      </c>
      <c r="L557" t="str">
        <f>TEXT(maintable_2[[#This Row],[Order Date]],"mmmm")</f>
        <v>November</v>
      </c>
    </row>
    <row r="558" spans="1:12" x14ac:dyDescent="0.3">
      <c r="A558" s="1">
        <v>41634</v>
      </c>
      <c r="B558" s="1">
        <v>41637</v>
      </c>
      <c r="C558" t="s">
        <v>159</v>
      </c>
      <c r="D558" t="s">
        <v>15</v>
      </c>
      <c r="E558" t="s">
        <v>742</v>
      </c>
      <c r="F558">
        <v>2575.944</v>
      </c>
      <c r="G558">
        <v>7</v>
      </c>
      <c r="H558">
        <v>257.59440000000001</v>
      </c>
      <c r="I558">
        <v>3</v>
      </c>
      <c r="J558">
        <v>2013</v>
      </c>
      <c r="K558" t="s">
        <v>2207</v>
      </c>
      <c r="L558" t="str">
        <f>TEXT(maintable_2[[#This Row],[Order Date]],"mmmm")</f>
        <v>December</v>
      </c>
    </row>
    <row r="559" spans="1:12" x14ac:dyDescent="0.3">
      <c r="A559" s="1">
        <v>41634</v>
      </c>
      <c r="B559" s="1">
        <v>41637</v>
      </c>
      <c r="C559" t="s">
        <v>159</v>
      </c>
      <c r="D559" t="s">
        <v>44</v>
      </c>
      <c r="E559" t="s">
        <v>300</v>
      </c>
      <c r="F559">
        <v>45.36</v>
      </c>
      <c r="G559">
        <v>7</v>
      </c>
      <c r="H559">
        <v>21.7728</v>
      </c>
      <c r="I559">
        <v>3</v>
      </c>
      <c r="J559">
        <v>2013</v>
      </c>
      <c r="K559" t="s">
        <v>2207</v>
      </c>
      <c r="L559" t="str">
        <f>TEXT(maintable_2[[#This Row],[Order Date]],"mmmm")</f>
        <v>December</v>
      </c>
    </row>
    <row r="560" spans="1:12" x14ac:dyDescent="0.3">
      <c r="A560" s="1">
        <v>41634</v>
      </c>
      <c r="B560" s="1">
        <v>41637</v>
      </c>
      <c r="C560" t="s">
        <v>159</v>
      </c>
      <c r="D560" t="s">
        <v>37</v>
      </c>
      <c r="E560" t="s">
        <v>743</v>
      </c>
      <c r="F560">
        <v>254.24</v>
      </c>
      <c r="G560">
        <v>7</v>
      </c>
      <c r="H560">
        <v>76.272000000000006</v>
      </c>
      <c r="I560">
        <v>3</v>
      </c>
      <c r="J560">
        <v>2013</v>
      </c>
      <c r="K560" t="s">
        <v>2207</v>
      </c>
      <c r="L560" t="str">
        <f>TEXT(maintable_2[[#This Row],[Order Date]],"mmmm")</f>
        <v>December</v>
      </c>
    </row>
    <row r="561" spans="1:12" x14ac:dyDescent="0.3">
      <c r="A561" s="1">
        <v>41166</v>
      </c>
      <c r="B561" s="1">
        <v>41170</v>
      </c>
      <c r="C561" t="s">
        <v>744</v>
      </c>
      <c r="D561" t="s">
        <v>21</v>
      </c>
      <c r="E561" t="s">
        <v>350</v>
      </c>
      <c r="F561">
        <v>170.136</v>
      </c>
      <c r="G561">
        <v>3</v>
      </c>
      <c r="H561">
        <v>-8.5068000000000001</v>
      </c>
      <c r="I561">
        <v>4</v>
      </c>
      <c r="J561">
        <v>2012</v>
      </c>
      <c r="K561" t="s">
        <v>2209</v>
      </c>
      <c r="L561" t="str">
        <f>TEXT(maintable_2[[#This Row],[Order Date]],"mmmm")</f>
        <v>September</v>
      </c>
    </row>
    <row r="562" spans="1:12" x14ac:dyDescent="0.3">
      <c r="A562" s="1">
        <v>41064</v>
      </c>
      <c r="B562" s="1">
        <v>41064</v>
      </c>
      <c r="C562" t="s">
        <v>745</v>
      </c>
      <c r="D562" t="s">
        <v>8</v>
      </c>
      <c r="E562" t="s">
        <v>746</v>
      </c>
      <c r="F562">
        <v>7.38</v>
      </c>
      <c r="G562">
        <v>2</v>
      </c>
      <c r="H562">
        <v>3.4685999999999999</v>
      </c>
      <c r="I562">
        <v>0</v>
      </c>
      <c r="J562">
        <v>2012</v>
      </c>
      <c r="K562" t="s">
        <v>2206</v>
      </c>
      <c r="L562" t="str">
        <f>TEXT(maintable_2[[#This Row],[Order Date]],"mmmm")</f>
        <v>June</v>
      </c>
    </row>
    <row r="563" spans="1:12" x14ac:dyDescent="0.3">
      <c r="A563" s="1">
        <v>41064</v>
      </c>
      <c r="B563" s="1">
        <v>41064</v>
      </c>
      <c r="C563" t="s">
        <v>745</v>
      </c>
      <c r="D563" t="s">
        <v>13</v>
      </c>
      <c r="E563" t="s">
        <v>747</v>
      </c>
      <c r="F563">
        <v>9.26</v>
      </c>
      <c r="G563">
        <v>2</v>
      </c>
      <c r="H563">
        <v>3.0558000000000001</v>
      </c>
      <c r="I563">
        <v>0</v>
      </c>
      <c r="J563">
        <v>2012</v>
      </c>
      <c r="K563" t="s">
        <v>2206</v>
      </c>
      <c r="L563" t="str">
        <f>TEXT(maintable_2[[#This Row],[Order Date]],"mmmm")</f>
        <v>June</v>
      </c>
    </row>
    <row r="564" spans="1:12" x14ac:dyDescent="0.3">
      <c r="A564" s="1">
        <v>41256</v>
      </c>
      <c r="B564" s="1">
        <v>41258</v>
      </c>
      <c r="C564" t="s">
        <v>748</v>
      </c>
      <c r="D564" t="s">
        <v>8</v>
      </c>
      <c r="E564" t="s">
        <v>749</v>
      </c>
      <c r="F564">
        <v>9.9600000000000009</v>
      </c>
      <c r="G564">
        <v>2</v>
      </c>
      <c r="H564">
        <v>4.5815999999999999</v>
      </c>
      <c r="I564">
        <v>2</v>
      </c>
      <c r="J564">
        <v>2012</v>
      </c>
      <c r="K564" t="s">
        <v>2207</v>
      </c>
      <c r="L564" t="str">
        <f>TEXT(maintable_2[[#This Row],[Order Date]],"mmmm")</f>
        <v>December</v>
      </c>
    </row>
    <row r="565" spans="1:12" x14ac:dyDescent="0.3">
      <c r="A565" s="1">
        <v>41631</v>
      </c>
      <c r="B565" s="1">
        <v>41637</v>
      </c>
      <c r="C565" t="s">
        <v>750</v>
      </c>
      <c r="D565" t="s">
        <v>17</v>
      </c>
      <c r="E565" t="s">
        <v>751</v>
      </c>
      <c r="F565">
        <v>31.32</v>
      </c>
      <c r="G565">
        <v>10</v>
      </c>
      <c r="H565">
        <v>-25.056000000000001</v>
      </c>
      <c r="I565">
        <v>6</v>
      </c>
      <c r="J565">
        <v>2013</v>
      </c>
      <c r="K565" t="s">
        <v>2207</v>
      </c>
      <c r="L565" t="str">
        <f>TEXT(maintable_2[[#This Row],[Order Date]],"mmmm")</f>
        <v>December</v>
      </c>
    </row>
    <row r="566" spans="1:12" x14ac:dyDescent="0.3">
      <c r="A566" s="1">
        <v>41631</v>
      </c>
      <c r="B566" s="1">
        <v>41637</v>
      </c>
      <c r="C566" t="s">
        <v>750</v>
      </c>
      <c r="D566" t="s">
        <v>11</v>
      </c>
      <c r="E566" t="s">
        <v>325</v>
      </c>
      <c r="F566">
        <v>11.84</v>
      </c>
      <c r="G566">
        <v>4</v>
      </c>
      <c r="H566">
        <v>3.1080000000000001</v>
      </c>
      <c r="I566">
        <v>6</v>
      </c>
      <c r="J566">
        <v>2013</v>
      </c>
      <c r="K566" t="s">
        <v>2207</v>
      </c>
      <c r="L566" t="str">
        <f>TEXT(maintable_2[[#This Row],[Order Date]],"mmmm")</f>
        <v>December</v>
      </c>
    </row>
    <row r="567" spans="1:12" x14ac:dyDescent="0.3">
      <c r="A567" s="1">
        <v>41631</v>
      </c>
      <c r="B567" s="1">
        <v>41637</v>
      </c>
      <c r="C567" t="s">
        <v>750</v>
      </c>
      <c r="D567" t="s">
        <v>11</v>
      </c>
      <c r="E567" t="s">
        <v>752</v>
      </c>
      <c r="F567">
        <v>22.783999999999999</v>
      </c>
      <c r="G567">
        <v>1</v>
      </c>
      <c r="H567">
        <v>4.8415999999999997</v>
      </c>
      <c r="I567">
        <v>6</v>
      </c>
      <c r="J567">
        <v>2013</v>
      </c>
      <c r="K567" t="s">
        <v>2207</v>
      </c>
      <c r="L567" t="str">
        <f>TEXT(maintable_2[[#This Row],[Order Date]],"mmmm")</f>
        <v>December</v>
      </c>
    </row>
    <row r="568" spans="1:12" x14ac:dyDescent="0.3">
      <c r="A568" s="1">
        <v>41850</v>
      </c>
      <c r="B568" s="1">
        <v>41854</v>
      </c>
      <c r="C568" t="s">
        <v>753</v>
      </c>
      <c r="D568" t="s">
        <v>37</v>
      </c>
      <c r="E568" t="s">
        <v>38</v>
      </c>
      <c r="F568">
        <v>90.57</v>
      </c>
      <c r="G568">
        <v>3</v>
      </c>
      <c r="H568">
        <v>11.774100000000001</v>
      </c>
      <c r="I568">
        <v>4</v>
      </c>
      <c r="J568">
        <v>2014</v>
      </c>
      <c r="K568" t="s">
        <v>2206</v>
      </c>
      <c r="L568" t="str">
        <f>TEXT(maintable_2[[#This Row],[Order Date]],"mmmm")</f>
        <v>July</v>
      </c>
    </row>
    <row r="569" spans="1:12" x14ac:dyDescent="0.3">
      <c r="A569" s="1">
        <v>41893</v>
      </c>
      <c r="B569" s="1">
        <v>41893</v>
      </c>
      <c r="C569" t="s">
        <v>754</v>
      </c>
      <c r="D569" t="s">
        <v>71</v>
      </c>
      <c r="E569" t="s">
        <v>240</v>
      </c>
      <c r="F569">
        <v>362.35199999999998</v>
      </c>
      <c r="G569">
        <v>3</v>
      </c>
      <c r="H569">
        <v>27.176400000000001</v>
      </c>
      <c r="I569">
        <v>0</v>
      </c>
      <c r="J569">
        <v>2014</v>
      </c>
      <c r="K569" t="s">
        <v>2209</v>
      </c>
      <c r="L569" t="str">
        <f>TEXT(maintable_2[[#This Row],[Order Date]],"mmmm")</f>
        <v>September</v>
      </c>
    </row>
    <row r="570" spans="1:12" x14ac:dyDescent="0.3">
      <c r="A570" s="1">
        <v>41893</v>
      </c>
      <c r="B570" s="1">
        <v>41893</v>
      </c>
      <c r="C570" t="s">
        <v>754</v>
      </c>
      <c r="D570" t="s">
        <v>17</v>
      </c>
      <c r="E570" t="s">
        <v>165</v>
      </c>
      <c r="F570">
        <v>7.1840000000000002</v>
      </c>
      <c r="G570">
        <v>2</v>
      </c>
      <c r="H570">
        <v>2.2450000000000001</v>
      </c>
      <c r="I570">
        <v>0</v>
      </c>
      <c r="J570">
        <v>2014</v>
      </c>
      <c r="K570" t="s">
        <v>2209</v>
      </c>
      <c r="L570" t="str">
        <f>TEXT(maintable_2[[#This Row],[Order Date]],"mmmm")</f>
        <v>September</v>
      </c>
    </row>
    <row r="571" spans="1:12" x14ac:dyDescent="0.3">
      <c r="A571" s="1">
        <v>40707</v>
      </c>
      <c r="B571" s="1">
        <v>40711</v>
      </c>
      <c r="C571" t="s">
        <v>755</v>
      </c>
      <c r="D571" t="s">
        <v>13</v>
      </c>
      <c r="E571" t="s">
        <v>105</v>
      </c>
      <c r="F571">
        <v>14.52</v>
      </c>
      <c r="G571">
        <v>3</v>
      </c>
      <c r="H571">
        <v>4.7915999999999999</v>
      </c>
      <c r="I571">
        <v>4</v>
      </c>
      <c r="J571">
        <v>2011</v>
      </c>
      <c r="K571" t="s">
        <v>2206</v>
      </c>
      <c r="L571" t="str">
        <f>TEXT(maintable_2[[#This Row],[Order Date]],"mmmm")</f>
        <v>June</v>
      </c>
    </row>
    <row r="572" spans="1:12" x14ac:dyDescent="0.3">
      <c r="A572" s="1">
        <v>41561</v>
      </c>
      <c r="B572" s="1">
        <v>41565</v>
      </c>
      <c r="C572" t="s">
        <v>756</v>
      </c>
      <c r="D572" t="s">
        <v>21</v>
      </c>
      <c r="E572" t="s">
        <v>168</v>
      </c>
      <c r="F572">
        <v>727.45</v>
      </c>
      <c r="G572">
        <v>5</v>
      </c>
      <c r="H572">
        <v>-465.56799999999998</v>
      </c>
      <c r="I572">
        <v>4</v>
      </c>
      <c r="J572">
        <v>2013</v>
      </c>
      <c r="K572" t="s">
        <v>2209</v>
      </c>
      <c r="L572" t="str">
        <f>TEXT(maintable_2[[#This Row],[Order Date]],"mmmm")</f>
        <v>October</v>
      </c>
    </row>
    <row r="573" spans="1:12" x14ac:dyDescent="0.3">
      <c r="A573" s="1">
        <v>41561</v>
      </c>
      <c r="B573" s="1">
        <v>41565</v>
      </c>
      <c r="C573" t="s">
        <v>756</v>
      </c>
      <c r="D573" t="s">
        <v>11</v>
      </c>
      <c r="E573" t="s">
        <v>757</v>
      </c>
      <c r="F573">
        <v>24.96</v>
      </c>
      <c r="G573">
        <v>3</v>
      </c>
      <c r="H573">
        <v>4.3680000000000003</v>
      </c>
      <c r="I573">
        <v>4</v>
      </c>
      <c r="J573">
        <v>2013</v>
      </c>
      <c r="K573" t="s">
        <v>2209</v>
      </c>
      <c r="L573" t="str">
        <f>TEXT(maintable_2[[#This Row],[Order Date]],"mmmm")</f>
        <v>October</v>
      </c>
    </row>
    <row r="574" spans="1:12" x14ac:dyDescent="0.3">
      <c r="A574" s="1">
        <v>41745</v>
      </c>
      <c r="B574" s="1">
        <v>41748</v>
      </c>
      <c r="C574" t="s">
        <v>758</v>
      </c>
      <c r="D574" t="s">
        <v>11</v>
      </c>
      <c r="E574" t="s">
        <v>759</v>
      </c>
      <c r="F574">
        <v>196.45</v>
      </c>
      <c r="G574">
        <v>5</v>
      </c>
      <c r="H574">
        <v>70.721999999999994</v>
      </c>
      <c r="I574">
        <v>3</v>
      </c>
      <c r="J574">
        <v>2014</v>
      </c>
      <c r="K574" t="s">
        <v>2208</v>
      </c>
      <c r="L574" t="str">
        <f>TEXT(maintable_2[[#This Row],[Order Date]],"mmmm")</f>
        <v>April</v>
      </c>
    </row>
    <row r="575" spans="1:12" x14ac:dyDescent="0.3">
      <c r="A575" s="1">
        <v>41513</v>
      </c>
      <c r="B575" s="1">
        <v>41516</v>
      </c>
      <c r="C575" t="s">
        <v>291</v>
      </c>
      <c r="D575" t="s">
        <v>44</v>
      </c>
      <c r="E575" t="s">
        <v>406</v>
      </c>
      <c r="F575">
        <v>6.48</v>
      </c>
      <c r="G575">
        <v>1</v>
      </c>
      <c r="H575">
        <v>3.1103999999999998</v>
      </c>
      <c r="I575">
        <v>3</v>
      </c>
      <c r="J575">
        <v>2013</v>
      </c>
      <c r="K575" t="s">
        <v>2206</v>
      </c>
      <c r="L575" t="str">
        <f>TEXT(maintable_2[[#This Row],[Order Date]],"mmmm")</f>
        <v>August</v>
      </c>
    </row>
    <row r="576" spans="1:12" x14ac:dyDescent="0.3">
      <c r="A576" s="1">
        <v>40745</v>
      </c>
      <c r="B576" s="1">
        <v>40749</v>
      </c>
      <c r="C576" t="s">
        <v>760</v>
      </c>
      <c r="D576" t="s">
        <v>13</v>
      </c>
      <c r="E576" t="s">
        <v>761</v>
      </c>
      <c r="F576">
        <v>99.2</v>
      </c>
      <c r="G576">
        <v>5</v>
      </c>
      <c r="H576">
        <v>25.792000000000002</v>
      </c>
      <c r="I576">
        <v>4</v>
      </c>
      <c r="J576">
        <v>2011</v>
      </c>
      <c r="K576" t="s">
        <v>2206</v>
      </c>
      <c r="L576" t="str">
        <f>TEXT(maintable_2[[#This Row],[Order Date]],"mmmm")</f>
        <v>July</v>
      </c>
    </row>
    <row r="577" spans="1:12" x14ac:dyDescent="0.3">
      <c r="A577" s="1">
        <v>40745</v>
      </c>
      <c r="B577" s="1">
        <v>40749</v>
      </c>
      <c r="C577" t="s">
        <v>760</v>
      </c>
      <c r="D577" t="s">
        <v>71</v>
      </c>
      <c r="E577" t="s">
        <v>245</v>
      </c>
      <c r="F577">
        <v>801.56799999999998</v>
      </c>
      <c r="G577">
        <v>2</v>
      </c>
      <c r="H577">
        <v>50.097999999999999</v>
      </c>
      <c r="I577">
        <v>4</v>
      </c>
      <c r="J577">
        <v>2011</v>
      </c>
      <c r="K577" t="s">
        <v>2206</v>
      </c>
      <c r="L577" t="str">
        <f>TEXT(maintable_2[[#This Row],[Order Date]],"mmmm")</f>
        <v>July</v>
      </c>
    </row>
    <row r="578" spans="1:12" x14ac:dyDescent="0.3">
      <c r="A578" s="1">
        <v>40745</v>
      </c>
      <c r="B578" s="1">
        <v>40749</v>
      </c>
      <c r="C578" t="s">
        <v>760</v>
      </c>
      <c r="D578" t="s">
        <v>21</v>
      </c>
      <c r="E578" t="s">
        <v>762</v>
      </c>
      <c r="F578">
        <v>272.84800000000001</v>
      </c>
      <c r="G578">
        <v>1</v>
      </c>
      <c r="H578">
        <v>27.284800000000001</v>
      </c>
      <c r="I578">
        <v>4</v>
      </c>
      <c r="J578">
        <v>2011</v>
      </c>
      <c r="K578" t="s">
        <v>2206</v>
      </c>
      <c r="L578" t="str">
        <f>TEXT(maintable_2[[#This Row],[Order Date]],"mmmm")</f>
        <v>July</v>
      </c>
    </row>
    <row r="579" spans="1:12" x14ac:dyDescent="0.3">
      <c r="A579" s="1">
        <v>41965</v>
      </c>
      <c r="B579" s="1">
        <v>41969</v>
      </c>
      <c r="C579" t="s">
        <v>763</v>
      </c>
      <c r="D579" t="s">
        <v>21</v>
      </c>
      <c r="E579" t="s">
        <v>764</v>
      </c>
      <c r="F579">
        <v>70.98</v>
      </c>
      <c r="G579">
        <v>1</v>
      </c>
      <c r="H579">
        <v>20.584199999999999</v>
      </c>
      <c r="I579">
        <v>4</v>
      </c>
      <c r="J579">
        <v>2014</v>
      </c>
      <c r="K579" t="s">
        <v>2209</v>
      </c>
      <c r="L579" t="str">
        <f>TEXT(maintable_2[[#This Row],[Order Date]],"mmmm")</f>
        <v>November</v>
      </c>
    </row>
    <row r="580" spans="1:12" x14ac:dyDescent="0.3">
      <c r="A580" s="1">
        <v>42003</v>
      </c>
      <c r="B580" s="1">
        <v>42007</v>
      </c>
      <c r="C580" t="s">
        <v>683</v>
      </c>
      <c r="D580" t="s">
        <v>71</v>
      </c>
      <c r="E580" t="s">
        <v>765</v>
      </c>
      <c r="F580">
        <v>393.56799999999998</v>
      </c>
      <c r="G580">
        <v>4</v>
      </c>
      <c r="H580">
        <v>-44.276400000000002</v>
      </c>
      <c r="I580">
        <v>4</v>
      </c>
      <c r="J580">
        <v>2014</v>
      </c>
      <c r="K580" t="s">
        <v>2207</v>
      </c>
      <c r="L580" t="str">
        <f>TEXT(maintable_2[[#This Row],[Order Date]],"mmmm")</f>
        <v>December</v>
      </c>
    </row>
    <row r="581" spans="1:12" x14ac:dyDescent="0.3">
      <c r="A581" s="1">
        <v>42003</v>
      </c>
      <c r="B581" s="1">
        <v>42007</v>
      </c>
      <c r="C581" t="s">
        <v>683</v>
      </c>
      <c r="D581" t="s">
        <v>15</v>
      </c>
      <c r="E581" t="s">
        <v>123</v>
      </c>
      <c r="F581">
        <v>302.37599999999998</v>
      </c>
      <c r="G581">
        <v>3</v>
      </c>
      <c r="H581">
        <v>22.6782</v>
      </c>
      <c r="I581">
        <v>4</v>
      </c>
      <c r="J581">
        <v>2014</v>
      </c>
      <c r="K581" t="s">
        <v>2207</v>
      </c>
      <c r="L581" t="str">
        <f>TEXT(maintable_2[[#This Row],[Order Date]],"mmmm")</f>
        <v>December</v>
      </c>
    </row>
    <row r="582" spans="1:12" x14ac:dyDescent="0.3">
      <c r="A582" s="1">
        <v>41387</v>
      </c>
      <c r="B582" s="1">
        <v>41391</v>
      </c>
      <c r="C582" t="s">
        <v>766</v>
      </c>
      <c r="D582" t="s">
        <v>11</v>
      </c>
      <c r="E582" t="s">
        <v>767</v>
      </c>
      <c r="F582">
        <v>31.56</v>
      </c>
      <c r="G582">
        <v>3</v>
      </c>
      <c r="H582">
        <v>10.4148</v>
      </c>
      <c r="I582">
        <v>4</v>
      </c>
      <c r="J582">
        <v>2013</v>
      </c>
      <c r="K582" t="s">
        <v>2208</v>
      </c>
      <c r="L582" t="str">
        <f>TEXT(maintable_2[[#This Row],[Order Date]],"mmmm")</f>
        <v>April</v>
      </c>
    </row>
    <row r="583" spans="1:12" x14ac:dyDescent="0.3">
      <c r="A583" s="1">
        <v>40616</v>
      </c>
      <c r="B583" s="1">
        <v>40620</v>
      </c>
      <c r="C583" t="s">
        <v>268</v>
      </c>
      <c r="D583" t="s">
        <v>44</v>
      </c>
      <c r="E583" t="s">
        <v>768</v>
      </c>
      <c r="F583">
        <v>10.56</v>
      </c>
      <c r="G583">
        <v>2</v>
      </c>
      <c r="H583">
        <v>4.7519999999999998</v>
      </c>
      <c r="I583">
        <v>4</v>
      </c>
      <c r="J583">
        <v>2011</v>
      </c>
      <c r="K583" t="s">
        <v>2208</v>
      </c>
      <c r="L583" t="str">
        <f>TEXT(maintable_2[[#This Row],[Order Date]],"mmmm")</f>
        <v>March</v>
      </c>
    </row>
    <row r="584" spans="1:12" x14ac:dyDescent="0.3">
      <c r="A584" s="1">
        <v>40616</v>
      </c>
      <c r="B584" s="1">
        <v>40620</v>
      </c>
      <c r="C584" t="s">
        <v>268</v>
      </c>
      <c r="D584" t="s">
        <v>13</v>
      </c>
      <c r="E584" t="s">
        <v>769</v>
      </c>
      <c r="F584">
        <v>3.38</v>
      </c>
      <c r="G584">
        <v>1</v>
      </c>
      <c r="H584">
        <v>1.2505999999999999</v>
      </c>
      <c r="I584">
        <v>4</v>
      </c>
      <c r="J584">
        <v>2011</v>
      </c>
      <c r="K584" t="s">
        <v>2208</v>
      </c>
      <c r="L584" t="str">
        <f>TEXT(maintable_2[[#This Row],[Order Date]],"mmmm")</f>
        <v>March</v>
      </c>
    </row>
    <row r="585" spans="1:12" x14ac:dyDescent="0.3">
      <c r="A585" s="1">
        <v>41603</v>
      </c>
      <c r="B585" s="1">
        <v>41608</v>
      </c>
      <c r="C585" t="s">
        <v>770</v>
      </c>
      <c r="D585" t="s">
        <v>44</v>
      </c>
      <c r="E585" t="s">
        <v>771</v>
      </c>
      <c r="F585">
        <v>24.783999999999999</v>
      </c>
      <c r="G585">
        <v>1</v>
      </c>
      <c r="H585">
        <v>7.7450000000000001</v>
      </c>
      <c r="I585">
        <v>5</v>
      </c>
      <c r="J585">
        <v>2013</v>
      </c>
      <c r="K585" t="s">
        <v>2209</v>
      </c>
      <c r="L585" t="str">
        <f>TEXT(maintable_2[[#This Row],[Order Date]],"mmmm")</f>
        <v>November</v>
      </c>
    </row>
    <row r="586" spans="1:12" x14ac:dyDescent="0.3">
      <c r="A586" s="1">
        <v>41274</v>
      </c>
      <c r="B586" s="1">
        <v>41278</v>
      </c>
      <c r="C586" t="s">
        <v>141</v>
      </c>
      <c r="D586" t="s">
        <v>17</v>
      </c>
      <c r="E586" t="s">
        <v>772</v>
      </c>
      <c r="F586">
        <v>487.98399999999998</v>
      </c>
      <c r="G586">
        <v>2</v>
      </c>
      <c r="H586">
        <v>152.495</v>
      </c>
      <c r="I586">
        <v>4</v>
      </c>
      <c r="J586">
        <v>2012</v>
      </c>
      <c r="K586" t="s">
        <v>2207</v>
      </c>
      <c r="L586" t="str">
        <f>TEXT(maintable_2[[#This Row],[Order Date]],"mmmm")</f>
        <v>December</v>
      </c>
    </row>
    <row r="587" spans="1:12" x14ac:dyDescent="0.3">
      <c r="A587" s="1">
        <v>41934</v>
      </c>
      <c r="B587" s="1">
        <v>41935</v>
      </c>
      <c r="C587" t="s">
        <v>597</v>
      </c>
      <c r="D587" t="s">
        <v>44</v>
      </c>
      <c r="E587" t="s">
        <v>773</v>
      </c>
      <c r="F587">
        <v>5.1840000000000002</v>
      </c>
      <c r="G587">
        <v>1</v>
      </c>
      <c r="H587">
        <v>1.8144</v>
      </c>
      <c r="I587">
        <v>1</v>
      </c>
      <c r="J587">
        <v>2014</v>
      </c>
      <c r="K587" t="s">
        <v>2209</v>
      </c>
      <c r="L587" t="str">
        <f>TEXT(maintable_2[[#This Row],[Order Date]],"mmmm")</f>
        <v>October</v>
      </c>
    </row>
    <row r="588" spans="1:12" x14ac:dyDescent="0.3">
      <c r="A588" s="1">
        <v>41934</v>
      </c>
      <c r="B588" s="1">
        <v>41935</v>
      </c>
      <c r="C588" t="s">
        <v>597</v>
      </c>
      <c r="D588" t="s">
        <v>71</v>
      </c>
      <c r="E588" t="s">
        <v>774</v>
      </c>
      <c r="F588">
        <v>478.48</v>
      </c>
      <c r="G588">
        <v>2</v>
      </c>
      <c r="H588">
        <v>47.847999999999999</v>
      </c>
      <c r="I588">
        <v>1</v>
      </c>
      <c r="J588">
        <v>2014</v>
      </c>
      <c r="K588" t="s">
        <v>2209</v>
      </c>
      <c r="L588" t="str">
        <f>TEXT(maintable_2[[#This Row],[Order Date]],"mmmm")</f>
        <v>October</v>
      </c>
    </row>
    <row r="589" spans="1:12" x14ac:dyDescent="0.3">
      <c r="A589" s="1">
        <v>41934</v>
      </c>
      <c r="B589" s="1">
        <v>41935</v>
      </c>
      <c r="C589" t="s">
        <v>597</v>
      </c>
      <c r="D589" t="s">
        <v>37</v>
      </c>
      <c r="E589" t="s">
        <v>775</v>
      </c>
      <c r="F589">
        <v>28.4</v>
      </c>
      <c r="G589">
        <v>2</v>
      </c>
      <c r="H589">
        <v>6.7450000000000001</v>
      </c>
      <c r="I589">
        <v>1</v>
      </c>
      <c r="J589">
        <v>2014</v>
      </c>
      <c r="K589" t="s">
        <v>2209</v>
      </c>
      <c r="L589" t="str">
        <f>TEXT(maintable_2[[#This Row],[Order Date]],"mmmm")</f>
        <v>October</v>
      </c>
    </row>
    <row r="590" spans="1:12" x14ac:dyDescent="0.3">
      <c r="A590" s="1">
        <v>40942</v>
      </c>
      <c r="B590" s="1">
        <v>40943</v>
      </c>
      <c r="C590" t="s">
        <v>591</v>
      </c>
      <c r="D590" t="s">
        <v>11</v>
      </c>
      <c r="E590" t="s">
        <v>776</v>
      </c>
      <c r="F590">
        <v>136.91999999999999</v>
      </c>
      <c r="G590">
        <v>4</v>
      </c>
      <c r="H590">
        <v>41.076000000000001</v>
      </c>
      <c r="I590">
        <v>1</v>
      </c>
      <c r="J590">
        <v>2012</v>
      </c>
      <c r="K590" t="s">
        <v>2210</v>
      </c>
      <c r="L590" t="str">
        <f>TEXT(maintable_2[[#This Row],[Order Date]],"mmmm")</f>
        <v>February</v>
      </c>
    </row>
    <row r="591" spans="1:12" x14ac:dyDescent="0.3">
      <c r="A591" s="1">
        <v>41594</v>
      </c>
      <c r="B591" s="1">
        <v>41601</v>
      </c>
      <c r="C591" t="s">
        <v>777</v>
      </c>
      <c r="D591" t="s">
        <v>37</v>
      </c>
      <c r="E591" t="s">
        <v>257</v>
      </c>
      <c r="F591">
        <v>99.39</v>
      </c>
      <c r="G591">
        <v>3</v>
      </c>
      <c r="H591">
        <v>40.749899999999997</v>
      </c>
      <c r="I591">
        <v>7</v>
      </c>
      <c r="J591">
        <v>2013</v>
      </c>
      <c r="K591" t="s">
        <v>2209</v>
      </c>
      <c r="L591" t="str">
        <f>TEXT(maintable_2[[#This Row],[Order Date]],"mmmm")</f>
        <v>November</v>
      </c>
    </row>
    <row r="592" spans="1:12" x14ac:dyDescent="0.3">
      <c r="A592" s="1">
        <v>41979</v>
      </c>
      <c r="B592" s="1">
        <v>41981</v>
      </c>
      <c r="C592" t="s">
        <v>476</v>
      </c>
      <c r="D592" t="s">
        <v>44</v>
      </c>
      <c r="E592" t="s">
        <v>644</v>
      </c>
      <c r="F592">
        <v>92.94</v>
      </c>
      <c r="G592">
        <v>3</v>
      </c>
      <c r="H592">
        <v>41.823</v>
      </c>
      <c r="I592">
        <v>2</v>
      </c>
      <c r="J592">
        <v>2014</v>
      </c>
      <c r="K592" t="s">
        <v>2207</v>
      </c>
      <c r="L592" t="str">
        <f>TEXT(maintable_2[[#This Row],[Order Date]],"mmmm")</f>
        <v>December</v>
      </c>
    </row>
    <row r="593" spans="1:12" x14ac:dyDescent="0.3">
      <c r="A593" s="1">
        <v>41708</v>
      </c>
      <c r="B593" s="1">
        <v>41712</v>
      </c>
      <c r="C593" t="s">
        <v>425</v>
      </c>
      <c r="D593" t="s">
        <v>37</v>
      </c>
      <c r="E593" t="s">
        <v>160</v>
      </c>
      <c r="F593">
        <v>199.98</v>
      </c>
      <c r="G593">
        <v>2</v>
      </c>
      <c r="H593">
        <v>69.992999999999995</v>
      </c>
      <c r="I593">
        <v>4</v>
      </c>
      <c r="J593">
        <v>2014</v>
      </c>
      <c r="K593" t="s">
        <v>2208</v>
      </c>
      <c r="L593" t="str">
        <f>TEXT(maintable_2[[#This Row],[Order Date]],"mmmm")</f>
        <v>March</v>
      </c>
    </row>
    <row r="594" spans="1:12" x14ac:dyDescent="0.3">
      <c r="A594" s="1">
        <v>41435</v>
      </c>
      <c r="B594" s="1">
        <v>41441</v>
      </c>
      <c r="C594" t="s">
        <v>524</v>
      </c>
      <c r="D594" t="s">
        <v>15</v>
      </c>
      <c r="E594" t="s">
        <v>778</v>
      </c>
      <c r="F594">
        <v>177.48</v>
      </c>
      <c r="G594">
        <v>3</v>
      </c>
      <c r="H594">
        <v>19.9665</v>
      </c>
      <c r="I594">
        <v>6</v>
      </c>
      <c r="J594">
        <v>2013</v>
      </c>
      <c r="K594" t="s">
        <v>2206</v>
      </c>
      <c r="L594" t="str">
        <f>TEXT(maintable_2[[#This Row],[Order Date]],"mmmm")</f>
        <v>June</v>
      </c>
    </row>
    <row r="595" spans="1:12" x14ac:dyDescent="0.3">
      <c r="A595" s="1">
        <v>41972</v>
      </c>
      <c r="B595" s="1">
        <v>41975</v>
      </c>
      <c r="C595" t="s">
        <v>779</v>
      </c>
      <c r="D595" t="s">
        <v>44</v>
      </c>
      <c r="E595" t="s">
        <v>780</v>
      </c>
      <c r="F595">
        <v>88.768000000000001</v>
      </c>
      <c r="G595">
        <v>2</v>
      </c>
      <c r="H595">
        <v>31.0688</v>
      </c>
      <c r="I595">
        <v>3</v>
      </c>
      <c r="J595">
        <v>2014</v>
      </c>
      <c r="K595" t="s">
        <v>2209</v>
      </c>
      <c r="L595" t="str">
        <f>TEXT(maintable_2[[#This Row],[Order Date]],"mmmm")</f>
        <v>November</v>
      </c>
    </row>
    <row r="596" spans="1:12" x14ac:dyDescent="0.3">
      <c r="A596" s="1">
        <v>41715</v>
      </c>
      <c r="B596" s="1">
        <v>41717</v>
      </c>
      <c r="C596" t="s">
        <v>781</v>
      </c>
      <c r="D596" t="s">
        <v>44</v>
      </c>
      <c r="E596" t="s">
        <v>782</v>
      </c>
      <c r="F596">
        <v>6.48</v>
      </c>
      <c r="G596">
        <v>1</v>
      </c>
      <c r="H596">
        <v>3.1103999999999998</v>
      </c>
      <c r="I596">
        <v>2</v>
      </c>
      <c r="J596">
        <v>2014</v>
      </c>
      <c r="K596" t="s">
        <v>2208</v>
      </c>
      <c r="L596" t="str">
        <f>TEXT(maintable_2[[#This Row],[Order Date]],"mmmm")</f>
        <v>March</v>
      </c>
    </row>
    <row r="597" spans="1:12" x14ac:dyDescent="0.3">
      <c r="A597" s="1">
        <v>41715</v>
      </c>
      <c r="B597" s="1">
        <v>41717</v>
      </c>
      <c r="C597" t="s">
        <v>781</v>
      </c>
      <c r="D597" t="s">
        <v>27</v>
      </c>
      <c r="E597" t="s">
        <v>783</v>
      </c>
      <c r="F597">
        <v>46.51</v>
      </c>
      <c r="G597">
        <v>1</v>
      </c>
      <c r="H597">
        <v>1.8604000000000001</v>
      </c>
      <c r="I597">
        <v>2</v>
      </c>
      <c r="J597">
        <v>2014</v>
      </c>
      <c r="K597" t="s">
        <v>2208</v>
      </c>
      <c r="L597" t="str">
        <f>TEXT(maintable_2[[#This Row],[Order Date]],"mmmm")</f>
        <v>March</v>
      </c>
    </row>
    <row r="598" spans="1:12" x14ac:dyDescent="0.3">
      <c r="A598" s="1">
        <v>41715</v>
      </c>
      <c r="B598" s="1">
        <v>41717</v>
      </c>
      <c r="C598" t="s">
        <v>781</v>
      </c>
      <c r="D598" t="s">
        <v>15</v>
      </c>
      <c r="E598" t="s">
        <v>784</v>
      </c>
      <c r="F598">
        <v>659.976</v>
      </c>
      <c r="G598">
        <v>3</v>
      </c>
      <c r="H598">
        <v>49.498199999999997</v>
      </c>
      <c r="I598">
        <v>2</v>
      </c>
      <c r="J598">
        <v>2014</v>
      </c>
      <c r="K598" t="s">
        <v>2208</v>
      </c>
      <c r="L598" t="str">
        <f>TEXT(maintable_2[[#This Row],[Order Date]],"mmmm")</f>
        <v>March</v>
      </c>
    </row>
    <row r="599" spans="1:12" x14ac:dyDescent="0.3">
      <c r="A599" s="1">
        <v>41606</v>
      </c>
      <c r="B599" s="1">
        <v>41608</v>
      </c>
      <c r="C599" t="s">
        <v>785</v>
      </c>
      <c r="D599" t="s">
        <v>15</v>
      </c>
      <c r="E599" t="s">
        <v>786</v>
      </c>
      <c r="F599">
        <v>271.99200000000002</v>
      </c>
      <c r="G599">
        <v>1</v>
      </c>
      <c r="H599">
        <v>23.799299999999999</v>
      </c>
      <c r="I599">
        <v>2</v>
      </c>
      <c r="J599">
        <v>2013</v>
      </c>
      <c r="K599" t="s">
        <v>2209</v>
      </c>
      <c r="L599" t="str">
        <f>TEXT(maintable_2[[#This Row],[Order Date]],"mmmm")</f>
        <v>November</v>
      </c>
    </row>
    <row r="600" spans="1:12" x14ac:dyDescent="0.3">
      <c r="A600" s="1">
        <v>41971</v>
      </c>
      <c r="B600" s="1">
        <v>41977</v>
      </c>
      <c r="C600" t="s">
        <v>425</v>
      </c>
      <c r="D600" t="s">
        <v>44</v>
      </c>
      <c r="E600" t="s">
        <v>787</v>
      </c>
      <c r="F600">
        <v>244.55</v>
      </c>
      <c r="G600">
        <v>5</v>
      </c>
      <c r="H600">
        <v>114.9385</v>
      </c>
      <c r="I600">
        <v>6</v>
      </c>
      <c r="J600">
        <v>2014</v>
      </c>
      <c r="K600" t="s">
        <v>2209</v>
      </c>
      <c r="L600" t="str">
        <f>TEXT(maintable_2[[#This Row],[Order Date]],"mmmm")</f>
        <v>November</v>
      </c>
    </row>
    <row r="601" spans="1:12" x14ac:dyDescent="0.3">
      <c r="A601" s="1">
        <v>41971</v>
      </c>
      <c r="B601" s="1">
        <v>41977</v>
      </c>
      <c r="C601" t="s">
        <v>425</v>
      </c>
      <c r="D601" t="s">
        <v>37</v>
      </c>
      <c r="E601" t="s">
        <v>788</v>
      </c>
      <c r="F601">
        <v>166.16</v>
      </c>
      <c r="G601">
        <v>8</v>
      </c>
      <c r="H601">
        <v>59.817599999999999</v>
      </c>
      <c r="I601">
        <v>6</v>
      </c>
      <c r="J601">
        <v>2014</v>
      </c>
      <c r="K601" t="s">
        <v>2209</v>
      </c>
      <c r="L601" t="str">
        <f>TEXT(maintable_2[[#This Row],[Order Date]],"mmmm")</f>
        <v>November</v>
      </c>
    </row>
    <row r="602" spans="1:12" x14ac:dyDescent="0.3">
      <c r="A602" s="1">
        <v>41054</v>
      </c>
      <c r="B602" s="1">
        <v>41056</v>
      </c>
      <c r="C602" t="s">
        <v>789</v>
      </c>
      <c r="D602" t="s">
        <v>11</v>
      </c>
      <c r="E602" t="s">
        <v>790</v>
      </c>
      <c r="F602">
        <v>14.73</v>
      </c>
      <c r="G602">
        <v>3</v>
      </c>
      <c r="H602">
        <v>4.8609</v>
      </c>
      <c r="I602">
        <v>2</v>
      </c>
      <c r="J602">
        <v>2012</v>
      </c>
      <c r="K602" t="s">
        <v>2208</v>
      </c>
      <c r="L602" t="str">
        <f>TEXT(maintable_2[[#This Row],[Order Date]],"mmmm")</f>
        <v>May</v>
      </c>
    </row>
    <row r="603" spans="1:12" x14ac:dyDescent="0.3">
      <c r="A603" s="1">
        <v>41464</v>
      </c>
      <c r="B603" s="1">
        <v>41468</v>
      </c>
      <c r="C603" t="s">
        <v>791</v>
      </c>
      <c r="D603" t="s">
        <v>17</v>
      </c>
      <c r="E603" t="s">
        <v>792</v>
      </c>
      <c r="F603">
        <v>19.968</v>
      </c>
      <c r="G603">
        <v>2</v>
      </c>
      <c r="H603">
        <v>-13.311999999999999</v>
      </c>
      <c r="I603">
        <v>4</v>
      </c>
      <c r="J603">
        <v>2013</v>
      </c>
      <c r="K603" t="s">
        <v>2206</v>
      </c>
      <c r="L603" t="str">
        <f>TEXT(maintable_2[[#This Row],[Order Date]],"mmmm")</f>
        <v>July</v>
      </c>
    </row>
    <row r="604" spans="1:12" x14ac:dyDescent="0.3">
      <c r="A604" s="1">
        <v>41464</v>
      </c>
      <c r="B604" s="1">
        <v>41468</v>
      </c>
      <c r="C604" t="s">
        <v>791</v>
      </c>
      <c r="D604" t="s">
        <v>27</v>
      </c>
      <c r="E604" t="s">
        <v>793</v>
      </c>
      <c r="F604">
        <v>33.488</v>
      </c>
      <c r="G604">
        <v>7</v>
      </c>
      <c r="H604">
        <v>-1.2558</v>
      </c>
      <c r="I604">
        <v>4</v>
      </c>
      <c r="J604">
        <v>2013</v>
      </c>
      <c r="K604" t="s">
        <v>2206</v>
      </c>
      <c r="L604" t="str">
        <f>TEXT(maintable_2[[#This Row],[Order Date]],"mmmm")</f>
        <v>July</v>
      </c>
    </row>
    <row r="605" spans="1:12" x14ac:dyDescent="0.3">
      <c r="A605" s="1">
        <v>41464</v>
      </c>
      <c r="B605" s="1">
        <v>41468</v>
      </c>
      <c r="C605" t="s">
        <v>791</v>
      </c>
      <c r="D605" t="s">
        <v>17</v>
      </c>
      <c r="E605" t="s">
        <v>36</v>
      </c>
      <c r="F605">
        <v>8.7360000000000007</v>
      </c>
      <c r="G605">
        <v>4</v>
      </c>
      <c r="H605">
        <v>-6.1151999999999997</v>
      </c>
      <c r="I605">
        <v>4</v>
      </c>
      <c r="J605">
        <v>2013</v>
      </c>
      <c r="K605" t="s">
        <v>2206</v>
      </c>
      <c r="L605" t="str">
        <f>TEXT(maintable_2[[#This Row],[Order Date]],"mmmm")</f>
        <v>July</v>
      </c>
    </row>
    <row r="606" spans="1:12" x14ac:dyDescent="0.3">
      <c r="A606" s="1">
        <v>41464</v>
      </c>
      <c r="B606" s="1">
        <v>41468</v>
      </c>
      <c r="C606" t="s">
        <v>791</v>
      </c>
      <c r="D606" t="s">
        <v>71</v>
      </c>
      <c r="E606" t="s">
        <v>794</v>
      </c>
      <c r="F606">
        <v>662.88</v>
      </c>
      <c r="G606">
        <v>3</v>
      </c>
      <c r="H606">
        <v>74.573999999999998</v>
      </c>
      <c r="I606">
        <v>4</v>
      </c>
      <c r="J606">
        <v>2013</v>
      </c>
      <c r="K606" t="s">
        <v>2206</v>
      </c>
      <c r="L606" t="str">
        <f>TEXT(maintable_2[[#This Row],[Order Date]],"mmmm")</f>
        <v>July</v>
      </c>
    </row>
    <row r="607" spans="1:12" x14ac:dyDescent="0.3">
      <c r="A607" s="1">
        <v>41037</v>
      </c>
      <c r="B607" s="1">
        <v>41041</v>
      </c>
      <c r="C607" t="s">
        <v>262</v>
      </c>
      <c r="D607" t="s">
        <v>13</v>
      </c>
      <c r="E607" t="s">
        <v>795</v>
      </c>
      <c r="F607">
        <v>5.2480000000000002</v>
      </c>
      <c r="G607">
        <v>2</v>
      </c>
      <c r="H607">
        <v>0.59040000000000004</v>
      </c>
      <c r="I607">
        <v>4</v>
      </c>
      <c r="J607">
        <v>2012</v>
      </c>
      <c r="K607" t="s">
        <v>2208</v>
      </c>
      <c r="L607" t="str">
        <f>TEXT(maintable_2[[#This Row],[Order Date]],"mmmm")</f>
        <v>May</v>
      </c>
    </row>
    <row r="608" spans="1:12" x14ac:dyDescent="0.3">
      <c r="A608" s="1">
        <v>41379</v>
      </c>
      <c r="B608" s="1">
        <v>41379</v>
      </c>
      <c r="C608" t="s">
        <v>564</v>
      </c>
      <c r="D608" t="s">
        <v>71</v>
      </c>
      <c r="E608" t="s">
        <v>154</v>
      </c>
      <c r="F608">
        <v>933.53599999999994</v>
      </c>
      <c r="G608">
        <v>4</v>
      </c>
      <c r="H608">
        <v>105.0228</v>
      </c>
      <c r="I608">
        <v>0</v>
      </c>
      <c r="J608">
        <v>2013</v>
      </c>
      <c r="K608" t="s">
        <v>2208</v>
      </c>
      <c r="L608" t="str">
        <f>TEXT(maintable_2[[#This Row],[Order Date]],"mmmm")</f>
        <v>April</v>
      </c>
    </row>
    <row r="609" spans="1:12" x14ac:dyDescent="0.3">
      <c r="A609" s="1">
        <v>41379</v>
      </c>
      <c r="B609" s="1">
        <v>41379</v>
      </c>
      <c r="C609" t="s">
        <v>564</v>
      </c>
      <c r="D609" t="s">
        <v>27</v>
      </c>
      <c r="E609" t="s">
        <v>796</v>
      </c>
      <c r="F609">
        <v>42.975999999999999</v>
      </c>
      <c r="G609">
        <v>4</v>
      </c>
      <c r="H609">
        <v>4.2976000000000001</v>
      </c>
      <c r="I609">
        <v>0</v>
      </c>
      <c r="J609">
        <v>2013</v>
      </c>
      <c r="K609" t="s">
        <v>2208</v>
      </c>
      <c r="L609" t="str">
        <f>TEXT(maintable_2[[#This Row],[Order Date]],"mmmm")</f>
        <v>April</v>
      </c>
    </row>
    <row r="610" spans="1:12" x14ac:dyDescent="0.3">
      <c r="A610" s="1">
        <v>40872</v>
      </c>
      <c r="B610" s="1">
        <v>40874</v>
      </c>
      <c r="C610" t="s">
        <v>797</v>
      </c>
      <c r="D610" t="s">
        <v>19</v>
      </c>
      <c r="E610" t="s">
        <v>378</v>
      </c>
      <c r="F610">
        <v>320.88</v>
      </c>
      <c r="G610">
        <v>6</v>
      </c>
      <c r="H610">
        <v>93.055199999999999</v>
      </c>
      <c r="I610">
        <v>2</v>
      </c>
      <c r="J610">
        <v>2011</v>
      </c>
      <c r="K610" t="s">
        <v>2209</v>
      </c>
      <c r="L610" t="str">
        <f>TEXT(maintable_2[[#This Row],[Order Date]],"mmmm")</f>
        <v>November</v>
      </c>
    </row>
    <row r="611" spans="1:12" x14ac:dyDescent="0.3">
      <c r="A611" s="1">
        <v>40872</v>
      </c>
      <c r="B611" s="1">
        <v>40874</v>
      </c>
      <c r="C611" t="s">
        <v>797</v>
      </c>
      <c r="D611" t="s">
        <v>11</v>
      </c>
      <c r="E611" t="s">
        <v>105</v>
      </c>
      <c r="F611">
        <v>23.88</v>
      </c>
      <c r="G611">
        <v>3</v>
      </c>
      <c r="H611">
        <v>10.507199999999999</v>
      </c>
      <c r="I611">
        <v>2</v>
      </c>
      <c r="J611">
        <v>2011</v>
      </c>
      <c r="K611" t="s">
        <v>2209</v>
      </c>
      <c r="L611" t="str">
        <f>TEXT(maintable_2[[#This Row],[Order Date]],"mmmm")</f>
        <v>November</v>
      </c>
    </row>
    <row r="612" spans="1:12" x14ac:dyDescent="0.3">
      <c r="A612" s="1">
        <v>40872</v>
      </c>
      <c r="B612" s="1">
        <v>40874</v>
      </c>
      <c r="C612" t="s">
        <v>797</v>
      </c>
      <c r="D612" t="s">
        <v>44</v>
      </c>
      <c r="E612" t="s">
        <v>798</v>
      </c>
      <c r="F612">
        <v>26.76</v>
      </c>
      <c r="G612">
        <v>4</v>
      </c>
      <c r="H612">
        <v>12.3096</v>
      </c>
      <c r="I612">
        <v>2</v>
      </c>
      <c r="J612">
        <v>2011</v>
      </c>
      <c r="K612" t="s">
        <v>2209</v>
      </c>
      <c r="L612" t="str">
        <f>TEXT(maintable_2[[#This Row],[Order Date]],"mmmm")</f>
        <v>November</v>
      </c>
    </row>
    <row r="613" spans="1:12" x14ac:dyDescent="0.3">
      <c r="A613" s="1">
        <v>41816</v>
      </c>
      <c r="B613" s="1">
        <v>41823</v>
      </c>
      <c r="C613" t="s">
        <v>799</v>
      </c>
      <c r="D613" t="s">
        <v>8</v>
      </c>
      <c r="E613" t="s">
        <v>233</v>
      </c>
      <c r="F613">
        <v>71.040000000000006</v>
      </c>
      <c r="G613">
        <v>6</v>
      </c>
      <c r="H613">
        <v>26.64</v>
      </c>
      <c r="I613">
        <v>7</v>
      </c>
      <c r="J613">
        <v>2014</v>
      </c>
      <c r="K613" t="s">
        <v>2206</v>
      </c>
      <c r="L613" t="str">
        <f>TEXT(maintable_2[[#This Row],[Order Date]],"mmmm")</f>
        <v>June</v>
      </c>
    </row>
    <row r="614" spans="1:12" x14ac:dyDescent="0.3">
      <c r="A614" s="1">
        <v>41816</v>
      </c>
      <c r="B614" s="1">
        <v>41823</v>
      </c>
      <c r="C614" t="s">
        <v>799</v>
      </c>
      <c r="D614" t="s">
        <v>13</v>
      </c>
      <c r="E614" t="s">
        <v>800</v>
      </c>
      <c r="F614">
        <v>5.3440000000000003</v>
      </c>
      <c r="G614">
        <v>2</v>
      </c>
      <c r="H614">
        <v>0.73480000000000001</v>
      </c>
      <c r="I614">
        <v>7</v>
      </c>
      <c r="J614">
        <v>2014</v>
      </c>
      <c r="K614" t="s">
        <v>2206</v>
      </c>
      <c r="L614" t="str">
        <f>TEXT(maintable_2[[#This Row],[Order Date]],"mmmm")</f>
        <v>June</v>
      </c>
    </row>
    <row r="615" spans="1:12" x14ac:dyDescent="0.3">
      <c r="A615" s="1">
        <v>41816</v>
      </c>
      <c r="B615" s="1">
        <v>41823</v>
      </c>
      <c r="C615" t="s">
        <v>799</v>
      </c>
      <c r="D615" t="s">
        <v>78</v>
      </c>
      <c r="E615" t="s">
        <v>801</v>
      </c>
      <c r="F615">
        <v>11.304</v>
      </c>
      <c r="G615">
        <v>3</v>
      </c>
      <c r="H615">
        <v>-2.1194999999999999</v>
      </c>
      <c r="I615">
        <v>7</v>
      </c>
      <c r="J615">
        <v>2014</v>
      </c>
      <c r="K615" t="s">
        <v>2206</v>
      </c>
      <c r="L615" t="str">
        <f>TEXT(maintable_2[[#This Row],[Order Date]],"mmmm")</f>
        <v>June</v>
      </c>
    </row>
    <row r="616" spans="1:12" x14ac:dyDescent="0.3">
      <c r="A616" s="1">
        <v>41741</v>
      </c>
      <c r="B616" s="1">
        <v>41748</v>
      </c>
      <c r="C616" t="s">
        <v>802</v>
      </c>
      <c r="D616" t="s">
        <v>37</v>
      </c>
      <c r="E616" t="s">
        <v>611</v>
      </c>
      <c r="F616">
        <v>199.95</v>
      </c>
      <c r="G616">
        <v>5</v>
      </c>
      <c r="H616">
        <v>21.994499999999999</v>
      </c>
      <c r="I616">
        <v>7</v>
      </c>
      <c r="J616">
        <v>2014</v>
      </c>
      <c r="K616" t="s">
        <v>2208</v>
      </c>
      <c r="L616" t="str">
        <f>TEXT(maintable_2[[#This Row],[Order Date]],"mmmm")</f>
        <v>April</v>
      </c>
    </row>
    <row r="617" spans="1:12" x14ac:dyDescent="0.3">
      <c r="A617" s="1">
        <v>41741</v>
      </c>
      <c r="B617" s="1">
        <v>41748</v>
      </c>
      <c r="C617" t="s">
        <v>802</v>
      </c>
      <c r="D617" t="s">
        <v>13</v>
      </c>
      <c r="E617" t="s">
        <v>803</v>
      </c>
      <c r="F617">
        <v>41.86</v>
      </c>
      <c r="G617">
        <v>7</v>
      </c>
      <c r="H617">
        <v>14.2324</v>
      </c>
      <c r="I617">
        <v>7</v>
      </c>
      <c r="J617">
        <v>2014</v>
      </c>
      <c r="K617" t="s">
        <v>2208</v>
      </c>
      <c r="L617" t="str">
        <f>TEXT(maintable_2[[#This Row],[Order Date]],"mmmm")</f>
        <v>April</v>
      </c>
    </row>
    <row r="618" spans="1:12" x14ac:dyDescent="0.3">
      <c r="A618" s="1">
        <v>40987</v>
      </c>
      <c r="B618" s="1">
        <v>40991</v>
      </c>
      <c r="C618" t="s">
        <v>804</v>
      </c>
      <c r="D618" t="s">
        <v>17</v>
      </c>
      <c r="E618" t="s">
        <v>805</v>
      </c>
      <c r="F618">
        <v>17.568000000000001</v>
      </c>
      <c r="G618">
        <v>2</v>
      </c>
      <c r="H618">
        <v>6.3684000000000003</v>
      </c>
      <c r="I618">
        <v>4</v>
      </c>
      <c r="J618">
        <v>2012</v>
      </c>
      <c r="K618" t="s">
        <v>2208</v>
      </c>
      <c r="L618" t="str">
        <f>TEXT(maintable_2[[#This Row],[Order Date]],"mmmm")</f>
        <v>March</v>
      </c>
    </row>
    <row r="619" spans="1:12" x14ac:dyDescent="0.3">
      <c r="A619" s="1">
        <v>40987</v>
      </c>
      <c r="B619" s="1">
        <v>40991</v>
      </c>
      <c r="C619" t="s">
        <v>804</v>
      </c>
      <c r="D619" t="s">
        <v>8</v>
      </c>
      <c r="E619" t="s">
        <v>9</v>
      </c>
      <c r="F619">
        <v>14.62</v>
      </c>
      <c r="G619">
        <v>2</v>
      </c>
      <c r="H619">
        <v>6.8714000000000004</v>
      </c>
      <c r="I619">
        <v>4</v>
      </c>
      <c r="J619">
        <v>2012</v>
      </c>
      <c r="K619" t="s">
        <v>2208</v>
      </c>
      <c r="L619" t="str">
        <f>TEXT(maintable_2[[#This Row],[Order Date]],"mmmm")</f>
        <v>March</v>
      </c>
    </row>
    <row r="620" spans="1:12" x14ac:dyDescent="0.3">
      <c r="A620" s="1">
        <v>40987</v>
      </c>
      <c r="B620" s="1">
        <v>40991</v>
      </c>
      <c r="C620" t="s">
        <v>804</v>
      </c>
      <c r="D620" t="s">
        <v>81</v>
      </c>
      <c r="E620" t="s">
        <v>806</v>
      </c>
      <c r="F620">
        <v>33.36</v>
      </c>
      <c r="G620">
        <v>4</v>
      </c>
      <c r="H620">
        <v>8.6736000000000004</v>
      </c>
      <c r="I620">
        <v>4</v>
      </c>
      <c r="J620">
        <v>2012</v>
      </c>
      <c r="K620" t="s">
        <v>2208</v>
      </c>
      <c r="L620" t="str">
        <f>TEXT(maintable_2[[#This Row],[Order Date]],"mmmm")</f>
        <v>March</v>
      </c>
    </row>
    <row r="621" spans="1:12" x14ac:dyDescent="0.3">
      <c r="A621" s="1">
        <v>40987</v>
      </c>
      <c r="B621" s="1">
        <v>40991</v>
      </c>
      <c r="C621" t="s">
        <v>804</v>
      </c>
      <c r="D621" t="s">
        <v>44</v>
      </c>
      <c r="E621" t="s">
        <v>807</v>
      </c>
      <c r="F621">
        <v>40.14</v>
      </c>
      <c r="G621">
        <v>6</v>
      </c>
      <c r="H621">
        <v>19.668600000000001</v>
      </c>
      <c r="I621">
        <v>4</v>
      </c>
      <c r="J621">
        <v>2012</v>
      </c>
      <c r="K621" t="s">
        <v>2208</v>
      </c>
      <c r="L621" t="str">
        <f>TEXT(maintable_2[[#This Row],[Order Date]],"mmmm")</f>
        <v>March</v>
      </c>
    </row>
    <row r="622" spans="1:12" x14ac:dyDescent="0.3">
      <c r="A622" s="1">
        <v>41872</v>
      </c>
      <c r="B622" s="1">
        <v>41874</v>
      </c>
      <c r="C622" t="s">
        <v>808</v>
      </c>
      <c r="D622" t="s">
        <v>17</v>
      </c>
      <c r="E622" t="s">
        <v>809</v>
      </c>
      <c r="F622">
        <v>239.12</v>
      </c>
      <c r="G622">
        <v>5</v>
      </c>
      <c r="H622">
        <v>77.713999999999999</v>
      </c>
      <c r="I622">
        <v>2</v>
      </c>
      <c r="J622">
        <v>2014</v>
      </c>
      <c r="K622" t="s">
        <v>2206</v>
      </c>
      <c r="L622" t="str">
        <f>TEXT(maintable_2[[#This Row],[Order Date]],"mmmm")</f>
        <v>August</v>
      </c>
    </row>
    <row r="623" spans="1:12" x14ac:dyDescent="0.3">
      <c r="A623" s="1">
        <v>40981</v>
      </c>
      <c r="B623" s="1">
        <v>40983</v>
      </c>
      <c r="C623" t="s">
        <v>810</v>
      </c>
      <c r="D623" t="s">
        <v>196</v>
      </c>
      <c r="E623" t="s">
        <v>811</v>
      </c>
      <c r="F623">
        <v>141.96</v>
      </c>
      <c r="G623">
        <v>2</v>
      </c>
      <c r="H623">
        <v>39.748800000000003</v>
      </c>
      <c r="I623">
        <v>2</v>
      </c>
      <c r="J623">
        <v>2012</v>
      </c>
      <c r="K623" t="s">
        <v>2208</v>
      </c>
      <c r="L623" t="str">
        <f>TEXT(maintable_2[[#This Row],[Order Date]],"mmmm")</f>
        <v>March</v>
      </c>
    </row>
    <row r="624" spans="1:12" x14ac:dyDescent="0.3">
      <c r="A624" s="1">
        <v>41526</v>
      </c>
      <c r="B624" s="1">
        <v>41528</v>
      </c>
      <c r="C624" t="s">
        <v>781</v>
      </c>
      <c r="D624" t="s">
        <v>17</v>
      </c>
      <c r="E624" t="s">
        <v>182</v>
      </c>
      <c r="F624">
        <v>33.024000000000001</v>
      </c>
      <c r="G624">
        <v>2</v>
      </c>
      <c r="H624">
        <v>11.558400000000001</v>
      </c>
      <c r="I624">
        <v>2</v>
      </c>
      <c r="J624">
        <v>2013</v>
      </c>
      <c r="K624" t="s">
        <v>2209</v>
      </c>
      <c r="L624" t="str">
        <f>TEXT(maintable_2[[#This Row],[Order Date]],"mmmm")</f>
        <v>September</v>
      </c>
    </row>
    <row r="625" spans="1:12" x14ac:dyDescent="0.3">
      <c r="A625" s="1">
        <v>41526</v>
      </c>
      <c r="B625" s="1">
        <v>41528</v>
      </c>
      <c r="C625" t="s">
        <v>781</v>
      </c>
      <c r="D625" t="s">
        <v>17</v>
      </c>
      <c r="E625" t="s">
        <v>315</v>
      </c>
      <c r="F625">
        <v>67.135999999999996</v>
      </c>
      <c r="G625">
        <v>4</v>
      </c>
      <c r="H625">
        <v>23.497599999999998</v>
      </c>
      <c r="I625">
        <v>2</v>
      </c>
      <c r="J625">
        <v>2013</v>
      </c>
      <c r="K625" t="s">
        <v>2209</v>
      </c>
      <c r="L625" t="str">
        <f>TEXT(maintable_2[[#This Row],[Order Date]],"mmmm")</f>
        <v>September</v>
      </c>
    </row>
    <row r="626" spans="1:12" x14ac:dyDescent="0.3">
      <c r="A626" s="1">
        <v>40931</v>
      </c>
      <c r="B626" s="1">
        <v>40935</v>
      </c>
      <c r="C626" t="s">
        <v>812</v>
      </c>
      <c r="D626" t="s">
        <v>44</v>
      </c>
      <c r="E626" t="s">
        <v>193</v>
      </c>
      <c r="F626">
        <v>29.04</v>
      </c>
      <c r="G626">
        <v>3</v>
      </c>
      <c r="H626">
        <v>13.9392</v>
      </c>
      <c r="I626">
        <v>4</v>
      </c>
      <c r="J626">
        <v>2012</v>
      </c>
      <c r="K626" t="s">
        <v>2210</v>
      </c>
      <c r="L626" t="str">
        <f>TEXT(maintable_2[[#This Row],[Order Date]],"mmmm")</f>
        <v>January</v>
      </c>
    </row>
    <row r="627" spans="1:12" x14ac:dyDescent="0.3">
      <c r="A627" s="1">
        <v>40931</v>
      </c>
      <c r="B627" s="1">
        <v>40935</v>
      </c>
      <c r="C627" t="s">
        <v>812</v>
      </c>
      <c r="D627" t="s">
        <v>8</v>
      </c>
      <c r="E627" t="s">
        <v>720</v>
      </c>
      <c r="F627">
        <v>14.62</v>
      </c>
      <c r="G627">
        <v>2</v>
      </c>
      <c r="H627">
        <v>6.8714000000000004</v>
      </c>
      <c r="I627">
        <v>4</v>
      </c>
      <c r="J627">
        <v>2012</v>
      </c>
      <c r="K627" t="s">
        <v>2210</v>
      </c>
      <c r="L627" t="str">
        <f>TEXT(maintable_2[[#This Row],[Order Date]],"mmmm")</f>
        <v>January</v>
      </c>
    </row>
    <row r="628" spans="1:12" x14ac:dyDescent="0.3">
      <c r="A628" s="1">
        <v>41078</v>
      </c>
      <c r="B628" s="1">
        <v>41083</v>
      </c>
      <c r="C628" t="s">
        <v>462</v>
      </c>
      <c r="D628" t="s">
        <v>44</v>
      </c>
      <c r="E628" t="s">
        <v>813</v>
      </c>
      <c r="F628">
        <v>11.952</v>
      </c>
      <c r="G628">
        <v>3</v>
      </c>
      <c r="H628">
        <v>4.3326000000000002</v>
      </c>
      <c r="I628">
        <v>5</v>
      </c>
      <c r="J628">
        <v>2012</v>
      </c>
      <c r="K628" t="s">
        <v>2206</v>
      </c>
      <c r="L628" t="str">
        <f>TEXT(maintable_2[[#This Row],[Order Date]],"mmmm")</f>
        <v>June</v>
      </c>
    </row>
    <row r="629" spans="1:12" x14ac:dyDescent="0.3">
      <c r="A629" s="1">
        <v>41078</v>
      </c>
      <c r="B629" s="1">
        <v>41083</v>
      </c>
      <c r="C629" t="s">
        <v>462</v>
      </c>
      <c r="D629" t="s">
        <v>17</v>
      </c>
      <c r="E629" t="s">
        <v>506</v>
      </c>
      <c r="F629">
        <v>4.5359999999999996</v>
      </c>
      <c r="G629">
        <v>7</v>
      </c>
      <c r="H629">
        <v>-3.3264</v>
      </c>
      <c r="I629">
        <v>5</v>
      </c>
      <c r="J629">
        <v>2012</v>
      </c>
      <c r="K629" t="s">
        <v>2206</v>
      </c>
      <c r="L629" t="str">
        <f>TEXT(maintable_2[[#This Row],[Order Date]],"mmmm")</f>
        <v>June</v>
      </c>
    </row>
    <row r="630" spans="1:12" x14ac:dyDescent="0.3">
      <c r="A630" s="1">
        <v>41078</v>
      </c>
      <c r="B630" s="1">
        <v>41083</v>
      </c>
      <c r="C630" t="s">
        <v>462</v>
      </c>
      <c r="D630" t="s">
        <v>17</v>
      </c>
      <c r="E630" t="s">
        <v>455</v>
      </c>
      <c r="F630">
        <v>9.1560000000000006</v>
      </c>
      <c r="G630">
        <v>2</v>
      </c>
      <c r="H630">
        <v>-6.1040000000000001</v>
      </c>
      <c r="I630">
        <v>5</v>
      </c>
      <c r="J630">
        <v>2012</v>
      </c>
      <c r="K630" t="s">
        <v>2206</v>
      </c>
      <c r="L630" t="str">
        <f>TEXT(maintable_2[[#This Row],[Order Date]],"mmmm")</f>
        <v>June</v>
      </c>
    </row>
    <row r="631" spans="1:12" x14ac:dyDescent="0.3">
      <c r="A631" s="1">
        <v>41078</v>
      </c>
      <c r="B631" s="1">
        <v>41083</v>
      </c>
      <c r="C631" t="s">
        <v>462</v>
      </c>
      <c r="D631" t="s">
        <v>11</v>
      </c>
      <c r="E631" t="s">
        <v>814</v>
      </c>
      <c r="F631">
        <v>75.36</v>
      </c>
      <c r="G631">
        <v>5</v>
      </c>
      <c r="H631">
        <v>20.724</v>
      </c>
      <c r="I631">
        <v>5</v>
      </c>
      <c r="J631">
        <v>2012</v>
      </c>
      <c r="K631" t="s">
        <v>2206</v>
      </c>
      <c r="L631" t="str">
        <f>TEXT(maintable_2[[#This Row],[Order Date]],"mmmm")</f>
        <v>June</v>
      </c>
    </row>
    <row r="632" spans="1:12" x14ac:dyDescent="0.3">
      <c r="A632" s="1">
        <v>41184</v>
      </c>
      <c r="B632" s="1">
        <v>41190</v>
      </c>
      <c r="C632" t="s">
        <v>815</v>
      </c>
      <c r="D632" t="s">
        <v>17</v>
      </c>
      <c r="E632" t="s">
        <v>816</v>
      </c>
      <c r="F632">
        <v>57.503999999999998</v>
      </c>
      <c r="G632">
        <v>6</v>
      </c>
      <c r="H632">
        <v>20.1264</v>
      </c>
      <c r="I632">
        <v>6</v>
      </c>
      <c r="J632">
        <v>2012</v>
      </c>
      <c r="K632" t="s">
        <v>2209</v>
      </c>
      <c r="L632" t="str">
        <f>TEXT(maintable_2[[#This Row],[Order Date]],"mmmm")</f>
        <v>October</v>
      </c>
    </row>
    <row r="633" spans="1:12" x14ac:dyDescent="0.3">
      <c r="A633" s="1">
        <v>40847</v>
      </c>
      <c r="B633" s="1">
        <v>40851</v>
      </c>
      <c r="C633" t="s">
        <v>490</v>
      </c>
      <c r="D633" t="s">
        <v>78</v>
      </c>
      <c r="E633" t="s">
        <v>105</v>
      </c>
      <c r="F633">
        <v>11.34</v>
      </c>
      <c r="G633">
        <v>3</v>
      </c>
      <c r="H633">
        <v>5.2164000000000001</v>
      </c>
      <c r="I633">
        <v>4</v>
      </c>
      <c r="J633">
        <v>2011</v>
      </c>
      <c r="K633" t="s">
        <v>2209</v>
      </c>
      <c r="L633" t="str">
        <f>TEXT(maintable_2[[#This Row],[Order Date]],"mmmm")</f>
        <v>October</v>
      </c>
    </row>
    <row r="634" spans="1:12" x14ac:dyDescent="0.3">
      <c r="A634" s="1">
        <v>40847</v>
      </c>
      <c r="B634" s="1">
        <v>40851</v>
      </c>
      <c r="C634" t="s">
        <v>490</v>
      </c>
      <c r="D634" t="s">
        <v>27</v>
      </c>
      <c r="E634" t="s">
        <v>817</v>
      </c>
      <c r="F634">
        <v>80.3</v>
      </c>
      <c r="G634">
        <v>5</v>
      </c>
      <c r="H634">
        <v>20.878</v>
      </c>
      <c r="I634">
        <v>4</v>
      </c>
      <c r="J634">
        <v>2011</v>
      </c>
      <c r="K634" t="s">
        <v>2209</v>
      </c>
      <c r="L634" t="str">
        <f>TEXT(maintable_2[[#This Row],[Order Date]],"mmmm")</f>
        <v>October</v>
      </c>
    </row>
    <row r="635" spans="1:12" x14ac:dyDescent="0.3">
      <c r="A635" s="1">
        <v>40847</v>
      </c>
      <c r="B635" s="1">
        <v>40851</v>
      </c>
      <c r="C635" t="s">
        <v>490</v>
      </c>
      <c r="D635" t="s">
        <v>17</v>
      </c>
      <c r="E635" t="s">
        <v>818</v>
      </c>
      <c r="F635">
        <v>15.968</v>
      </c>
      <c r="G635">
        <v>2</v>
      </c>
      <c r="H635">
        <v>5.3891999999999998</v>
      </c>
      <c r="I635">
        <v>4</v>
      </c>
      <c r="J635">
        <v>2011</v>
      </c>
      <c r="K635" t="s">
        <v>2209</v>
      </c>
      <c r="L635" t="str">
        <f>TEXT(maintable_2[[#This Row],[Order Date]],"mmmm")</f>
        <v>October</v>
      </c>
    </row>
    <row r="636" spans="1:12" x14ac:dyDescent="0.3">
      <c r="A636" s="1">
        <v>40847</v>
      </c>
      <c r="B636" s="1">
        <v>40851</v>
      </c>
      <c r="C636" t="s">
        <v>490</v>
      </c>
      <c r="D636" t="s">
        <v>44</v>
      </c>
      <c r="E636" t="s">
        <v>819</v>
      </c>
      <c r="F636">
        <v>64.739999999999995</v>
      </c>
      <c r="G636">
        <v>13</v>
      </c>
      <c r="H636">
        <v>30.427800000000001</v>
      </c>
      <c r="I636">
        <v>4</v>
      </c>
      <c r="J636">
        <v>2011</v>
      </c>
      <c r="K636" t="s">
        <v>2209</v>
      </c>
      <c r="L636" t="str">
        <f>TEXT(maintable_2[[#This Row],[Order Date]],"mmmm")</f>
        <v>October</v>
      </c>
    </row>
    <row r="637" spans="1:12" x14ac:dyDescent="0.3">
      <c r="A637" s="1">
        <v>40847</v>
      </c>
      <c r="B637" s="1">
        <v>40851</v>
      </c>
      <c r="C637" t="s">
        <v>490</v>
      </c>
      <c r="D637" t="s">
        <v>17</v>
      </c>
      <c r="E637" t="s">
        <v>820</v>
      </c>
      <c r="F637">
        <v>19.295999999999999</v>
      </c>
      <c r="G637">
        <v>3</v>
      </c>
      <c r="H637">
        <v>6.03</v>
      </c>
      <c r="I637">
        <v>4</v>
      </c>
      <c r="J637">
        <v>2011</v>
      </c>
      <c r="K637" t="s">
        <v>2209</v>
      </c>
      <c r="L637" t="str">
        <f>TEXT(maintable_2[[#This Row],[Order Date]],"mmmm")</f>
        <v>October</v>
      </c>
    </row>
    <row r="638" spans="1:12" x14ac:dyDescent="0.3">
      <c r="A638" s="1">
        <v>40847</v>
      </c>
      <c r="B638" s="1">
        <v>40851</v>
      </c>
      <c r="C638" t="s">
        <v>490</v>
      </c>
      <c r="D638" t="s">
        <v>27</v>
      </c>
      <c r="E638" t="s">
        <v>311</v>
      </c>
      <c r="F638">
        <v>405.64</v>
      </c>
      <c r="G638">
        <v>4</v>
      </c>
      <c r="H638">
        <v>12.1692</v>
      </c>
      <c r="I638">
        <v>4</v>
      </c>
      <c r="J638">
        <v>2011</v>
      </c>
      <c r="K638" t="s">
        <v>2209</v>
      </c>
      <c r="L638" t="str">
        <f>TEXT(maintable_2[[#This Row],[Order Date]],"mmmm")</f>
        <v>October</v>
      </c>
    </row>
    <row r="639" spans="1:12" x14ac:dyDescent="0.3">
      <c r="A639" s="1">
        <v>40847</v>
      </c>
      <c r="B639" s="1">
        <v>40851</v>
      </c>
      <c r="C639" t="s">
        <v>490</v>
      </c>
      <c r="D639" t="s">
        <v>71</v>
      </c>
      <c r="E639" t="s">
        <v>821</v>
      </c>
      <c r="F639">
        <v>146.352</v>
      </c>
      <c r="G639">
        <v>3</v>
      </c>
      <c r="H639">
        <v>-9.1470000000000002</v>
      </c>
      <c r="I639">
        <v>4</v>
      </c>
      <c r="J639">
        <v>2011</v>
      </c>
      <c r="K639" t="s">
        <v>2209</v>
      </c>
      <c r="L639" t="str">
        <f>TEXT(maintable_2[[#This Row],[Order Date]],"mmmm")</f>
        <v>October</v>
      </c>
    </row>
    <row r="640" spans="1:12" x14ac:dyDescent="0.3">
      <c r="A640" s="1">
        <v>40847</v>
      </c>
      <c r="B640" s="1">
        <v>40851</v>
      </c>
      <c r="C640" t="s">
        <v>490</v>
      </c>
      <c r="D640" t="s">
        <v>37</v>
      </c>
      <c r="E640" t="s">
        <v>822</v>
      </c>
      <c r="F640">
        <v>251.91</v>
      </c>
      <c r="G640">
        <v>9</v>
      </c>
      <c r="H640">
        <v>47.862900000000003</v>
      </c>
      <c r="I640">
        <v>4</v>
      </c>
      <c r="J640">
        <v>2011</v>
      </c>
      <c r="K640" t="s">
        <v>2209</v>
      </c>
      <c r="L640" t="str">
        <f>TEXT(maintable_2[[#This Row],[Order Date]],"mmmm")</f>
        <v>October</v>
      </c>
    </row>
    <row r="641" spans="1:12" x14ac:dyDescent="0.3">
      <c r="A641" s="1">
        <v>40847</v>
      </c>
      <c r="B641" s="1">
        <v>40851</v>
      </c>
      <c r="C641" t="s">
        <v>490</v>
      </c>
      <c r="D641" t="s">
        <v>13</v>
      </c>
      <c r="E641" t="s">
        <v>823</v>
      </c>
      <c r="F641">
        <v>12.39</v>
      </c>
      <c r="G641">
        <v>3</v>
      </c>
      <c r="H641">
        <v>3.7170000000000001</v>
      </c>
      <c r="I641">
        <v>4</v>
      </c>
      <c r="J641">
        <v>2011</v>
      </c>
      <c r="K641" t="s">
        <v>2209</v>
      </c>
      <c r="L641" t="str">
        <f>TEXT(maintable_2[[#This Row],[Order Date]],"mmmm")</f>
        <v>October</v>
      </c>
    </row>
    <row r="642" spans="1:12" x14ac:dyDescent="0.3">
      <c r="A642" s="1">
        <v>41012</v>
      </c>
      <c r="B642" s="1">
        <v>41018</v>
      </c>
      <c r="C642" t="s">
        <v>298</v>
      </c>
      <c r="D642" t="s">
        <v>37</v>
      </c>
      <c r="E642" t="s">
        <v>824</v>
      </c>
      <c r="F642">
        <v>199.96</v>
      </c>
      <c r="G642">
        <v>4</v>
      </c>
      <c r="H642">
        <v>69.986000000000004</v>
      </c>
      <c r="I642">
        <v>6</v>
      </c>
      <c r="J642">
        <v>2012</v>
      </c>
      <c r="K642" t="s">
        <v>2208</v>
      </c>
      <c r="L642" t="str">
        <f>TEXT(maintable_2[[#This Row],[Order Date]],"mmmm")</f>
        <v>April</v>
      </c>
    </row>
    <row r="643" spans="1:12" x14ac:dyDescent="0.3">
      <c r="A643" s="1">
        <v>41012</v>
      </c>
      <c r="B643" s="1">
        <v>41018</v>
      </c>
      <c r="C643" t="s">
        <v>298</v>
      </c>
      <c r="D643" t="s">
        <v>21</v>
      </c>
      <c r="E643" t="s">
        <v>825</v>
      </c>
      <c r="F643">
        <v>710.83199999999999</v>
      </c>
      <c r="G643">
        <v>3</v>
      </c>
      <c r="H643">
        <v>-97.739400000000003</v>
      </c>
      <c r="I643">
        <v>6</v>
      </c>
      <c r="J643">
        <v>2012</v>
      </c>
      <c r="K643" t="s">
        <v>2208</v>
      </c>
      <c r="L643" t="str">
        <f>TEXT(maintable_2[[#This Row],[Order Date]],"mmmm")</f>
        <v>April</v>
      </c>
    </row>
    <row r="644" spans="1:12" x14ac:dyDescent="0.3">
      <c r="A644" s="1">
        <v>41964</v>
      </c>
      <c r="B644" s="1">
        <v>41969</v>
      </c>
      <c r="C644" t="s">
        <v>826</v>
      </c>
      <c r="D644" t="s">
        <v>71</v>
      </c>
      <c r="E644" t="s">
        <v>198</v>
      </c>
      <c r="F644">
        <v>283.92</v>
      </c>
      <c r="G644">
        <v>5</v>
      </c>
      <c r="H644">
        <v>-46.137</v>
      </c>
      <c r="I644">
        <v>5</v>
      </c>
      <c r="J644">
        <v>2014</v>
      </c>
      <c r="K644" t="s">
        <v>2209</v>
      </c>
      <c r="L644" t="str">
        <f>TEXT(maintable_2[[#This Row],[Order Date]],"mmmm")</f>
        <v>November</v>
      </c>
    </row>
    <row r="645" spans="1:12" x14ac:dyDescent="0.3">
      <c r="A645" s="1">
        <v>41605</v>
      </c>
      <c r="B645" s="1">
        <v>41611</v>
      </c>
      <c r="C645" t="s">
        <v>827</v>
      </c>
      <c r="D645" t="s">
        <v>17</v>
      </c>
      <c r="E645" t="s">
        <v>828</v>
      </c>
      <c r="F645">
        <v>7.3120000000000003</v>
      </c>
      <c r="G645">
        <v>2</v>
      </c>
      <c r="H645">
        <v>2.5592000000000001</v>
      </c>
      <c r="I645">
        <v>6</v>
      </c>
      <c r="J645">
        <v>2013</v>
      </c>
      <c r="K645" t="s">
        <v>2209</v>
      </c>
      <c r="L645" t="str">
        <f>TEXT(maintable_2[[#This Row],[Order Date]],"mmmm")</f>
        <v>November</v>
      </c>
    </row>
    <row r="646" spans="1:12" x14ac:dyDescent="0.3">
      <c r="A646" s="1">
        <v>41951</v>
      </c>
      <c r="B646" s="1">
        <v>41956</v>
      </c>
      <c r="C646" t="s">
        <v>650</v>
      </c>
      <c r="D646" t="s">
        <v>37</v>
      </c>
      <c r="E646" t="s">
        <v>829</v>
      </c>
      <c r="F646">
        <v>59.97</v>
      </c>
      <c r="G646">
        <v>3</v>
      </c>
      <c r="H646">
        <v>13.793100000000001</v>
      </c>
      <c r="I646">
        <v>5</v>
      </c>
      <c r="J646">
        <v>2014</v>
      </c>
      <c r="K646" t="s">
        <v>2209</v>
      </c>
      <c r="L646" t="str">
        <f>TEXT(maintable_2[[#This Row],[Order Date]],"mmmm")</f>
        <v>November</v>
      </c>
    </row>
    <row r="647" spans="1:12" x14ac:dyDescent="0.3">
      <c r="A647" s="1">
        <v>41951</v>
      </c>
      <c r="B647" s="1">
        <v>41956</v>
      </c>
      <c r="C647" t="s">
        <v>650</v>
      </c>
      <c r="D647" t="s">
        <v>15</v>
      </c>
      <c r="E647" t="s">
        <v>830</v>
      </c>
      <c r="F647">
        <v>761.54399999999998</v>
      </c>
      <c r="G647">
        <v>7</v>
      </c>
      <c r="H647">
        <v>66.635099999999994</v>
      </c>
      <c r="I647">
        <v>5</v>
      </c>
      <c r="J647">
        <v>2014</v>
      </c>
      <c r="K647" t="s">
        <v>2209</v>
      </c>
      <c r="L647" t="str">
        <f>TEXT(maintable_2[[#This Row],[Order Date]],"mmmm")</f>
        <v>November</v>
      </c>
    </row>
    <row r="648" spans="1:12" x14ac:dyDescent="0.3">
      <c r="A648" s="1">
        <v>40878</v>
      </c>
      <c r="B648" s="1">
        <v>40882</v>
      </c>
      <c r="C648" t="s">
        <v>831</v>
      </c>
      <c r="D648" t="s">
        <v>11</v>
      </c>
      <c r="E648" t="s">
        <v>832</v>
      </c>
      <c r="F648">
        <v>58.2</v>
      </c>
      <c r="G648">
        <v>3</v>
      </c>
      <c r="H648">
        <v>28.518000000000001</v>
      </c>
      <c r="I648">
        <v>4</v>
      </c>
      <c r="J648">
        <v>2011</v>
      </c>
      <c r="K648" t="s">
        <v>2209</v>
      </c>
      <c r="L648" t="str">
        <f>TEXT(maintable_2[[#This Row],[Order Date]],"mmmm")</f>
        <v>December</v>
      </c>
    </row>
    <row r="649" spans="1:12" x14ac:dyDescent="0.3">
      <c r="A649" s="1">
        <v>41267</v>
      </c>
      <c r="B649" s="1">
        <v>41272</v>
      </c>
      <c r="C649" t="s">
        <v>833</v>
      </c>
      <c r="D649" t="s">
        <v>44</v>
      </c>
      <c r="E649" t="s">
        <v>834</v>
      </c>
      <c r="F649">
        <v>106.232</v>
      </c>
      <c r="G649">
        <v>7</v>
      </c>
      <c r="H649">
        <v>37.181199999999997</v>
      </c>
      <c r="I649">
        <v>5</v>
      </c>
      <c r="J649">
        <v>2012</v>
      </c>
      <c r="K649" t="s">
        <v>2207</v>
      </c>
      <c r="L649" t="str">
        <f>TEXT(maintable_2[[#This Row],[Order Date]],"mmmm")</f>
        <v>December</v>
      </c>
    </row>
    <row r="650" spans="1:12" x14ac:dyDescent="0.3">
      <c r="A650" s="1">
        <v>41267</v>
      </c>
      <c r="B650" s="1">
        <v>41272</v>
      </c>
      <c r="C650" t="s">
        <v>833</v>
      </c>
      <c r="D650" t="s">
        <v>15</v>
      </c>
      <c r="E650" t="s">
        <v>835</v>
      </c>
      <c r="F650">
        <v>111.98399999999999</v>
      </c>
      <c r="G650">
        <v>2</v>
      </c>
      <c r="H650">
        <v>11.198399999999999</v>
      </c>
      <c r="I650">
        <v>5</v>
      </c>
      <c r="J650">
        <v>2012</v>
      </c>
      <c r="K650" t="s">
        <v>2207</v>
      </c>
      <c r="L650" t="str">
        <f>TEXT(maintable_2[[#This Row],[Order Date]],"mmmm")</f>
        <v>December</v>
      </c>
    </row>
    <row r="651" spans="1:12" x14ac:dyDescent="0.3">
      <c r="A651" s="1">
        <v>41267</v>
      </c>
      <c r="B651" s="1">
        <v>41272</v>
      </c>
      <c r="C651" t="s">
        <v>833</v>
      </c>
      <c r="D651" t="s">
        <v>11</v>
      </c>
      <c r="E651" t="s">
        <v>625</v>
      </c>
      <c r="F651">
        <v>7.7119999999999997</v>
      </c>
      <c r="G651">
        <v>2</v>
      </c>
      <c r="H651">
        <v>1.7352000000000001</v>
      </c>
      <c r="I651">
        <v>5</v>
      </c>
      <c r="J651">
        <v>2012</v>
      </c>
      <c r="K651" t="s">
        <v>2207</v>
      </c>
      <c r="L651" t="str">
        <f>TEXT(maintable_2[[#This Row],[Order Date]],"mmmm")</f>
        <v>December</v>
      </c>
    </row>
    <row r="652" spans="1:12" x14ac:dyDescent="0.3">
      <c r="A652" s="1">
        <v>41694</v>
      </c>
      <c r="B652" s="1">
        <v>41700</v>
      </c>
      <c r="C652" t="s">
        <v>836</v>
      </c>
      <c r="D652" t="s">
        <v>44</v>
      </c>
      <c r="E652" t="s">
        <v>837</v>
      </c>
      <c r="F652">
        <v>37.44</v>
      </c>
      <c r="G652">
        <v>6</v>
      </c>
      <c r="H652">
        <v>16.847999999999999</v>
      </c>
      <c r="I652">
        <v>6</v>
      </c>
      <c r="J652">
        <v>2014</v>
      </c>
      <c r="K652" t="s">
        <v>2210</v>
      </c>
      <c r="L652" t="str">
        <f>TEXT(maintable_2[[#This Row],[Order Date]],"mmmm")</f>
        <v>February</v>
      </c>
    </row>
    <row r="653" spans="1:12" x14ac:dyDescent="0.3">
      <c r="A653" s="1">
        <v>41208</v>
      </c>
      <c r="B653" s="1">
        <v>41212</v>
      </c>
      <c r="C653" t="s">
        <v>242</v>
      </c>
      <c r="D653" t="s">
        <v>8</v>
      </c>
      <c r="E653" t="s">
        <v>838</v>
      </c>
      <c r="F653">
        <v>5.76</v>
      </c>
      <c r="G653">
        <v>2</v>
      </c>
      <c r="H653">
        <v>2.6496</v>
      </c>
      <c r="I653">
        <v>4</v>
      </c>
      <c r="J653">
        <v>2012</v>
      </c>
      <c r="K653" t="s">
        <v>2209</v>
      </c>
      <c r="L653" t="str">
        <f>TEXT(maintable_2[[#This Row],[Order Date]],"mmmm")</f>
        <v>October</v>
      </c>
    </row>
    <row r="654" spans="1:12" x14ac:dyDescent="0.3">
      <c r="A654" s="1">
        <v>41012</v>
      </c>
      <c r="B654" s="1">
        <v>41014</v>
      </c>
      <c r="C654" t="s">
        <v>839</v>
      </c>
      <c r="D654" t="s">
        <v>81</v>
      </c>
      <c r="E654" t="s">
        <v>292</v>
      </c>
      <c r="F654">
        <v>12.88</v>
      </c>
      <c r="G654">
        <v>1</v>
      </c>
      <c r="H654">
        <v>0.38640000000000002</v>
      </c>
      <c r="I654">
        <v>2</v>
      </c>
      <c r="J654">
        <v>2012</v>
      </c>
      <c r="K654" t="s">
        <v>2208</v>
      </c>
      <c r="L654" t="str">
        <f>TEXT(maintable_2[[#This Row],[Order Date]],"mmmm")</f>
        <v>April</v>
      </c>
    </row>
    <row r="655" spans="1:12" x14ac:dyDescent="0.3">
      <c r="A655" s="1">
        <v>41890</v>
      </c>
      <c r="B655" s="1">
        <v>41895</v>
      </c>
      <c r="C655" t="s">
        <v>104</v>
      </c>
      <c r="D655" t="s">
        <v>27</v>
      </c>
      <c r="E655" t="s">
        <v>840</v>
      </c>
      <c r="F655">
        <v>37.68</v>
      </c>
      <c r="G655">
        <v>3</v>
      </c>
      <c r="H655">
        <v>2.355</v>
      </c>
      <c r="I655">
        <v>5</v>
      </c>
      <c r="J655">
        <v>2014</v>
      </c>
      <c r="K655" t="s">
        <v>2209</v>
      </c>
      <c r="L655" t="str">
        <f>TEXT(maintable_2[[#This Row],[Order Date]],"mmmm")</f>
        <v>September</v>
      </c>
    </row>
    <row r="656" spans="1:12" x14ac:dyDescent="0.3">
      <c r="A656" s="1">
        <v>41890</v>
      </c>
      <c r="B656" s="1">
        <v>41895</v>
      </c>
      <c r="C656" t="s">
        <v>104</v>
      </c>
      <c r="D656" t="s">
        <v>37</v>
      </c>
      <c r="E656" t="s">
        <v>841</v>
      </c>
      <c r="F656">
        <v>279.94400000000002</v>
      </c>
      <c r="G656">
        <v>7</v>
      </c>
      <c r="H656">
        <v>80.483900000000006</v>
      </c>
      <c r="I656">
        <v>5</v>
      </c>
      <c r="J656">
        <v>2014</v>
      </c>
      <c r="K656" t="s">
        <v>2209</v>
      </c>
      <c r="L656" t="str">
        <f>TEXT(maintable_2[[#This Row],[Order Date]],"mmmm")</f>
        <v>September</v>
      </c>
    </row>
    <row r="657" spans="1:12" x14ac:dyDescent="0.3">
      <c r="A657" s="1">
        <v>40612</v>
      </c>
      <c r="B657" s="1">
        <v>40619</v>
      </c>
      <c r="C657" t="s">
        <v>842</v>
      </c>
      <c r="D657" t="s">
        <v>27</v>
      </c>
      <c r="E657" t="s">
        <v>843</v>
      </c>
      <c r="F657">
        <v>636.40800000000002</v>
      </c>
      <c r="G657">
        <v>3</v>
      </c>
      <c r="H657">
        <v>-15.9102</v>
      </c>
      <c r="I657">
        <v>7</v>
      </c>
      <c r="J657">
        <v>2011</v>
      </c>
      <c r="K657" t="s">
        <v>2208</v>
      </c>
      <c r="L657" t="str">
        <f>TEXT(maintable_2[[#This Row],[Order Date]],"mmmm")</f>
        <v>March</v>
      </c>
    </row>
    <row r="658" spans="1:12" x14ac:dyDescent="0.3">
      <c r="A658" s="1">
        <v>40612</v>
      </c>
      <c r="B658" s="1">
        <v>40619</v>
      </c>
      <c r="C658" t="s">
        <v>842</v>
      </c>
      <c r="D658" t="s">
        <v>13</v>
      </c>
      <c r="E658" t="s">
        <v>844</v>
      </c>
      <c r="F658">
        <v>83.168000000000006</v>
      </c>
      <c r="G658">
        <v>4</v>
      </c>
      <c r="H658">
        <v>9.3564000000000007</v>
      </c>
      <c r="I658">
        <v>7</v>
      </c>
      <c r="J658">
        <v>2011</v>
      </c>
      <c r="K658" t="s">
        <v>2208</v>
      </c>
      <c r="L658" t="str">
        <f>TEXT(maintable_2[[#This Row],[Order Date]],"mmmm")</f>
        <v>March</v>
      </c>
    </row>
    <row r="659" spans="1:12" x14ac:dyDescent="0.3">
      <c r="A659" s="1">
        <v>40742</v>
      </c>
      <c r="B659" s="1">
        <v>40742</v>
      </c>
      <c r="C659" t="s">
        <v>845</v>
      </c>
      <c r="D659" t="s">
        <v>71</v>
      </c>
      <c r="E659" t="s">
        <v>846</v>
      </c>
      <c r="F659">
        <v>259.13600000000002</v>
      </c>
      <c r="G659">
        <v>4</v>
      </c>
      <c r="H659">
        <v>-25.913599999999999</v>
      </c>
      <c r="I659">
        <v>0</v>
      </c>
      <c r="J659">
        <v>2011</v>
      </c>
      <c r="K659" t="s">
        <v>2206</v>
      </c>
      <c r="L659" t="str">
        <f>TEXT(maintable_2[[#This Row],[Order Date]],"mmmm")</f>
        <v>July</v>
      </c>
    </row>
    <row r="660" spans="1:12" x14ac:dyDescent="0.3">
      <c r="A660" s="1">
        <v>41213</v>
      </c>
      <c r="B660" s="1">
        <v>41213</v>
      </c>
      <c r="C660" t="s">
        <v>847</v>
      </c>
      <c r="D660" t="s">
        <v>44</v>
      </c>
      <c r="E660" t="s">
        <v>200</v>
      </c>
      <c r="F660">
        <v>19.98</v>
      </c>
      <c r="G660">
        <v>1</v>
      </c>
      <c r="H660">
        <v>9.3905999999999992</v>
      </c>
      <c r="I660">
        <v>0</v>
      </c>
      <c r="J660">
        <v>2012</v>
      </c>
      <c r="K660" t="s">
        <v>2209</v>
      </c>
      <c r="L660" t="str">
        <f>TEXT(maintable_2[[#This Row],[Order Date]],"mmmm")</f>
        <v>October</v>
      </c>
    </row>
    <row r="661" spans="1:12" x14ac:dyDescent="0.3">
      <c r="A661" s="1">
        <v>41213</v>
      </c>
      <c r="B661" s="1">
        <v>41213</v>
      </c>
      <c r="C661" t="s">
        <v>847</v>
      </c>
      <c r="D661" t="s">
        <v>17</v>
      </c>
      <c r="E661" t="s">
        <v>848</v>
      </c>
      <c r="F661">
        <v>398.35199999999998</v>
      </c>
      <c r="G661">
        <v>3</v>
      </c>
      <c r="H661">
        <v>124.485</v>
      </c>
      <c r="I661">
        <v>0</v>
      </c>
      <c r="J661">
        <v>2012</v>
      </c>
      <c r="K661" t="s">
        <v>2209</v>
      </c>
      <c r="L661" t="str">
        <f>TEXT(maintable_2[[#This Row],[Order Date]],"mmmm")</f>
        <v>October</v>
      </c>
    </row>
    <row r="662" spans="1:12" x14ac:dyDescent="0.3">
      <c r="A662" s="1">
        <v>41213</v>
      </c>
      <c r="B662" s="1">
        <v>41213</v>
      </c>
      <c r="C662" t="s">
        <v>847</v>
      </c>
      <c r="D662" t="s">
        <v>13</v>
      </c>
      <c r="E662" t="s">
        <v>849</v>
      </c>
      <c r="F662">
        <v>5.04</v>
      </c>
      <c r="G662">
        <v>3</v>
      </c>
      <c r="H662">
        <v>1.26</v>
      </c>
      <c r="I662">
        <v>0</v>
      </c>
      <c r="J662">
        <v>2012</v>
      </c>
      <c r="K662" t="s">
        <v>2209</v>
      </c>
      <c r="L662" t="str">
        <f>TEXT(maintable_2[[#This Row],[Order Date]],"mmmm")</f>
        <v>October</v>
      </c>
    </row>
    <row r="663" spans="1:12" x14ac:dyDescent="0.3">
      <c r="A663" s="1">
        <v>41213</v>
      </c>
      <c r="B663" s="1">
        <v>41213</v>
      </c>
      <c r="C663" t="s">
        <v>847</v>
      </c>
      <c r="D663" t="s">
        <v>78</v>
      </c>
      <c r="E663" t="s">
        <v>647</v>
      </c>
      <c r="F663">
        <v>17.45</v>
      </c>
      <c r="G663">
        <v>5</v>
      </c>
      <c r="H663">
        <v>8.0269999999999992</v>
      </c>
      <c r="I663">
        <v>0</v>
      </c>
      <c r="J663">
        <v>2012</v>
      </c>
      <c r="K663" t="s">
        <v>2209</v>
      </c>
      <c r="L663" t="str">
        <f>TEXT(maintable_2[[#This Row],[Order Date]],"mmmm")</f>
        <v>October</v>
      </c>
    </row>
    <row r="664" spans="1:12" x14ac:dyDescent="0.3">
      <c r="A664" s="1">
        <v>41213</v>
      </c>
      <c r="B664" s="1">
        <v>41213</v>
      </c>
      <c r="C664" t="s">
        <v>847</v>
      </c>
      <c r="D664" t="s">
        <v>71</v>
      </c>
      <c r="E664" t="s">
        <v>850</v>
      </c>
      <c r="F664">
        <v>323.13600000000002</v>
      </c>
      <c r="G664">
        <v>4</v>
      </c>
      <c r="H664">
        <v>20.196000000000002</v>
      </c>
      <c r="I664">
        <v>0</v>
      </c>
      <c r="J664">
        <v>2012</v>
      </c>
      <c r="K664" t="s">
        <v>2209</v>
      </c>
      <c r="L664" t="str">
        <f>TEXT(maintable_2[[#This Row],[Order Date]],"mmmm")</f>
        <v>October</v>
      </c>
    </row>
    <row r="665" spans="1:12" x14ac:dyDescent="0.3">
      <c r="A665" s="1">
        <v>41213</v>
      </c>
      <c r="B665" s="1">
        <v>41213</v>
      </c>
      <c r="C665" t="s">
        <v>847</v>
      </c>
      <c r="D665" t="s">
        <v>81</v>
      </c>
      <c r="E665" t="s">
        <v>851</v>
      </c>
      <c r="F665">
        <v>29.7</v>
      </c>
      <c r="G665">
        <v>3</v>
      </c>
      <c r="H665">
        <v>8.0190000000000001</v>
      </c>
      <c r="I665">
        <v>0</v>
      </c>
      <c r="J665">
        <v>2012</v>
      </c>
      <c r="K665" t="s">
        <v>2209</v>
      </c>
      <c r="L665" t="str">
        <f>TEXT(maintable_2[[#This Row],[Order Date]],"mmmm")</f>
        <v>October</v>
      </c>
    </row>
    <row r="666" spans="1:12" x14ac:dyDescent="0.3">
      <c r="A666" s="1">
        <v>41213</v>
      </c>
      <c r="B666" s="1">
        <v>41213</v>
      </c>
      <c r="C666" t="s">
        <v>847</v>
      </c>
      <c r="D666" t="s">
        <v>15</v>
      </c>
      <c r="E666" t="s">
        <v>852</v>
      </c>
      <c r="F666">
        <v>1295.8399999999999</v>
      </c>
      <c r="G666">
        <v>4</v>
      </c>
      <c r="H666">
        <v>145.78200000000001</v>
      </c>
      <c r="I666">
        <v>0</v>
      </c>
      <c r="J666">
        <v>2012</v>
      </c>
      <c r="K666" t="s">
        <v>2209</v>
      </c>
      <c r="L666" t="str">
        <f>TEXT(maintable_2[[#This Row],[Order Date]],"mmmm")</f>
        <v>October</v>
      </c>
    </row>
    <row r="667" spans="1:12" x14ac:dyDescent="0.3">
      <c r="A667" s="1">
        <v>41213</v>
      </c>
      <c r="B667" s="1">
        <v>41213</v>
      </c>
      <c r="C667" t="s">
        <v>847</v>
      </c>
      <c r="D667" t="s">
        <v>27</v>
      </c>
      <c r="E667" t="s">
        <v>853</v>
      </c>
      <c r="F667">
        <v>46.84</v>
      </c>
      <c r="G667">
        <v>2</v>
      </c>
      <c r="H667">
        <v>12.646800000000001</v>
      </c>
      <c r="I667">
        <v>0</v>
      </c>
      <c r="J667">
        <v>2012</v>
      </c>
      <c r="K667" t="s">
        <v>2209</v>
      </c>
      <c r="L667" t="str">
        <f>TEXT(maintable_2[[#This Row],[Order Date]],"mmmm")</f>
        <v>October</v>
      </c>
    </row>
    <row r="668" spans="1:12" x14ac:dyDescent="0.3">
      <c r="A668" s="1">
        <v>41213</v>
      </c>
      <c r="B668" s="1">
        <v>41213</v>
      </c>
      <c r="C668" t="s">
        <v>847</v>
      </c>
      <c r="D668" t="s">
        <v>196</v>
      </c>
      <c r="E668" t="s">
        <v>854</v>
      </c>
      <c r="F668">
        <v>425.83300000000003</v>
      </c>
      <c r="G668">
        <v>1</v>
      </c>
      <c r="H668">
        <v>20.039200000000001</v>
      </c>
      <c r="I668">
        <v>0</v>
      </c>
      <c r="J668">
        <v>2012</v>
      </c>
      <c r="K668" t="s">
        <v>2209</v>
      </c>
      <c r="L668" t="str">
        <f>TEXT(maintable_2[[#This Row],[Order Date]],"mmmm")</f>
        <v>October</v>
      </c>
    </row>
    <row r="669" spans="1:12" x14ac:dyDescent="0.3">
      <c r="A669" s="1">
        <v>41537</v>
      </c>
      <c r="B669" s="1">
        <v>41541</v>
      </c>
      <c r="C669" t="s">
        <v>855</v>
      </c>
      <c r="D669" t="s">
        <v>44</v>
      </c>
      <c r="E669" t="s">
        <v>856</v>
      </c>
      <c r="F669">
        <v>159.88</v>
      </c>
      <c r="G669">
        <v>7</v>
      </c>
      <c r="H669">
        <v>73.544799999999995</v>
      </c>
      <c r="I669">
        <v>4</v>
      </c>
      <c r="J669">
        <v>2013</v>
      </c>
      <c r="K669" t="s">
        <v>2209</v>
      </c>
      <c r="L669" t="str">
        <f>TEXT(maintable_2[[#This Row],[Order Date]],"mmmm")</f>
        <v>September</v>
      </c>
    </row>
    <row r="670" spans="1:12" x14ac:dyDescent="0.3">
      <c r="A670" s="1">
        <v>41743</v>
      </c>
      <c r="B670" s="1">
        <v>41745</v>
      </c>
      <c r="C670" t="s">
        <v>412</v>
      </c>
      <c r="D670" t="s">
        <v>44</v>
      </c>
      <c r="E670" t="s">
        <v>125</v>
      </c>
      <c r="F670">
        <v>5.28</v>
      </c>
      <c r="G670">
        <v>1</v>
      </c>
      <c r="H670">
        <v>2.3759999999999999</v>
      </c>
      <c r="I670">
        <v>2</v>
      </c>
      <c r="J670">
        <v>2014</v>
      </c>
      <c r="K670" t="s">
        <v>2208</v>
      </c>
      <c r="L670" t="str">
        <f>TEXT(maintable_2[[#This Row],[Order Date]],"mmmm")</f>
        <v>April</v>
      </c>
    </row>
    <row r="671" spans="1:12" x14ac:dyDescent="0.3">
      <c r="A671" s="1">
        <v>41743</v>
      </c>
      <c r="B671" s="1">
        <v>41745</v>
      </c>
      <c r="C671" t="s">
        <v>412</v>
      </c>
      <c r="D671" t="s">
        <v>17</v>
      </c>
      <c r="E671" t="s">
        <v>857</v>
      </c>
      <c r="F671">
        <v>895.92</v>
      </c>
      <c r="G671">
        <v>5</v>
      </c>
      <c r="H671">
        <v>302.37299999999999</v>
      </c>
      <c r="I671">
        <v>2</v>
      </c>
      <c r="J671">
        <v>2014</v>
      </c>
      <c r="K671" t="s">
        <v>2208</v>
      </c>
      <c r="L671" t="str">
        <f>TEXT(maintable_2[[#This Row],[Order Date]],"mmmm")</f>
        <v>April</v>
      </c>
    </row>
    <row r="672" spans="1:12" x14ac:dyDescent="0.3">
      <c r="A672" s="1">
        <v>41953</v>
      </c>
      <c r="B672" s="1">
        <v>41955</v>
      </c>
      <c r="C672" t="s">
        <v>605</v>
      </c>
      <c r="D672" t="s">
        <v>71</v>
      </c>
      <c r="E672" t="s">
        <v>723</v>
      </c>
      <c r="F672">
        <v>215.976</v>
      </c>
      <c r="G672">
        <v>3</v>
      </c>
      <c r="H672">
        <v>-2.6997</v>
      </c>
      <c r="I672">
        <v>2</v>
      </c>
      <c r="J672">
        <v>2014</v>
      </c>
      <c r="K672" t="s">
        <v>2209</v>
      </c>
      <c r="L672" t="str">
        <f>TEXT(maintable_2[[#This Row],[Order Date]],"mmmm")</f>
        <v>November</v>
      </c>
    </row>
    <row r="673" spans="1:12" x14ac:dyDescent="0.3">
      <c r="A673" s="1">
        <v>40889</v>
      </c>
      <c r="B673" s="1">
        <v>40894</v>
      </c>
      <c r="C673" t="s">
        <v>858</v>
      </c>
      <c r="D673" t="s">
        <v>11</v>
      </c>
      <c r="E673" t="s">
        <v>859</v>
      </c>
      <c r="F673">
        <v>43.31</v>
      </c>
      <c r="G673">
        <v>1</v>
      </c>
      <c r="H673">
        <v>4.3310000000000004</v>
      </c>
      <c r="I673">
        <v>5</v>
      </c>
      <c r="J673">
        <v>2011</v>
      </c>
      <c r="K673" t="s">
        <v>2207</v>
      </c>
      <c r="L673" t="str">
        <f>TEXT(maintable_2[[#This Row],[Order Date]],"mmmm")</f>
        <v>December</v>
      </c>
    </row>
    <row r="674" spans="1:12" x14ac:dyDescent="0.3">
      <c r="A674" s="1">
        <v>41481</v>
      </c>
      <c r="B674" s="1">
        <v>41483</v>
      </c>
      <c r="C674" t="s">
        <v>860</v>
      </c>
      <c r="D674" t="s">
        <v>78</v>
      </c>
      <c r="E674" t="s">
        <v>158</v>
      </c>
      <c r="F674">
        <v>21.48</v>
      </c>
      <c r="G674">
        <v>6</v>
      </c>
      <c r="H674">
        <v>10.74</v>
      </c>
      <c r="I674">
        <v>2</v>
      </c>
      <c r="J674">
        <v>2013</v>
      </c>
      <c r="K674" t="s">
        <v>2206</v>
      </c>
      <c r="L674" t="str">
        <f>TEXT(maintable_2[[#This Row],[Order Date]],"mmmm")</f>
        <v>July</v>
      </c>
    </row>
    <row r="675" spans="1:12" x14ac:dyDescent="0.3">
      <c r="A675" s="1">
        <v>41281</v>
      </c>
      <c r="B675" s="1">
        <v>41286</v>
      </c>
      <c r="C675" t="s">
        <v>861</v>
      </c>
      <c r="D675" t="s">
        <v>13</v>
      </c>
      <c r="E675" t="s">
        <v>862</v>
      </c>
      <c r="F675">
        <v>34.58</v>
      </c>
      <c r="G675">
        <v>1</v>
      </c>
      <c r="H675">
        <v>10.0282</v>
      </c>
      <c r="I675">
        <v>5</v>
      </c>
      <c r="J675">
        <v>2013</v>
      </c>
      <c r="K675" t="s">
        <v>2210</v>
      </c>
      <c r="L675" t="str">
        <f>TEXT(maintable_2[[#This Row],[Order Date]],"mmmm")</f>
        <v>January</v>
      </c>
    </row>
    <row r="676" spans="1:12" x14ac:dyDescent="0.3">
      <c r="A676" s="1">
        <v>41712</v>
      </c>
      <c r="B676" s="1">
        <v>41718</v>
      </c>
      <c r="C676" t="s">
        <v>863</v>
      </c>
      <c r="D676" t="s">
        <v>44</v>
      </c>
      <c r="E676" t="s">
        <v>693</v>
      </c>
      <c r="F676">
        <v>314.55</v>
      </c>
      <c r="G676">
        <v>3</v>
      </c>
      <c r="H676">
        <v>150.98400000000001</v>
      </c>
      <c r="I676">
        <v>6</v>
      </c>
      <c r="J676">
        <v>2014</v>
      </c>
      <c r="K676" t="s">
        <v>2208</v>
      </c>
      <c r="L676" t="str">
        <f>TEXT(maintable_2[[#This Row],[Order Date]],"mmmm")</f>
        <v>March</v>
      </c>
    </row>
    <row r="677" spans="1:12" x14ac:dyDescent="0.3">
      <c r="A677" s="1">
        <v>40756</v>
      </c>
      <c r="B677" s="1">
        <v>40758</v>
      </c>
      <c r="C677" t="s">
        <v>864</v>
      </c>
      <c r="D677" t="s">
        <v>17</v>
      </c>
      <c r="E677" t="s">
        <v>865</v>
      </c>
      <c r="F677">
        <v>19.751999999999999</v>
      </c>
      <c r="G677">
        <v>3</v>
      </c>
      <c r="H677">
        <v>6.9131999999999998</v>
      </c>
      <c r="I677">
        <v>2</v>
      </c>
      <c r="J677">
        <v>2011</v>
      </c>
      <c r="K677" t="s">
        <v>2206</v>
      </c>
      <c r="L677" t="str">
        <f>TEXT(maintable_2[[#This Row],[Order Date]],"mmmm")</f>
        <v>August</v>
      </c>
    </row>
    <row r="678" spans="1:12" x14ac:dyDescent="0.3">
      <c r="A678" s="1">
        <v>41563</v>
      </c>
      <c r="B678" s="1">
        <v>41569</v>
      </c>
      <c r="C678" t="s">
        <v>866</v>
      </c>
      <c r="D678" t="s">
        <v>44</v>
      </c>
      <c r="E678" t="s">
        <v>867</v>
      </c>
      <c r="F678">
        <v>45.68</v>
      </c>
      <c r="G678">
        <v>2</v>
      </c>
      <c r="H678">
        <v>21.012799999999999</v>
      </c>
      <c r="I678">
        <v>6</v>
      </c>
      <c r="J678">
        <v>2013</v>
      </c>
      <c r="K678" t="s">
        <v>2209</v>
      </c>
      <c r="L678" t="str">
        <f>TEXT(maintable_2[[#This Row],[Order Date]],"mmmm")</f>
        <v>October</v>
      </c>
    </row>
    <row r="679" spans="1:12" x14ac:dyDescent="0.3">
      <c r="A679" s="1">
        <v>41563</v>
      </c>
      <c r="B679" s="1">
        <v>41569</v>
      </c>
      <c r="C679" t="s">
        <v>866</v>
      </c>
      <c r="D679" t="s">
        <v>44</v>
      </c>
      <c r="E679" t="s">
        <v>696</v>
      </c>
      <c r="F679">
        <v>60.12</v>
      </c>
      <c r="G679">
        <v>9</v>
      </c>
      <c r="H679">
        <v>28.857600000000001</v>
      </c>
      <c r="I679">
        <v>6</v>
      </c>
      <c r="J679">
        <v>2013</v>
      </c>
      <c r="K679" t="s">
        <v>2209</v>
      </c>
      <c r="L679" t="str">
        <f>TEXT(maintable_2[[#This Row],[Order Date]],"mmmm")</f>
        <v>October</v>
      </c>
    </row>
    <row r="680" spans="1:12" x14ac:dyDescent="0.3">
      <c r="A680" s="1">
        <v>41563</v>
      </c>
      <c r="B680" s="1">
        <v>41569</v>
      </c>
      <c r="C680" t="s">
        <v>866</v>
      </c>
      <c r="D680" t="s">
        <v>17</v>
      </c>
      <c r="E680" t="s">
        <v>868</v>
      </c>
      <c r="F680">
        <v>41.72</v>
      </c>
      <c r="G680">
        <v>5</v>
      </c>
      <c r="H680">
        <v>13.0375</v>
      </c>
      <c r="I680">
        <v>6</v>
      </c>
      <c r="J680">
        <v>2013</v>
      </c>
      <c r="K680" t="s">
        <v>2209</v>
      </c>
      <c r="L680" t="str">
        <f>TEXT(maintable_2[[#This Row],[Order Date]],"mmmm")</f>
        <v>October</v>
      </c>
    </row>
    <row r="681" spans="1:12" x14ac:dyDescent="0.3">
      <c r="A681" s="1">
        <v>41563</v>
      </c>
      <c r="B681" s="1">
        <v>41569</v>
      </c>
      <c r="C681" t="s">
        <v>866</v>
      </c>
      <c r="D681" t="s">
        <v>44</v>
      </c>
      <c r="E681" t="s">
        <v>227</v>
      </c>
      <c r="F681">
        <v>71.599999999999994</v>
      </c>
      <c r="G681">
        <v>8</v>
      </c>
      <c r="H681">
        <v>32.936</v>
      </c>
      <c r="I681">
        <v>6</v>
      </c>
      <c r="J681">
        <v>2013</v>
      </c>
      <c r="K681" t="s">
        <v>2209</v>
      </c>
      <c r="L681" t="str">
        <f>TEXT(maintable_2[[#This Row],[Order Date]],"mmmm")</f>
        <v>October</v>
      </c>
    </row>
    <row r="682" spans="1:12" x14ac:dyDescent="0.3">
      <c r="A682" s="1">
        <v>41853</v>
      </c>
      <c r="B682" s="1">
        <v>41856</v>
      </c>
      <c r="C682" t="s">
        <v>869</v>
      </c>
      <c r="D682" t="s">
        <v>17</v>
      </c>
      <c r="E682" t="s">
        <v>870</v>
      </c>
      <c r="F682">
        <v>54.896000000000001</v>
      </c>
      <c r="G682">
        <v>2</v>
      </c>
      <c r="H682">
        <v>18.5274</v>
      </c>
      <c r="I682">
        <v>3</v>
      </c>
      <c r="J682">
        <v>2014</v>
      </c>
      <c r="K682" t="s">
        <v>2206</v>
      </c>
      <c r="L682" t="str">
        <f>TEXT(maintable_2[[#This Row],[Order Date]],"mmmm")</f>
        <v>August</v>
      </c>
    </row>
    <row r="683" spans="1:12" x14ac:dyDescent="0.3">
      <c r="A683" s="1">
        <v>41451</v>
      </c>
      <c r="B683" s="1">
        <v>41455</v>
      </c>
      <c r="C683" t="s">
        <v>871</v>
      </c>
      <c r="D683" t="s">
        <v>19</v>
      </c>
      <c r="E683" t="s">
        <v>872</v>
      </c>
      <c r="F683">
        <v>60.81</v>
      </c>
      <c r="G683">
        <v>3</v>
      </c>
      <c r="H683">
        <v>17.026800000000001</v>
      </c>
      <c r="I683">
        <v>4</v>
      </c>
      <c r="J683">
        <v>2013</v>
      </c>
      <c r="K683" t="s">
        <v>2206</v>
      </c>
      <c r="L683" t="str">
        <f>TEXT(maintable_2[[#This Row],[Order Date]],"mmmm")</f>
        <v>June</v>
      </c>
    </row>
    <row r="684" spans="1:12" x14ac:dyDescent="0.3">
      <c r="A684" s="1">
        <v>41619</v>
      </c>
      <c r="B684" s="1">
        <v>41626</v>
      </c>
      <c r="C684" t="s">
        <v>491</v>
      </c>
      <c r="D684" t="s">
        <v>17</v>
      </c>
      <c r="E684" t="s">
        <v>873</v>
      </c>
      <c r="F684">
        <v>153.55199999999999</v>
      </c>
      <c r="G684">
        <v>3</v>
      </c>
      <c r="H684">
        <v>51.823799999999999</v>
      </c>
      <c r="I684">
        <v>7</v>
      </c>
      <c r="J684">
        <v>2013</v>
      </c>
      <c r="K684" t="s">
        <v>2207</v>
      </c>
      <c r="L684" t="str">
        <f>TEXT(maintable_2[[#This Row],[Order Date]],"mmmm")</f>
        <v>December</v>
      </c>
    </row>
    <row r="685" spans="1:12" x14ac:dyDescent="0.3">
      <c r="A685" s="1">
        <v>41619</v>
      </c>
      <c r="B685" s="1">
        <v>41626</v>
      </c>
      <c r="C685" t="s">
        <v>491</v>
      </c>
      <c r="D685" t="s">
        <v>19</v>
      </c>
      <c r="E685" t="s">
        <v>874</v>
      </c>
      <c r="F685">
        <v>65.34</v>
      </c>
      <c r="G685">
        <v>3</v>
      </c>
      <c r="H685">
        <v>22.869</v>
      </c>
      <c r="I685">
        <v>7</v>
      </c>
      <c r="J685">
        <v>2013</v>
      </c>
      <c r="K685" t="s">
        <v>2207</v>
      </c>
      <c r="L685" t="str">
        <f>TEXT(maintable_2[[#This Row],[Order Date]],"mmmm")</f>
        <v>December</v>
      </c>
    </row>
    <row r="686" spans="1:12" x14ac:dyDescent="0.3">
      <c r="A686" s="1">
        <v>41619</v>
      </c>
      <c r="B686" s="1">
        <v>41626</v>
      </c>
      <c r="C686" t="s">
        <v>491</v>
      </c>
      <c r="D686" t="s">
        <v>44</v>
      </c>
      <c r="E686" t="s">
        <v>875</v>
      </c>
      <c r="F686">
        <v>123.92</v>
      </c>
      <c r="G686">
        <v>4</v>
      </c>
      <c r="H686">
        <v>55.764000000000003</v>
      </c>
      <c r="I686">
        <v>7</v>
      </c>
      <c r="J686">
        <v>2013</v>
      </c>
      <c r="K686" t="s">
        <v>2207</v>
      </c>
      <c r="L686" t="str">
        <f>TEXT(maintable_2[[#This Row],[Order Date]],"mmmm")</f>
        <v>December</v>
      </c>
    </row>
    <row r="687" spans="1:12" x14ac:dyDescent="0.3">
      <c r="A687" s="1">
        <v>41619</v>
      </c>
      <c r="B687" s="1">
        <v>41626</v>
      </c>
      <c r="C687" t="s">
        <v>491</v>
      </c>
      <c r="D687" t="s">
        <v>19</v>
      </c>
      <c r="E687" t="s">
        <v>876</v>
      </c>
      <c r="F687">
        <v>35.1</v>
      </c>
      <c r="G687">
        <v>3</v>
      </c>
      <c r="H687">
        <v>12.285</v>
      </c>
      <c r="I687">
        <v>7</v>
      </c>
      <c r="J687">
        <v>2013</v>
      </c>
      <c r="K687" t="s">
        <v>2207</v>
      </c>
      <c r="L687" t="str">
        <f>TEXT(maintable_2[[#This Row],[Order Date]],"mmmm")</f>
        <v>December</v>
      </c>
    </row>
    <row r="688" spans="1:12" x14ac:dyDescent="0.3">
      <c r="A688" s="1">
        <v>41619</v>
      </c>
      <c r="B688" s="1">
        <v>41626</v>
      </c>
      <c r="C688" t="s">
        <v>491</v>
      </c>
      <c r="D688" t="s">
        <v>37</v>
      </c>
      <c r="E688" t="s">
        <v>727</v>
      </c>
      <c r="F688">
        <v>44.75</v>
      </c>
      <c r="G688">
        <v>5</v>
      </c>
      <c r="H688">
        <v>8.5024999999999995</v>
      </c>
      <c r="I688">
        <v>7</v>
      </c>
      <c r="J688">
        <v>2013</v>
      </c>
      <c r="K688" t="s">
        <v>2207</v>
      </c>
      <c r="L688" t="str">
        <f>TEXT(maintable_2[[#This Row],[Order Date]],"mmmm")</f>
        <v>December</v>
      </c>
    </row>
    <row r="689" spans="1:12" x14ac:dyDescent="0.3">
      <c r="A689" s="1">
        <v>41158</v>
      </c>
      <c r="B689" s="1">
        <v>41164</v>
      </c>
      <c r="C689" t="s">
        <v>588</v>
      </c>
      <c r="D689" t="s">
        <v>17</v>
      </c>
      <c r="E689" t="s">
        <v>877</v>
      </c>
      <c r="F689">
        <v>6.0960000000000001</v>
      </c>
      <c r="G689">
        <v>2</v>
      </c>
      <c r="H689">
        <v>2.1335999999999999</v>
      </c>
      <c r="I689">
        <v>6</v>
      </c>
      <c r="J689">
        <v>2012</v>
      </c>
      <c r="K689" t="s">
        <v>2209</v>
      </c>
      <c r="L689" t="str">
        <f>TEXT(maintable_2[[#This Row],[Order Date]],"mmmm")</f>
        <v>September</v>
      </c>
    </row>
    <row r="690" spans="1:12" x14ac:dyDescent="0.3">
      <c r="A690" s="1">
        <v>41158</v>
      </c>
      <c r="B690" s="1">
        <v>41164</v>
      </c>
      <c r="C690" t="s">
        <v>588</v>
      </c>
      <c r="D690" t="s">
        <v>11</v>
      </c>
      <c r="E690" t="s">
        <v>878</v>
      </c>
      <c r="F690">
        <v>191.82</v>
      </c>
      <c r="G690">
        <v>3</v>
      </c>
      <c r="H690">
        <v>74.809799999999996</v>
      </c>
      <c r="I690">
        <v>6</v>
      </c>
      <c r="J690">
        <v>2012</v>
      </c>
      <c r="K690" t="s">
        <v>2209</v>
      </c>
      <c r="L690" t="str">
        <f>TEXT(maintable_2[[#This Row],[Order Date]],"mmmm")</f>
        <v>September</v>
      </c>
    </row>
    <row r="691" spans="1:12" x14ac:dyDescent="0.3">
      <c r="A691" s="1">
        <v>41914</v>
      </c>
      <c r="B691" s="1">
        <v>41915</v>
      </c>
      <c r="C691" t="s">
        <v>879</v>
      </c>
      <c r="D691" t="s">
        <v>17</v>
      </c>
      <c r="E691" t="s">
        <v>429</v>
      </c>
      <c r="F691">
        <v>1.44</v>
      </c>
      <c r="G691">
        <v>1</v>
      </c>
      <c r="H691">
        <v>0.504</v>
      </c>
      <c r="I691">
        <v>1</v>
      </c>
      <c r="J691">
        <v>2014</v>
      </c>
      <c r="K691" t="s">
        <v>2209</v>
      </c>
      <c r="L691" t="str">
        <f>TEXT(maintable_2[[#This Row],[Order Date]],"mmmm")</f>
        <v>October</v>
      </c>
    </row>
    <row r="692" spans="1:12" x14ac:dyDescent="0.3">
      <c r="A692" s="1">
        <v>41914</v>
      </c>
      <c r="B692" s="1">
        <v>41915</v>
      </c>
      <c r="C692" t="s">
        <v>879</v>
      </c>
      <c r="D692" t="s">
        <v>17</v>
      </c>
      <c r="E692" t="s">
        <v>162</v>
      </c>
      <c r="F692">
        <v>61.776000000000003</v>
      </c>
      <c r="G692">
        <v>13</v>
      </c>
      <c r="H692">
        <v>20.849399999999999</v>
      </c>
      <c r="I692">
        <v>1</v>
      </c>
      <c r="J692">
        <v>2014</v>
      </c>
      <c r="K692" t="s">
        <v>2209</v>
      </c>
      <c r="L692" t="str">
        <f>TEXT(maintable_2[[#This Row],[Order Date]],"mmmm")</f>
        <v>October</v>
      </c>
    </row>
    <row r="693" spans="1:12" x14ac:dyDescent="0.3">
      <c r="A693" s="1">
        <v>41914</v>
      </c>
      <c r="B693" s="1">
        <v>41915</v>
      </c>
      <c r="C693" t="s">
        <v>879</v>
      </c>
      <c r="D693" t="s">
        <v>19</v>
      </c>
      <c r="E693" t="s">
        <v>880</v>
      </c>
      <c r="F693">
        <v>241.96</v>
      </c>
      <c r="G693">
        <v>2</v>
      </c>
      <c r="H693">
        <v>60.49</v>
      </c>
      <c r="I693">
        <v>1</v>
      </c>
      <c r="J693">
        <v>2014</v>
      </c>
      <c r="K693" t="s">
        <v>2209</v>
      </c>
      <c r="L693" t="str">
        <f>TEXT(maintable_2[[#This Row],[Order Date]],"mmmm")</f>
        <v>October</v>
      </c>
    </row>
    <row r="694" spans="1:12" x14ac:dyDescent="0.3">
      <c r="A694" s="1">
        <v>41914</v>
      </c>
      <c r="B694" s="1">
        <v>41915</v>
      </c>
      <c r="C694" t="s">
        <v>879</v>
      </c>
      <c r="D694" t="s">
        <v>71</v>
      </c>
      <c r="E694" t="s">
        <v>881</v>
      </c>
      <c r="F694">
        <v>108.608</v>
      </c>
      <c r="G694">
        <v>4</v>
      </c>
      <c r="H694">
        <v>9.5031999999999996</v>
      </c>
      <c r="I694">
        <v>1</v>
      </c>
      <c r="J694">
        <v>2014</v>
      </c>
      <c r="K694" t="s">
        <v>2209</v>
      </c>
      <c r="L694" t="str">
        <f>TEXT(maintable_2[[#This Row],[Order Date]],"mmmm")</f>
        <v>October</v>
      </c>
    </row>
    <row r="695" spans="1:12" x14ac:dyDescent="0.3">
      <c r="A695" s="1">
        <v>41849</v>
      </c>
      <c r="B695" s="1">
        <v>41853</v>
      </c>
      <c r="C695" t="s">
        <v>882</v>
      </c>
      <c r="D695" t="s">
        <v>17</v>
      </c>
      <c r="E695" t="s">
        <v>883</v>
      </c>
      <c r="F695">
        <v>9.984</v>
      </c>
      <c r="G695">
        <v>4</v>
      </c>
      <c r="H695">
        <v>3.6192000000000002</v>
      </c>
      <c r="I695">
        <v>4</v>
      </c>
      <c r="J695">
        <v>2014</v>
      </c>
      <c r="K695" t="s">
        <v>2206</v>
      </c>
      <c r="L695" t="str">
        <f>TEXT(maintable_2[[#This Row],[Order Date]],"mmmm")</f>
        <v>July</v>
      </c>
    </row>
    <row r="696" spans="1:12" x14ac:dyDescent="0.3">
      <c r="A696" s="1">
        <v>41849</v>
      </c>
      <c r="B696" s="1">
        <v>41853</v>
      </c>
      <c r="C696" t="s">
        <v>882</v>
      </c>
      <c r="D696" t="s">
        <v>27</v>
      </c>
      <c r="E696" t="s">
        <v>884</v>
      </c>
      <c r="F696">
        <v>14.98</v>
      </c>
      <c r="G696">
        <v>1</v>
      </c>
      <c r="H696">
        <v>4.1943999999999999</v>
      </c>
      <c r="I696">
        <v>4</v>
      </c>
      <c r="J696">
        <v>2014</v>
      </c>
      <c r="K696" t="s">
        <v>2206</v>
      </c>
      <c r="L696" t="str">
        <f>TEXT(maintable_2[[#This Row],[Order Date]],"mmmm")</f>
        <v>July</v>
      </c>
    </row>
    <row r="697" spans="1:12" x14ac:dyDescent="0.3">
      <c r="A697" s="1">
        <v>41849</v>
      </c>
      <c r="B697" s="1">
        <v>41853</v>
      </c>
      <c r="C697" t="s">
        <v>882</v>
      </c>
      <c r="D697" t="s">
        <v>15</v>
      </c>
      <c r="E697" t="s">
        <v>885</v>
      </c>
      <c r="F697">
        <v>1145.5999999999999</v>
      </c>
      <c r="G697">
        <v>4</v>
      </c>
      <c r="H697">
        <v>100.24</v>
      </c>
      <c r="I697">
        <v>4</v>
      </c>
      <c r="J697">
        <v>2014</v>
      </c>
      <c r="K697" t="s">
        <v>2206</v>
      </c>
      <c r="L697" t="str">
        <f>TEXT(maintable_2[[#This Row],[Order Date]],"mmmm")</f>
        <v>July</v>
      </c>
    </row>
    <row r="698" spans="1:12" x14ac:dyDescent="0.3">
      <c r="A698" s="1">
        <v>41353</v>
      </c>
      <c r="B698" s="1">
        <v>41355</v>
      </c>
      <c r="C698" t="s">
        <v>886</v>
      </c>
      <c r="D698" t="s">
        <v>196</v>
      </c>
      <c r="E698" t="s">
        <v>887</v>
      </c>
      <c r="F698">
        <v>72.293999999999997</v>
      </c>
      <c r="G698">
        <v>1</v>
      </c>
      <c r="H698">
        <v>-98.8018</v>
      </c>
      <c r="I698">
        <v>2</v>
      </c>
      <c r="J698">
        <v>2013</v>
      </c>
      <c r="K698" t="s">
        <v>2208</v>
      </c>
      <c r="L698" t="str">
        <f>TEXT(maintable_2[[#This Row],[Order Date]],"mmmm")</f>
        <v>March</v>
      </c>
    </row>
    <row r="699" spans="1:12" x14ac:dyDescent="0.3">
      <c r="A699" s="1">
        <v>40633</v>
      </c>
      <c r="B699" s="1">
        <v>40638</v>
      </c>
      <c r="C699" t="s">
        <v>546</v>
      </c>
      <c r="D699" t="s">
        <v>17</v>
      </c>
      <c r="E699" t="s">
        <v>888</v>
      </c>
      <c r="F699">
        <v>673.56799999999998</v>
      </c>
      <c r="G699">
        <v>2</v>
      </c>
      <c r="H699">
        <v>252.58799999999999</v>
      </c>
      <c r="I699">
        <v>5</v>
      </c>
      <c r="J699">
        <v>2011</v>
      </c>
      <c r="K699" t="s">
        <v>2208</v>
      </c>
      <c r="L699" t="str">
        <f>TEXT(maintable_2[[#This Row],[Order Date]],"mmmm")</f>
        <v>March</v>
      </c>
    </row>
    <row r="700" spans="1:12" x14ac:dyDescent="0.3">
      <c r="A700" s="1">
        <v>40633</v>
      </c>
      <c r="B700" s="1">
        <v>40638</v>
      </c>
      <c r="C700" t="s">
        <v>546</v>
      </c>
      <c r="D700" t="s">
        <v>19</v>
      </c>
      <c r="E700" t="s">
        <v>889</v>
      </c>
      <c r="F700">
        <v>52.98</v>
      </c>
      <c r="G700">
        <v>2</v>
      </c>
      <c r="H700">
        <v>14.8344</v>
      </c>
      <c r="I700">
        <v>5</v>
      </c>
      <c r="J700">
        <v>2011</v>
      </c>
      <c r="K700" t="s">
        <v>2208</v>
      </c>
      <c r="L700" t="str">
        <f>TEXT(maintable_2[[#This Row],[Order Date]],"mmmm")</f>
        <v>March</v>
      </c>
    </row>
    <row r="701" spans="1:12" x14ac:dyDescent="0.3">
      <c r="A701" s="1">
        <v>41257</v>
      </c>
      <c r="B701" s="1">
        <v>41259</v>
      </c>
      <c r="C701" t="s">
        <v>890</v>
      </c>
      <c r="D701" t="s">
        <v>15</v>
      </c>
      <c r="E701" t="s">
        <v>891</v>
      </c>
      <c r="F701">
        <v>319.96800000000002</v>
      </c>
      <c r="G701">
        <v>4</v>
      </c>
      <c r="H701">
        <v>35.996400000000001</v>
      </c>
      <c r="I701">
        <v>2</v>
      </c>
      <c r="J701">
        <v>2012</v>
      </c>
      <c r="K701" t="s">
        <v>2207</v>
      </c>
      <c r="L701" t="str">
        <f>TEXT(maintable_2[[#This Row],[Order Date]],"mmmm")</f>
        <v>December</v>
      </c>
    </row>
    <row r="702" spans="1:12" x14ac:dyDescent="0.3">
      <c r="A702" s="1">
        <v>41471</v>
      </c>
      <c r="B702" s="1">
        <v>41477</v>
      </c>
      <c r="C702" t="s">
        <v>892</v>
      </c>
      <c r="D702" t="s">
        <v>81</v>
      </c>
      <c r="E702" t="s">
        <v>893</v>
      </c>
      <c r="F702">
        <v>44.4</v>
      </c>
      <c r="G702">
        <v>5</v>
      </c>
      <c r="H702">
        <v>12.432</v>
      </c>
      <c r="I702">
        <v>6</v>
      </c>
      <c r="J702">
        <v>2013</v>
      </c>
      <c r="K702" t="s">
        <v>2206</v>
      </c>
      <c r="L702" t="str">
        <f>TEXT(maintable_2[[#This Row],[Order Date]],"mmmm")</f>
        <v>July</v>
      </c>
    </row>
    <row r="703" spans="1:12" x14ac:dyDescent="0.3">
      <c r="A703" s="1">
        <v>41594</v>
      </c>
      <c r="B703" s="1">
        <v>41596</v>
      </c>
      <c r="C703" t="s">
        <v>894</v>
      </c>
      <c r="D703" t="s">
        <v>17</v>
      </c>
      <c r="E703" t="s">
        <v>895</v>
      </c>
      <c r="F703">
        <v>1016.792</v>
      </c>
      <c r="G703">
        <v>1</v>
      </c>
      <c r="H703">
        <v>381.29700000000003</v>
      </c>
      <c r="I703">
        <v>2</v>
      </c>
      <c r="J703">
        <v>2013</v>
      </c>
      <c r="K703" t="s">
        <v>2209</v>
      </c>
      <c r="L703" t="str">
        <f>TEXT(maintable_2[[#This Row],[Order Date]],"mmmm")</f>
        <v>November</v>
      </c>
    </row>
    <row r="704" spans="1:12" x14ac:dyDescent="0.3">
      <c r="A704" s="1">
        <v>41594</v>
      </c>
      <c r="B704" s="1">
        <v>41596</v>
      </c>
      <c r="C704" t="s">
        <v>894</v>
      </c>
      <c r="D704" t="s">
        <v>17</v>
      </c>
      <c r="E704" t="s">
        <v>896</v>
      </c>
      <c r="F704">
        <v>38.136000000000003</v>
      </c>
      <c r="G704">
        <v>7</v>
      </c>
      <c r="H704">
        <v>13.3476</v>
      </c>
      <c r="I704">
        <v>2</v>
      </c>
      <c r="J704">
        <v>2013</v>
      </c>
      <c r="K704" t="s">
        <v>2209</v>
      </c>
      <c r="L704" t="str">
        <f>TEXT(maintable_2[[#This Row],[Order Date]],"mmmm")</f>
        <v>November</v>
      </c>
    </row>
    <row r="705" spans="1:12" x14ac:dyDescent="0.3">
      <c r="A705" s="1">
        <v>41965</v>
      </c>
      <c r="B705" s="1">
        <v>41969</v>
      </c>
      <c r="C705" t="s">
        <v>897</v>
      </c>
      <c r="D705" t="s">
        <v>27</v>
      </c>
      <c r="E705" t="s">
        <v>698</v>
      </c>
      <c r="F705">
        <v>56.56</v>
      </c>
      <c r="G705">
        <v>2</v>
      </c>
      <c r="H705">
        <v>15.2712</v>
      </c>
      <c r="I705">
        <v>4</v>
      </c>
      <c r="J705">
        <v>2014</v>
      </c>
      <c r="K705" t="s">
        <v>2209</v>
      </c>
      <c r="L705" t="str">
        <f>TEXT(maintable_2[[#This Row],[Order Date]],"mmmm")</f>
        <v>November</v>
      </c>
    </row>
    <row r="706" spans="1:12" x14ac:dyDescent="0.3">
      <c r="A706" s="1">
        <v>41965</v>
      </c>
      <c r="B706" s="1">
        <v>41969</v>
      </c>
      <c r="C706" t="s">
        <v>897</v>
      </c>
      <c r="D706" t="s">
        <v>13</v>
      </c>
      <c r="E706" t="s">
        <v>898</v>
      </c>
      <c r="F706">
        <v>5.56</v>
      </c>
      <c r="G706">
        <v>2</v>
      </c>
      <c r="H706">
        <v>1.4456</v>
      </c>
      <c r="I706">
        <v>4</v>
      </c>
      <c r="J706">
        <v>2014</v>
      </c>
      <c r="K706" t="s">
        <v>2209</v>
      </c>
      <c r="L706" t="str">
        <f>TEXT(maintable_2[[#This Row],[Order Date]],"mmmm")</f>
        <v>November</v>
      </c>
    </row>
    <row r="707" spans="1:12" x14ac:dyDescent="0.3">
      <c r="A707" s="1">
        <v>41965</v>
      </c>
      <c r="B707" s="1">
        <v>41969</v>
      </c>
      <c r="C707" t="s">
        <v>897</v>
      </c>
      <c r="D707" t="s">
        <v>78</v>
      </c>
      <c r="E707" t="s">
        <v>899</v>
      </c>
      <c r="F707">
        <v>9.02</v>
      </c>
      <c r="G707">
        <v>2</v>
      </c>
      <c r="H707">
        <v>3.5177999999999998</v>
      </c>
      <c r="I707">
        <v>4</v>
      </c>
      <c r="J707">
        <v>2014</v>
      </c>
      <c r="K707" t="s">
        <v>2209</v>
      </c>
      <c r="L707" t="str">
        <f>TEXT(maintable_2[[#This Row],[Order Date]],"mmmm")</f>
        <v>November</v>
      </c>
    </row>
    <row r="708" spans="1:12" x14ac:dyDescent="0.3">
      <c r="A708" s="1">
        <v>41965</v>
      </c>
      <c r="B708" s="1">
        <v>41969</v>
      </c>
      <c r="C708" t="s">
        <v>897</v>
      </c>
      <c r="D708" t="s">
        <v>19</v>
      </c>
      <c r="E708" t="s">
        <v>900</v>
      </c>
      <c r="F708">
        <v>8.6199999999999992</v>
      </c>
      <c r="G708">
        <v>1</v>
      </c>
      <c r="H708">
        <v>2.2412000000000001</v>
      </c>
      <c r="I708">
        <v>4</v>
      </c>
      <c r="J708">
        <v>2014</v>
      </c>
      <c r="K708" t="s">
        <v>2209</v>
      </c>
      <c r="L708" t="str">
        <f>TEXT(maintable_2[[#This Row],[Order Date]],"mmmm")</f>
        <v>November</v>
      </c>
    </row>
    <row r="709" spans="1:12" x14ac:dyDescent="0.3">
      <c r="A709" s="1">
        <v>41965</v>
      </c>
      <c r="B709" s="1">
        <v>41969</v>
      </c>
      <c r="C709" t="s">
        <v>897</v>
      </c>
      <c r="D709" t="s">
        <v>15</v>
      </c>
      <c r="E709" t="s">
        <v>784</v>
      </c>
      <c r="F709">
        <v>659.976</v>
      </c>
      <c r="G709">
        <v>3</v>
      </c>
      <c r="H709">
        <v>49.498199999999997</v>
      </c>
      <c r="I709">
        <v>4</v>
      </c>
      <c r="J709">
        <v>2014</v>
      </c>
      <c r="K709" t="s">
        <v>2209</v>
      </c>
      <c r="L709" t="str">
        <f>TEXT(maintable_2[[#This Row],[Order Date]],"mmmm")</f>
        <v>November</v>
      </c>
    </row>
    <row r="710" spans="1:12" x14ac:dyDescent="0.3">
      <c r="A710" s="1">
        <v>40954</v>
      </c>
      <c r="B710" s="1">
        <v>40957</v>
      </c>
      <c r="C710" t="s">
        <v>901</v>
      </c>
      <c r="D710" t="s">
        <v>44</v>
      </c>
      <c r="E710" t="s">
        <v>902</v>
      </c>
      <c r="F710">
        <v>13.36</v>
      </c>
      <c r="G710">
        <v>2</v>
      </c>
      <c r="H710">
        <v>6.4127999999999998</v>
      </c>
      <c r="I710">
        <v>3</v>
      </c>
      <c r="J710">
        <v>2012</v>
      </c>
      <c r="K710" t="s">
        <v>2210</v>
      </c>
      <c r="L710" t="str">
        <f>TEXT(maintable_2[[#This Row],[Order Date]],"mmmm")</f>
        <v>February</v>
      </c>
    </row>
    <row r="711" spans="1:12" x14ac:dyDescent="0.3">
      <c r="A711" s="1">
        <v>40954</v>
      </c>
      <c r="B711" s="1">
        <v>40957</v>
      </c>
      <c r="C711" t="s">
        <v>901</v>
      </c>
      <c r="D711" t="s">
        <v>17</v>
      </c>
      <c r="E711" t="s">
        <v>868</v>
      </c>
      <c r="F711">
        <v>41.72</v>
      </c>
      <c r="G711">
        <v>5</v>
      </c>
      <c r="H711">
        <v>13.0375</v>
      </c>
      <c r="I711">
        <v>3</v>
      </c>
      <c r="J711">
        <v>2012</v>
      </c>
      <c r="K711" t="s">
        <v>2210</v>
      </c>
      <c r="L711" t="str">
        <f>TEXT(maintable_2[[#This Row],[Order Date]],"mmmm")</f>
        <v>February</v>
      </c>
    </row>
    <row r="712" spans="1:12" x14ac:dyDescent="0.3">
      <c r="A712" s="1">
        <v>40954</v>
      </c>
      <c r="B712" s="1">
        <v>40957</v>
      </c>
      <c r="C712" t="s">
        <v>901</v>
      </c>
      <c r="D712" t="s">
        <v>17</v>
      </c>
      <c r="E712" t="s">
        <v>903</v>
      </c>
      <c r="F712">
        <v>11.52</v>
      </c>
      <c r="G712">
        <v>5</v>
      </c>
      <c r="H712">
        <v>4.1760000000000002</v>
      </c>
      <c r="I712">
        <v>3</v>
      </c>
      <c r="J712">
        <v>2012</v>
      </c>
      <c r="K712" t="s">
        <v>2210</v>
      </c>
      <c r="L712" t="str">
        <f>TEXT(maintable_2[[#This Row],[Order Date]],"mmmm")</f>
        <v>February</v>
      </c>
    </row>
    <row r="713" spans="1:12" x14ac:dyDescent="0.3">
      <c r="A713" s="1">
        <v>40954</v>
      </c>
      <c r="B713" s="1">
        <v>40957</v>
      </c>
      <c r="C713" t="s">
        <v>901</v>
      </c>
      <c r="D713" t="s">
        <v>19</v>
      </c>
      <c r="E713" t="s">
        <v>904</v>
      </c>
      <c r="F713">
        <v>541.44000000000005</v>
      </c>
      <c r="G713">
        <v>6</v>
      </c>
      <c r="H713">
        <v>157.01759999999999</v>
      </c>
      <c r="I713">
        <v>3</v>
      </c>
      <c r="J713">
        <v>2012</v>
      </c>
      <c r="K713" t="s">
        <v>2210</v>
      </c>
      <c r="L713" t="str">
        <f>TEXT(maintable_2[[#This Row],[Order Date]],"mmmm")</f>
        <v>February</v>
      </c>
    </row>
    <row r="714" spans="1:12" x14ac:dyDescent="0.3">
      <c r="A714" s="1">
        <v>40954</v>
      </c>
      <c r="B714" s="1">
        <v>40957</v>
      </c>
      <c r="C714" t="s">
        <v>901</v>
      </c>
      <c r="D714" t="s">
        <v>44</v>
      </c>
      <c r="E714" t="s">
        <v>905</v>
      </c>
      <c r="F714">
        <v>19.440000000000001</v>
      </c>
      <c r="G714">
        <v>3</v>
      </c>
      <c r="H714">
        <v>9.3312000000000008</v>
      </c>
      <c r="I714">
        <v>3</v>
      </c>
      <c r="J714">
        <v>2012</v>
      </c>
      <c r="K714" t="s">
        <v>2210</v>
      </c>
      <c r="L714" t="str">
        <f>TEXT(maintable_2[[#This Row],[Order Date]],"mmmm")</f>
        <v>February</v>
      </c>
    </row>
    <row r="715" spans="1:12" x14ac:dyDescent="0.3">
      <c r="A715" s="1">
        <v>41380</v>
      </c>
      <c r="B715" s="1">
        <v>41382</v>
      </c>
      <c r="C715" t="s">
        <v>906</v>
      </c>
      <c r="D715" t="s">
        <v>44</v>
      </c>
      <c r="E715" t="s">
        <v>88</v>
      </c>
      <c r="F715">
        <v>143.69999999999999</v>
      </c>
      <c r="G715">
        <v>3</v>
      </c>
      <c r="H715">
        <v>68.975999999999999</v>
      </c>
      <c r="I715">
        <v>2</v>
      </c>
      <c r="J715">
        <v>2013</v>
      </c>
      <c r="K715" t="s">
        <v>2208</v>
      </c>
      <c r="L715" t="str">
        <f>TEXT(maintable_2[[#This Row],[Order Date]],"mmmm")</f>
        <v>April</v>
      </c>
    </row>
    <row r="716" spans="1:12" x14ac:dyDescent="0.3">
      <c r="A716" s="1">
        <v>41180</v>
      </c>
      <c r="B716" s="1">
        <v>41183</v>
      </c>
      <c r="C716" t="s">
        <v>552</v>
      </c>
      <c r="D716" t="s">
        <v>19</v>
      </c>
      <c r="E716" t="s">
        <v>907</v>
      </c>
      <c r="F716">
        <v>43.26</v>
      </c>
      <c r="G716">
        <v>3</v>
      </c>
      <c r="H716">
        <v>14.2758</v>
      </c>
      <c r="I716">
        <v>3</v>
      </c>
      <c r="J716">
        <v>2012</v>
      </c>
      <c r="K716" t="s">
        <v>2209</v>
      </c>
      <c r="L716" t="str">
        <f>TEXT(maintable_2[[#This Row],[Order Date]],"mmmm")</f>
        <v>September</v>
      </c>
    </row>
    <row r="717" spans="1:12" x14ac:dyDescent="0.3">
      <c r="A717" s="1">
        <v>41180</v>
      </c>
      <c r="B717" s="1">
        <v>41183</v>
      </c>
      <c r="C717" t="s">
        <v>552</v>
      </c>
      <c r="D717" t="s">
        <v>19</v>
      </c>
      <c r="E717" t="s">
        <v>874</v>
      </c>
      <c r="F717">
        <v>43.56</v>
      </c>
      <c r="G717">
        <v>2</v>
      </c>
      <c r="H717">
        <v>15.246</v>
      </c>
      <c r="I717">
        <v>3</v>
      </c>
      <c r="J717">
        <v>2012</v>
      </c>
      <c r="K717" t="s">
        <v>2209</v>
      </c>
      <c r="L717" t="str">
        <f>TEXT(maintable_2[[#This Row],[Order Date]],"mmmm")</f>
        <v>September</v>
      </c>
    </row>
    <row r="718" spans="1:12" x14ac:dyDescent="0.3">
      <c r="A718" s="1">
        <v>41807</v>
      </c>
      <c r="B718" s="1">
        <v>41810</v>
      </c>
      <c r="C718" t="s">
        <v>67</v>
      </c>
      <c r="D718" t="s">
        <v>71</v>
      </c>
      <c r="E718" t="s">
        <v>908</v>
      </c>
      <c r="F718">
        <v>1212.96</v>
      </c>
      <c r="G718">
        <v>7</v>
      </c>
      <c r="H718">
        <v>90.971999999999994</v>
      </c>
      <c r="I718">
        <v>3</v>
      </c>
      <c r="J718">
        <v>2014</v>
      </c>
      <c r="K718" t="s">
        <v>2206</v>
      </c>
      <c r="L718" t="str">
        <f>TEXT(maintable_2[[#This Row],[Order Date]],"mmmm")</f>
        <v>June</v>
      </c>
    </row>
    <row r="719" spans="1:12" x14ac:dyDescent="0.3">
      <c r="A719" s="1">
        <v>41807</v>
      </c>
      <c r="B719" s="1">
        <v>41810</v>
      </c>
      <c r="C719" t="s">
        <v>67</v>
      </c>
      <c r="D719" t="s">
        <v>44</v>
      </c>
      <c r="E719" t="s">
        <v>909</v>
      </c>
      <c r="F719">
        <v>18.54</v>
      </c>
      <c r="G719">
        <v>2</v>
      </c>
      <c r="H719">
        <v>8.7138000000000009</v>
      </c>
      <c r="I719">
        <v>3</v>
      </c>
      <c r="J719">
        <v>2014</v>
      </c>
      <c r="K719" t="s">
        <v>2206</v>
      </c>
      <c r="L719" t="str">
        <f>TEXT(maintable_2[[#This Row],[Order Date]],"mmmm")</f>
        <v>June</v>
      </c>
    </row>
    <row r="720" spans="1:12" x14ac:dyDescent="0.3">
      <c r="A720" s="1">
        <v>41221</v>
      </c>
      <c r="B720" s="1">
        <v>41223</v>
      </c>
      <c r="C720" t="s">
        <v>910</v>
      </c>
      <c r="D720" t="s">
        <v>78</v>
      </c>
      <c r="E720" t="s">
        <v>911</v>
      </c>
      <c r="F720">
        <v>5</v>
      </c>
      <c r="G720">
        <v>1</v>
      </c>
      <c r="H720">
        <v>2.4</v>
      </c>
      <c r="I720">
        <v>2</v>
      </c>
      <c r="J720">
        <v>2012</v>
      </c>
      <c r="K720" t="s">
        <v>2209</v>
      </c>
      <c r="L720" t="str">
        <f>TEXT(maintable_2[[#This Row],[Order Date]],"mmmm")</f>
        <v>November</v>
      </c>
    </row>
    <row r="721" spans="1:12" x14ac:dyDescent="0.3">
      <c r="A721" s="1">
        <v>41221</v>
      </c>
      <c r="B721" s="1">
        <v>41223</v>
      </c>
      <c r="C721" t="s">
        <v>910</v>
      </c>
      <c r="D721" t="s">
        <v>37</v>
      </c>
      <c r="E721" t="s">
        <v>912</v>
      </c>
      <c r="F721">
        <v>371.97</v>
      </c>
      <c r="G721">
        <v>3</v>
      </c>
      <c r="H721">
        <v>66.954599999999999</v>
      </c>
      <c r="I721">
        <v>2</v>
      </c>
      <c r="J721">
        <v>2012</v>
      </c>
      <c r="K721" t="s">
        <v>2209</v>
      </c>
      <c r="L721" t="str">
        <f>TEXT(maintable_2[[#This Row],[Order Date]],"mmmm")</f>
        <v>November</v>
      </c>
    </row>
    <row r="722" spans="1:12" x14ac:dyDescent="0.3">
      <c r="A722" s="1">
        <v>41900</v>
      </c>
      <c r="B722" s="1">
        <v>41900</v>
      </c>
      <c r="C722" t="s">
        <v>913</v>
      </c>
      <c r="D722" t="s">
        <v>44</v>
      </c>
      <c r="E722" t="s">
        <v>914</v>
      </c>
      <c r="F722">
        <v>12.96</v>
      </c>
      <c r="G722">
        <v>2</v>
      </c>
      <c r="H722">
        <v>6.3503999999999996</v>
      </c>
      <c r="I722">
        <v>0</v>
      </c>
      <c r="J722">
        <v>2014</v>
      </c>
      <c r="K722" t="s">
        <v>2209</v>
      </c>
      <c r="L722" t="str">
        <f>TEXT(maintable_2[[#This Row],[Order Date]],"mmmm")</f>
        <v>September</v>
      </c>
    </row>
    <row r="723" spans="1:12" x14ac:dyDescent="0.3">
      <c r="A723" s="1">
        <v>41173</v>
      </c>
      <c r="B723" s="1">
        <v>41179</v>
      </c>
      <c r="C723" t="s">
        <v>108</v>
      </c>
      <c r="D723" t="s">
        <v>27</v>
      </c>
      <c r="E723" t="s">
        <v>915</v>
      </c>
      <c r="F723">
        <v>199.74</v>
      </c>
      <c r="G723">
        <v>6</v>
      </c>
      <c r="H723">
        <v>47.937600000000003</v>
      </c>
      <c r="I723">
        <v>6</v>
      </c>
      <c r="J723">
        <v>2012</v>
      </c>
      <c r="K723" t="s">
        <v>2209</v>
      </c>
      <c r="L723" t="str">
        <f>TEXT(maintable_2[[#This Row],[Order Date]],"mmmm")</f>
        <v>September</v>
      </c>
    </row>
    <row r="724" spans="1:12" x14ac:dyDescent="0.3">
      <c r="A724" s="1">
        <v>40974</v>
      </c>
      <c r="B724" s="1">
        <v>40979</v>
      </c>
      <c r="C724" t="s">
        <v>414</v>
      </c>
      <c r="D724" t="s">
        <v>11</v>
      </c>
      <c r="E724" t="s">
        <v>916</v>
      </c>
      <c r="F724">
        <v>435.26</v>
      </c>
      <c r="G724">
        <v>7</v>
      </c>
      <c r="H724">
        <v>95.757199999999997</v>
      </c>
      <c r="I724">
        <v>5</v>
      </c>
      <c r="J724">
        <v>2012</v>
      </c>
      <c r="K724" t="s">
        <v>2208</v>
      </c>
      <c r="L724" t="str">
        <f>TEXT(maintable_2[[#This Row],[Order Date]],"mmmm")</f>
        <v>March</v>
      </c>
    </row>
    <row r="725" spans="1:12" x14ac:dyDescent="0.3">
      <c r="A725" s="1">
        <v>40974</v>
      </c>
      <c r="B725" s="1">
        <v>40979</v>
      </c>
      <c r="C725" t="s">
        <v>414</v>
      </c>
      <c r="D725" t="s">
        <v>163</v>
      </c>
      <c r="E725" t="s">
        <v>917</v>
      </c>
      <c r="F725">
        <v>1119.9839999999999</v>
      </c>
      <c r="G725">
        <v>2</v>
      </c>
      <c r="H725">
        <v>377.99459999999999</v>
      </c>
      <c r="I725">
        <v>5</v>
      </c>
      <c r="J725">
        <v>2012</v>
      </c>
      <c r="K725" t="s">
        <v>2208</v>
      </c>
      <c r="L725" t="str">
        <f>TEXT(maintable_2[[#This Row],[Order Date]],"mmmm")</f>
        <v>March</v>
      </c>
    </row>
    <row r="726" spans="1:12" x14ac:dyDescent="0.3">
      <c r="A726" s="1">
        <v>40819</v>
      </c>
      <c r="B726" s="1">
        <v>40824</v>
      </c>
      <c r="C726" t="s">
        <v>918</v>
      </c>
      <c r="D726" t="s">
        <v>21</v>
      </c>
      <c r="E726" t="s">
        <v>919</v>
      </c>
      <c r="F726">
        <v>143.43199999999999</v>
      </c>
      <c r="G726">
        <v>1</v>
      </c>
      <c r="H726">
        <v>3.5857999999999999</v>
      </c>
      <c r="I726">
        <v>5</v>
      </c>
      <c r="J726">
        <v>2011</v>
      </c>
      <c r="K726" t="s">
        <v>2209</v>
      </c>
      <c r="L726" t="str">
        <f>TEXT(maintable_2[[#This Row],[Order Date]],"mmmm")</f>
        <v>October</v>
      </c>
    </row>
    <row r="727" spans="1:12" x14ac:dyDescent="0.3">
      <c r="A727" s="1">
        <v>40819</v>
      </c>
      <c r="B727" s="1">
        <v>40824</v>
      </c>
      <c r="C727" t="s">
        <v>918</v>
      </c>
      <c r="D727" t="s">
        <v>71</v>
      </c>
      <c r="E727" t="s">
        <v>920</v>
      </c>
      <c r="F727">
        <v>122.352</v>
      </c>
      <c r="G727">
        <v>3</v>
      </c>
      <c r="H727">
        <v>13.7646</v>
      </c>
      <c r="I727">
        <v>5</v>
      </c>
      <c r="J727">
        <v>2011</v>
      </c>
      <c r="K727" t="s">
        <v>2209</v>
      </c>
      <c r="L727" t="str">
        <f>TEXT(maintable_2[[#This Row],[Order Date]],"mmmm")</f>
        <v>October</v>
      </c>
    </row>
    <row r="728" spans="1:12" x14ac:dyDescent="0.3">
      <c r="A728" s="1">
        <v>41943</v>
      </c>
      <c r="B728" s="1">
        <v>41946</v>
      </c>
      <c r="C728" t="s">
        <v>921</v>
      </c>
      <c r="D728" t="s">
        <v>71</v>
      </c>
      <c r="E728" t="s">
        <v>821</v>
      </c>
      <c r="F728">
        <v>97.567999999999998</v>
      </c>
      <c r="G728">
        <v>2</v>
      </c>
      <c r="H728">
        <v>-6.0979999999999999</v>
      </c>
      <c r="I728">
        <v>3</v>
      </c>
      <c r="J728">
        <v>2014</v>
      </c>
      <c r="K728" t="s">
        <v>2209</v>
      </c>
      <c r="L728" t="str">
        <f>TEXT(maintable_2[[#This Row],[Order Date]],"mmmm")</f>
        <v>October</v>
      </c>
    </row>
    <row r="729" spans="1:12" x14ac:dyDescent="0.3">
      <c r="A729" s="1">
        <v>41943</v>
      </c>
      <c r="B729" s="1">
        <v>41946</v>
      </c>
      <c r="C729" t="s">
        <v>921</v>
      </c>
      <c r="D729" t="s">
        <v>71</v>
      </c>
      <c r="E729" t="s">
        <v>922</v>
      </c>
      <c r="F729">
        <v>614.27200000000005</v>
      </c>
      <c r="G729">
        <v>8</v>
      </c>
      <c r="H729">
        <v>-23.0352</v>
      </c>
      <c r="I729">
        <v>3</v>
      </c>
      <c r="J729">
        <v>2014</v>
      </c>
      <c r="K729" t="s">
        <v>2209</v>
      </c>
      <c r="L729" t="str">
        <f>TEXT(maintable_2[[#This Row],[Order Date]],"mmmm")</f>
        <v>October</v>
      </c>
    </row>
    <row r="730" spans="1:12" x14ac:dyDescent="0.3">
      <c r="A730" s="1">
        <v>41943</v>
      </c>
      <c r="B730" s="1">
        <v>41946</v>
      </c>
      <c r="C730" t="s">
        <v>921</v>
      </c>
      <c r="D730" t="s">
        <v>196</v>
      </c>
      <c r="E730" t="s">
        <v>530</v>
      </c>
      <c r="F730">
        <v>199.98</v>
      </c>
      <c r="G730">
        <v>2</v>
      </c>
      <c r="H730">
        <v>37.996200000000002</v>
      </c>
      <c r="I730">
        <v>3</v>
      </c>
      <c r="J730">
        <v>2014</v>
      </c>
      <c r="K730" t="s">
        <v>2209</v>
      </c>
      <c r="L730" t="str">
        <f>TEXT(maintable_2[[#This Row],[Order Date]],"mmmm")</f>
        <v>October</v>
      </c>
    </row>
    <row r="731" spans="1:12" x14ac:dyDescent="0.3">
      <c r="A731" s="1">
        <v>41801</v>
      </c>
      <c r="B731" s="1">
        <v>41804</v>
      </c>
      <c r="C731" t="s">
        <v>923</v>
      </c>
      <c r="D731" t="s">
        <v>13</v>
      </c>
      <c r="E731" t="s">
        <v>924</v>
      </c>
      <c r="F731">
        <v>16.399999999999999</v>
      </c>
      <c r="G731">
        <v>5</v>
      </c>
      <c r="H731">
        <v>4.7560000000000002</v>
      </c>
      <c r="I731">
        <v>3</v>
      </c>
      <c r="J731">
        <v>2014</v>
      </c>
      <c r="K731" t="s">
        <v>2206</v>
      </c>
      <c r="L731" t="str">
        <f>TEXT(maintable_2[[#This Row],[Order Date]],"mmmm")</f>
        <v>June</v>
      </c>
    </row>
    <row r="732" spans="1:12" x14ac:dyDescent="0.3">
      <c r="A732" s="1">
        <v>41648</v>
      </c>
      <c r="B732" s="1">
        <v>41651</v>
      </c>
      <c r="C732" t="s">
        <v>925</v>
      </c>
      <c r="D732" t="s">
        <v>21</v>
      </c>
      <c r="E732" t="s">
        <v>926</v>
      </c>
      <c r="F732">
        <v>892.98</v>
      </c>
      <c r="G732">
        <v>2</v>
      </c>
      <c r="H732">
        <v>80.368200000000002</v>
      </c>
      <c r="I732">
        <v>3</v>
      </c>
      <c r="J732">
        <v>2014</v>
      </c>
      <c r="K732" t="s">
        <v>2210</v>
      </c>
      <c r="L732" t="str">
        <f>TEXT(maintable_2[[#This Row],[Order Date]],"mmmm")</f>
        <v>January</v>
      </c>
    </row>
    <row r="733" spans="1:12" x14ac:dyDescent="0.3">
      <c r="A733" s="1">
        <v>41802</v>
      </c>
      <c r="B733" s="1">
        <v>41803</v>
      </c>
      <c r="C733" t="s">
        <v>927</v>
      </c>
      <c r="D733" t="s">
        <v>71</v>
      </c>
      <c r="E733" t="s">
        <v>928</v>
      </c>
      <c r="F733">
        <v>280.79199999999997</v>
      </c>
      <c r="G733">
        <v>1</v>
      </c>
      <c r="H733">
        <v>35.098999999999997</v>
      </c>
      <c r="I733">
        <v>1</v>
      </c>
      <c r="J733">
        <v>2014</v>
      </c>
      <c r="K733" t="s">
        <v>2206</v>
      </c>
      <c r="L733" t="str">
        <f>TEXT(maintable_2[[#This Row],[Order Date]],"mmmm")</f>
        <v>June</v>
      </c>
    </row>
    <row r="734" spans="1:12" x14ac:dyDescent="0.3">
      <c r="A734" s="1">
        <v>41802</v>
      </c>
      <c r="B734" s="1">
        <v>41803</v>
      </c>
      <c r="C734" t="s">
        <v>927</v>
      </c>
      <c r="D734" t="s">
        <v>27</v>
      </c>
      <c r="E734" t="s">
        <v>52</v>
      </c>
      <c r="F734">
        <v>68.447999999999993</v>
      </c>
      <c r="G734">
        <v>4</v>
      </c>
      <c r="H734">
        <v>7.7004000000000001</v>
      </c>
      <c r="I734">
        <v>1</v>
      </c>
      <c r="J734">
        <v>2014</v>
      </c>
      <c r="K734" t="s">
        <v>2206</v>
      </c>
      <c r="L734" t="str">
        <f>TEXT(maintable_2[[#This Row],[Order Date]],"mmmm")</f>
        <v>June</v>
      </c>
    </row>
    <row r="735" spans="1:12" x14ac:dyDescent="0.3">
      <c r="A735" s="1">
        <v>41802</v>
      </c>
      <c r="B735" s="1">
        <v>41803</v>
      </c>
      <c r="C735" t="s">
        <v>927</v>
      </c>
      <c r="D735" t="s">
        <v>13</v>
      </c>
      <c r="E735" t="s">
        <v>437</v>
      </c>
      <c r="F735">
        <v>88.04</v>
      </c>
      <c r="G735">
        <v>5</v>
      </c>
      <c r="H735">
        <v>6.6029999999999998</v>
      </c>
      <c r="I735">
        <v>1</v>
      </c>
      <c r="J735">
        <v>2014</v>
      </c>
      <c r="K735" t="s">
        <v>2206</v>
      </c>
      <c r="L735" t="str">
        <f>TEXT(maintable_2[[#This Row],[Order Date]],"mmmm")</f>
        <v>June</v>
      </c>
    </row>
    <row r="736" spans="1:12" x14ac:dyDescent="0.3">
      <c r="A736" s="1">
        <v>41802</v>
      </c>
      <c r="B736" s="1">
        <v>41803</v>
      </c>
      <c r="C736" t="s">
        <v>927</v>
      </c>
      <c r="D736" t="s">
        <v>13</v>
      </c>
      <c r="E736" t="s">
        <v>929</v>
      </c>
      <c r="F736">
        <v>15.872</v>
      </c>
      <c r="G736">
        <v>1</v>
      </c>
      <c r="H736">
        <v>1.984</v>
      </c>
      <c r="I736">
        <v>1</v>
      </c>
      <c r="J736">
        <v>2014</v>
      </c>
      <c r="K736" t="s">
        <v>2206</v>
      </c>
      <c r="L736" t="str">
        <f>TEXT(maintable_2[[#This Row],[Order Date]],"mmmm")</f>
        <v>June</v>
      </c>
    </row>
    <row r="737" spans="1:12" x14ac:dyDescent="0.3">
      <c r="A737" s="1">
        <v>41802</v>
      </c>
      <c r="B737" s="1">
        <v>41803</v>
      </c>
      <c r="C737" t="s">
        <v>927</v>
      </c>
      <c r="D737" t="s">
        <v>27</v>
      </c>
      <c r="E737" t="s">
        <v>351</v>
      </c>
      <c r="F737">
        <v>215.59200000000001</v>
      </c>
      <c r="G737">
        <v>3</v>
      </c>
      <c r="H737">
        <v>-48.508200000000002</v>
      </c>
      <c r="I737">
        <v>1</v>
      </c>
      <c r="J737">
        <v>2014</v>
      </c>
      <c r="K737" t="s">
        <v>2206</v>
      </c>
      <c r="L737" t="str">
        <f>TEXT(maintable_2[[#This Row],[Order Date]],"mmmm")</f>
        <v>June</v>
      </c>
    </row>
    <row r="738" spans="1:12" x14ac:dyDescent="0.3">
      <c r="A738" s="1">
        <v>41719</v>
      </c>
      <c r="B738" s="1">
        <v>41723</v>
      </c>
      <c r="C738" t="s">
        <v>369</v>
      </c>
      <c r="D738" t="s">
        <v>37</v>
      </c>
      <c r="E738" t="s">
        <v>930</v>
      </c>
      <c r="F738">
        <v>265.93</v>
      </c>
      <c r="G738">
        <v>7</v>
      </c>
      <c r="H738">
        <v>63.8232</v>
      </c>
      <c r="I738">
        <v>4</v>
      </c>
      <c r="J738">
        <v>2014</v>
      </c>
      <c r="K738" t="s">
        <v>2208</v>
      </c>
      <c r="L738" t="str">
        <f>TEXT(maintable_2[[#This Row],[Order Date]],"mmmm")</f>
        <v>March</v>
      </c>
    </row>
    <row r="739" spans="1:12" x14ac:dyDescent="0.3">
      <c r="A739" s="1">
        <v>41906</v>
      </c>
      <c r="B739" s="1">
        <v>41909</v>
      </c>
      <c r="C739" t="s">
        <v>931</v>
      </c>
      <c r="D739" t="s">
        <v>86</v>
      </c>
      <c r="E739" t="s">
        <v>932</v>
      </c>
      <c r="F739">
        <v>14.352</v>
      </c>
      <c r="G739">
        <v>3</v>
      </c>
      <c r="H739">
        <v>5.2026000000000003</v>
      </c>
      <c r="I739">
        <v>3</v>
      </c>
      <c r="J739">
        <v>2014</v>
      </c>
      <c r="K739" t="s">
        <v>2209</v>
      </c>
      <c r="L739" t="str">
        <f>TEXT(maintable_2[[#This Row],[Order Date]],"mmmm")</f>
        <v>September</v>
      </c>
    </row>
    <row r="740" spans="1:12" x14ac:dyDescent="0.3">
      <c r="A740" s="1">
        <v>41542</v>
      </c>
      <c r="B740" s="1">
        <v>41544</v>
      </c>
      <c r="C740" t="s">
        <v>933</v>
      </c>
      <c r="D740" t="s">
        <v>27</v>
      </c>
      <c r="E740" t="s">
        <v>934</v>
      </c>
      <c r="F740">
        <v>41.96</v>
      </c>
      <c r="G740">
        <v>2</v>
      </c>
      <c r="H740">
        <v>2.9371999999999998</v>
      </c>
      <c r="I740">
        <v>2</v>
      </c>
      <c r="J740">
        <v>2013</v>
      </c>
      <c r="K740" t="s">
        <v>2209</v>
      </c>
      <c r="L740" t="str">
        <f>TEXT(maintable_2[[#This Row],[Order Date]],"mmmm")</f>
        <v>September</v>
      </c>
    </row>
    <row r="741" spans="1:12" x14ac:dyDescent="0.3">
      <c r="A741" s="1">
        <v>41542</v>
      </c>
      <c r="B741" s="1">
        <v>41544</v>
      </c>
      <c r="C741" t="s">
        <v>933</v>
      </c>
      <c r="D741" t="s">
        <v>44</v>
      </c>
      <c r="E741" t="s">
        <v>935</v>
      </c>
      <c r="F741">
        <v>41.7</v>
      </c>
      <c r="G741">
        <v>5</v>
      </c>
      <c r="H741">
        <v>20.85</v>
      </c>
      <c r="I741">
        <v>2</v>
      </c>
      <c r="J741">
        <v>2013</v>
      </c>
      <c r="K741" t="s">
        <v>2209</v>
      </c>
      <c r="L741" t="str">
        <f>TEXT(maintable_2[[#This Row],[Order Date]],"mmmm")</f>
        <v>September</v>
      </c>
    </row>
    <row r="742" spans="1:12" x14ac:dyDescent="0.3">
      <c r="A742" s="1">
        <v>41976</v>
      </c>
      <c r="B742" s="1">
        <v>41977</v>
      </c>
      <c r="C742" t="s">
        <v>936</v>
      </c>
      <c r="D742" t="s">
        <v>17</v>
      </c>
      <c r="E742" t="s">
        <v>105</v>
      </c>
      <c r="F742">
        <v>9.0239999999999991</v>
      </c>
      <c r="G742">
        <v>6</v>
      </c>
      <c r="H742">
        <v>3.1583999999999999</v>
      </c>
      <c r="I742">
        <v>1</v>
      </c>
      <c r="J742">
        <v>2014</v>
      </c>
      <c r="K742" t="s">
        <v>2207</v>
      </c>
      <c r="L742" t="str">
        <f>TEXT(maintable_2[[#This Row],[Order Date]],"mmmm")</f>
        <v>December</v>
      </c>
    </row>
    <row r="743" spans="1:12" x14ac:dyDescent="0.3">
      <c r="A743" s="1">
        <v>41976</v>
      </c>
      <c r="B743" s="1">
        <v>41977</v>
      </c>
      <c r="C743" t="s">
        <v>936</v>
      </c>
      <c r="D743" t="s">
        <v>17</v>
      </c>
      <c r="E743" t="s">
        <v>937</v>
      </c>
      <c r="F743">
        <v>69.456000000000003</v>
      </c>
      <c r="G743">
        <v>2</v>
      </c>
      <c r="H743">
        <v>22.5732</v>
      </c>
      <c r="I743">
        <v>1</v>
      </c>
      <c r="J743">
        <v>2014</v>
      </c>
      <c r="K743" t="s">
        <v>2207</v>
      </c>
      <c r="L743" t="str">
        <f>TEXT(maintable_2[[#This Row],[Order Date]],"mmmm")</f>
        <v>December</v>
      </c>
    </row>
    <row r="744" spans="1:12" x14ac:dyDescent="0.3">
      <c r="A744" s="1">
        <v>41976</v>
      </c>
      <c r="B744" s="1">
        <v>41977</v>
      </c>
      <c r="C744" t="s">
        <v>936</v>
      </c>
      <c r="D744" t="s">
        <v>44</v>
      </c>
      <c r="E744" t="s">
        <v>191</v>
      </c>
      <c r="F744">
        <v>10.86</v>
      </c>
      <c r="G744">
        <v>2</v>
      </c>
      <c r="H744">
        <v>5.3213999999999997</v>
      </c>
      <c r="I744">
        <v>1</v>
      </c>
      <c r="J744">
        <v>2014</v>
      </c>
      <c r="K744" t="s">
        <v>2207</v>
      </c>
      <c r="L744" t="str">
        <f>TEXT(maintable_2[[#This Row],[Order Date]],"mmmm")</f>
        <v>December</v>
      </c>
    </row>
    <row r="745" spans="1:12" x14ac:dyDescent="0.3">
      <c r="A745" s="1">
        <v>41976</v>
      </c>
      <c r="B745" s="1">
        <v>41977</v>
      </c>
      <c r="C745" t="s">
        <v>936</v>
      </c>
      <c r="D745" t="s">
        <v>19</v>
      </c>
      <c r="E745" t="s">
        <v>889</v>
      </c>
      <c r="F745">
        <v>79.47</v>
      </c>
      <c r="G745">
        <v>3</v>
      </c>
      <c r="H745">
        <v>22.2516</v>
      </c>
      <c r="I745">
        <v>1</v>
      </c>
      <c r="J745">
        <v>2014</v>
      </c>
      <c r="K745" t="s">
        <v>2207</v>
      </c>
      <c r="L745" t="str">
        <f>TEXT(maintable_2[[#This Row],[Order Date]],"mmmm")</f>
        <v>December</v>
      </c>
    </row>
    <row r="746" spans="1:12" x14ac:dyDescent="0.3">
      <c r="A746" s="1">
        <v>41976</v>
      </c>
      <c r="B746" s="1">
        <v>41977</v>
      </c>
      <c r="C746" t="s">
        <v>936</v>
      </c>
      <c r="D746" t="s">
        <v>13</v>
      </c>
      <c r="E746" t="s">
        <v>630</v>
      </c>
      <c r="F746">
        <v>10.08</v>
      </c>
      <c r="G746">
        <v>6</v>
      </c>
      <c r="H746">
        <v>5.04</v>
      </c>
      <c r="I746">
        <v>1</v>
      </c>
      <c r="J746">
        <v>2014</v>
      </c>
      <c r="K746" t="s">
        <v>2207</v>
      </c>
      <c r="L746" t="str">
        <f>TEXT(maintable_2[[#This Row],[Order Date]],"mmmm")</f>
        <v>December</v>
      </c>
    </row>
    <row r="747" spans="1:12" x14ac:dyDescent="0.3">
      <c r="A747" s="1">
        <v>41152</v>
      </c>
      <c r="B747" s="1">
        <v>41154</v>
      </c>
      <c r="C747" t="s">
        <v>938</v>
      </c>
      <c r="D747" t="s">
        <v>196</v>
      </c>
      <c r="E747" t="s">
        <v>939</v>
      </c>
      <c r="F747">
        <v>1552.8309999999999</v>
      </c>
      <c r="G747">
        <v>7</v>
      </c>
      <c r="H747">
        <v>200.9546</v>
      </c>
      <c r="I747">
        <v>2</v>
      </c>
      <c r="J747">
        <v>2012</v>
      </c>
      <c r="K747" t="s">
        <v>2206</v>
      </c>
      <c r="L747" t="str">
        <f>TEXT(maintable_2[[#This Row],[Order Date]],"mmmm")</f>
        <v>August</v>
      </c>
    </row>
    <row r="748" spans="1:12" x14ac:dyDescent="0.3">
      <c r="A748" s="1">
        <v>41152</v>
      </c>
      <c r="B748" s="1">
        <v>41154</v>
      </c>
      <c r="C748" t="s">
        <v>938</v>
      </c>
      <c r="D748" t="s">
        <v>17</v>
      </c>
      <c r="E748" t="s">
        <v>870</v>
      </c>
      <c r="F748">
        <v>137.24</v>
      </c>
      <c r="G748">
        <v>5</v>
      </c>
      <c r="H748">
        <v>46.3185</v>
      </c>
      <c r="I748">
        <v>2</v>
      </c>
      <c r="J748">
        <v>2012</v>
      </c>
      <c r="K748" t="s">
        <v>2206</v>
      </c>
      <c r="L748" t="str">
        <f>TEXT(maintable_2[[#This Row],[Order Date]],"mmmm")</f>
        <v>August</v>
      </c>
    </row>
    <row r="749" spans="1:12" x14ac:dyDescent="0.3">
      <c r="A749" s="1">
        <v>41152</v>
      </c>
      <c r="B749" s="1">
        <v>41154</v>
      </c>
      <c r="C749" t="s">
        <v>938</v>
      </c>
      <c r="D749" t="s">
        <v>37</v>
      </c>
      <c r="E749" t="s">
        <v>940</v>
      </c>
      <c r="F749">
        <v>36.51</v>
      </c>
      <c r="G749">
        <v>1</v>
      </c>
      <c r="H749">
        <v>15.699299999999999</v>
      </c>
      <c r="I749">
        <v>2</v>
      </c>
      <c r="J749">
        <v>2012</v>
      </c>
      <c r="K749" t="s">
        <v>2206</v>
      </c>
      <c r="L749" t="str">
        <f>TEXT(maintable_2[[#This Row],[Order Date]],"mmmm")</f>
        <v>August</v>
      </c>
    </row>
    <row r="750" spans="1:12" x14ac:dyDescent="0.3">
      <c r="A750" s="1">
        <v>41152</v>
      </c>
      <c r="B750" s="1">
        <v>41154</v>
      </c>
      <c r="C750" t="s">
        <v>938</v>
      </c>
      <c r="D750" t="s">
        <v>494</v>
      </c>
      <c r="E750" t="s">
        <v>941</v>
      </c>
      <c r="F750">
        <v>239.976</v>
      </c>
      <c r="G750">
        <v>3</v>
      </c>
      <c r="H750">
        <v>80.991900000000001</v>
      </c>
      <c r="I750">
        <v>2</v>
      </c>
      <c r="J750">
        <v>2012</v>
      </c>
      <c r="K750" t="s">
        <v>2206</v>
      </c>
      <c r="L750" t="str">
        <f>TEXT(maintable_2[[#This Row],[Order Date]],"mmmm")</f>
        <v>August</v>
      </c>
    </row>
    <row r="751" spans="1:12" x14ac:dyDescent="0.3">
      <c r="A751" s="1">
        <v>40871</v>
      </c>
      <c r="B751" s="1">
        <v>40873</v>
      </c>
      <c r="C751" t="s">
        <v>942</v>
      </c>
      <c r="D751" t="s">
        <v>71</v>
      </c>
      <c r="E751" t="s">
        <v>943</v>
      </c>
      <c r="F751">
        <v>120.712</v>
      </c>
      <c r="G751">
        <v>1</v>
      </c>
      <c r="H751">
        <v>-18.1068</v>
      </c>
      <c r="I751">
        <v>2</v>
      </c>
      <c r="J751">
        <v>2011</v>
      </c>
      <c r="K751" t="s">
        <v>2209</v>
      </c>
      <c r="L751" t="str">
        <f>TEXT(maintable_2[[#This Row],[Order Date]],"mmmm")</f>
        <v>November</v>
      </c>
    </row>
    <row r="752" spans="1:12" x14ac:dyDescent="0.3">
      <c r="A752" s="1">
        <v>41249</v>
      </c>
      <c r="B752" s="1">
        <v>41254</v>
      </c>
      <c r="C752" t="s">
        <v>944</v>
      </c>
      <c r="D752" t="s">
        <v>44</v>
      </c>
      <c r="E752" t="s">
        <v>945</v>
      </c>
      <c r="F752">
        <v>32.75</v>
      </c>
      <c r="G752">
        <v>5</v>
      </c>
      <c r="H752">
        <v>15.065</v>
      </c>
      <c r="I752">
        <v>5</v>
      </c>
      <c r="J752">
        <v>2012</v>
      </c>
      <c r="K752" t="s">
        <v>2207</v>
      </c>
      <c r="L752" t="str">
        <f>TEXT(maintable_2[[#This Row],[Order Date]],"mmmm")</f>
        <v>December</v>
      </c>
    </row>
    <row r="753" spans="1:12" x14ac:dyDescent="0.3">
      <c r="A753" s="1">
        <v>41724</v>
      </c>
      <c r="B753" s="1">
        <v>41725</v>
      </c>
      <c r="C753" t="s">
        <v>946</v>
      </c>
      <c r="D753" t="s">
        <v>19</v>
      </c>
      <c r="E753" t="s">
        <v>947</v>
      </c>
      <c r="F753">
        <v>176.04</v>
      </c>
      <c r="G753">
        <v>4</v>
      </c>
      <c r="H753">
        <v>45.770400000000002</v>
      </c>
      <c r="I753">
        <v>1</v>
      </c>
      <c r="J753">
        <v>2014</v>
      </c>
      <c r="K753" t="s">
        <v>2208</v>
      </c>
      <c r="L753" t="str">
        <f>TEXT(maintable_2[[#This Row],[Order Date]],"mmmm")</f>
        <v>March</v>
      </c>
    </row>
    <row r="754" spans="1:12" x14ac:dyDescent="0.3">
      <c r="A754" s="1">
        <v>41724</v>
      </c>
      <c r="B754" s="1">
        <v>41725</v>
      </c>
      <c r="C754" t="s">
        <v>946</v>
      </c>
      <c r="D754" t="s">
        <v>13</v>
      </c>
      <c r="E754" t="s">
        <v>105</v>
      </c>
      <c r="F754">
        <v>16.02</v>
      </c>
      <c r="G754">
        <v>9</v>
      </c>
      <c r="H754">
        <v>4.4855999999999998</v>
      </c>
      <c r="I754">
        <v>1</v>
      </c>
      <c r="J754">
        <v>2014</v>
      </c>
      <c r="K754" t="s">
        <v>2208</v>
      </c>
      <c r="L754" t="str">
        <f>TEXT(maintable_2[[#This Row],[Order Date]],"mmmm")</f>
        <v>March</v>
      </c>
    </row>
    <row r="755" spans="1:12" x14ac:dyDescent="0.3">
      <c r="A755" s="1">
        <v>41724</v>
      </c>
      <c r="B755" s="1">
        <v>41725</v>
      </c>
      <c r="C755" t="s">
        <v>946</v>
      </c>
      <c r="D755" t="s">
        <v>17</v>
      </c>
      <c r="E755" t="s">
        <v>948</v>
      </c>
      <c r="F755">
        <v>185.92</v>
      </c>
      <c r="G755">
        <v>4</v>
      </c>
      <c r="H755">
        <v>62.747999999999998</v>
      </c>
      <c r="I755">
        <v>1</v>
      </c>
      <c r="J755">
        <v>2014</v>
      </c>
      <c r="K755" t="s">
        <v>2208</v>
      </c>
      <c r="L755" t="str">
        <f>TEXT(maintable_2[[#This Row],[Order Date]],"mmmm")</f>
        <v>March</v>
      </c>
    </row>
    <row r="756" spans="1:12" x14ac:dyDescent="0.3">
      <c r="A756" s="1">
        <v>41724</v>
      </c>
      <c r="B756" s="1">
        <v>41725</v>
      </c>
      <c r="C756" t="s">
        <v>946</v>
      </c>
      <c r="D756" t="s">
        <v>15</v>
      </c>
      <c r="E756" t="s">
        <v>949</v>
      </c>
      <c r="F756">
        <v>211.16800000000001</v>
      </c>
      <c r="G756">
        <v>4</v>
      </c>
      <c r="H756">
        <v>15.8376</v>
      </c>
      <c r="I756">
        <v>1</v>
      </c>
      <c r="J756">
        <v>2014</v>
      </c>
      <c r="K756" t="s">
        <v>2208</v>
      </c>
      <c r="L756" t="str">
        <f>TEXT(maintable_2[[#This Row],[Order Date]],"mmmm")</f>
        <v>March</v>
      </c>
    </row>
    <row r="757" spans="1:12" x14ac:dyDescent="0.3">
      <c r="A757" s="1">
        <v>41724</v>
      </c>
      <c r="B757" s="1">
        <v>41725</v>
      </c>
      <c r="C757" t="s">
        <v>946</v>
      </c>
      <c r="D757" t="s">
        <v>163</v>
      </c>
      <c r="E757" t="s">
        <v>950</v>
      </c>
      <c r="F757">
        <v>479.98399999999998</v>
      </c>
      <c r="G757">
        <v>2</v>
      </c>
      <c r="H757">
        <v>59.997999999999998</v>
      </c>
      <c r="I757">
        <v>1</v>
      </c>
      <c r="J757">
        <v>2014</v>
      </c>
      <c r="K757" t="s">
        <v>2208</v>
      </c>
      <c r="L757" t="str">
        <f>TEXT(maintable_2[[#This Row],[Order Date]],"mmmm")</f>
        <v>March</v>
      </c>
    </row>
    <row r="758" spans="1:12" x14ac:dyDescent="0.3">
      <c r="A758" s="1">
        <v>41255</v>
      </c>
      <c r="B758" s="1">
        <v>41258</v>
      </c>
      <c r="C758" t="s">
        <v>951</v>
      </c>
      <c r="D758" t="s">
        <v>78</v>
      </c>
      <c r="E758" t="s">
        <v>105</v>
      </c>
      <c r="F758">
        <v>7.86</v>
      </c>
      <c r="G758">
        <v>2</v>
      </c>
      <c r="H758">
        <v>3.6156000000000001</v>
      </c>
      <c r="I758">
        <v>3</v>
      </c>
      <c r="J758">
        <v>2012</v>
      </c>
      <c r="K758" t="s">
        <v>2207</v>
      </c>
      <c r="L758" t="str">
        <f>TEXT(maintable_2[[#This Row],[Order Date]],"mmmm")</f>
        <v>December</v>
      </c>
    </row>
    <row r="759" spans="1:12" x14ac:dyDescent="0.3">
      <c r="A759" s="1">
        <v>41255</v>
      </c>
      <c r="B759" s="1">
        <v>41258</v>
      </c>
      <c r="C759" t="s">
        <v>951</v>
      </c>
      <c r="D759" t="s">
        <v>17</v>
      </c>
      <c r="E759" t="s">
        <v>952</v>
      </c>
      <c r="F759">
        <v>24.448</v>
      </c>
      <c r="G759">
        <v>2</v>
      </c>
      <c r="H759">
        <v>8.8623999999999992</v>
      </c>
      <c r="I759">
        <v>3</v>
      </c>
      <c r="J759">
        <v>2012</v>
      </c>
      <c r="K759" t="s">
        <v>2207</v>
      </c>
      <c r="L759" t="str">
        <f>TEXT(maintable_2[[#This Row],[Order Date]],"mmmm")</f>
        <v>December</v>
      </c>
    </row>
    <row r="760" spans="1:12" x14ac:dyDescent="0.3">
      <c r="A760" s="1">
        <v>41866</v>
      </c>
      <c r="B760" s="1">
        <v>41868</v>
      </c>
      <c r="C760" t="s">
        <v>527</v>
      </c>
      <c r="D760" t="s">
        <v>8</v>
      </c>
      <c r="E760" t="s">
        <v>953</v>
      </c>
      <c r="F760">
        <v>5.76</v>
      </c>
      <c r="G760">
        <v>2</v>
      </c>
      <c r="H760">
        <v>2.8224</v>
      </c>
      <c r="I760">
        <v>2</v>
      </c>
      <c r="J760">
        <v>2014</v>
      </c>
      <c r="K760" t="s">
        <v>2206</v>
      </c>
      <c r="L760" t="str">
        <f>TEXT(maintable_2[[#This Row],[Order Date]],"mmmm")</f>
        <v>August</v>
      </c>
    </row>
    <row r="761" spans="1:12" x14ac:dyDescent="0.3">
      <c r="A761" s="1">
        <v>41866</v>
      </c>
      <c r="B761" s="1">
        <v>41868</v>
      </c>
      <c r="C761" t="s">
        <v>527</v>
      </c>
      <c r="D761" t="s">
        <v>13</v>
      </c>
      <c r="E761" t="s">
        <v>954</v>
      </c>
      <c r="F761">
        <v>16.68</v>
      </c>
      <c r="G761">
        <v>6</v>
      </c>
      <c r="H761">
        <v>4.3368000000000002</v>
      </c>
      <c r="I761">
        <v>2</v>
      </c>
      <c r="J761">
        <v>2014</v>
      </c>
      <c r="K761" t="s">
        <v>2206</v>
      </c>
      <c r="L761" t="str">
        <f>TEXT(maintable_2[[#This Row],[Order Date]],"mmmm")</f>
        <v>August</v>
      </c>
    </row>
    <row r="762" spans="1:12" x14ac:dyDescent="0.3">
      <c r="A762" s="1">
        <v>41920</v>
      </c>
      <c r="B762" s="1">
        <v>41924</v>
      </c>
      <c r="C762" t="s">
        <v>955</v>
      </c>
      <c r="D762" t="s">
        <v>37</v>
      </c>
      <c r="E762" t="s">
        <v>912</v>
      </c>
      <c r="F762">
        <v>1115.9100000000001</v>
      </c>
      <c r="G762">
        <v>9</v>
      </c>
      <c r="H762">
        <v>200.8638</v>
      </c>
      <c r="I762">
        <v>4</v>
      </c>
      <c r="J762">
        <v>2014</v>
      </c>
      <c r="K762" t="s">
        <v>2209</v>
      </c>
      <c r="L762" t="str">
        <f>TEXT(maintable_2[[#This Row],[Order Date]],"mmmm")</f>
        <v>October</v>
      </c>
    </row>
    <row r="763" spans="1:12" x14ac:dyDescent="0.3">
      <c r="A763" s="1">
        <v>41920</v>
      </c>
      <c r="B763" s="1">
        <v>41924</v>
      </c>
      <c r="C763" t="s">
        <v>955</v>
      </c>
      <c r="D763" t="s">
        <v>15</v>
      </c>
      <c r="E763" t="s">
        <v>256</v>
      </c>
      <c r="F763">
        <v>128.744</v>
      </c>
      <c r="G763">
        <v>7</v>
      </c>
      <c r="H763">
        <v>-28.967400000000001</v>
      </c>
      <c r="I763">
        <v>4</v>
      </c>
      <c r="J763">
        <v>2014</v>
      </c>
      <c r="K763" t="s">
        <v>2209</v>
      </c>
      <c r="L763" t="str">
        <f>TEXT(maintable_2[[#This Row],[Order Date]],"mmmm")</f>
        <v>October</v>
      </c>
    </row>
    <row r="764" spans="1:12" x14ac:dyDescent="0.3">
      <c r="A764" s="1">
        <v>41920</v>
      </c>
      <c r="B764" s="1">
        <v>41924</v>
      </c>
      <c r="C764" t="s">
        <v>955</v>
      </c>
      <c r="D764" t="s">
        <v>15</v>
      </c>
      <c r="E764" t="s">
        <v>956</v>
      </c>
      <c r="F764">
        <v>79.92</v>
      </c>
      <c r="G764">
        <v>10</v>
      </c>
      <c r="H764">
        <v>26.972999999999999</v>
      </c>
      <c r="I764">
        <v>4</v>
      </c>
      <c r="J764">
        <v>2014</v>
      </c>
      <c r="K764" t="s">
        <v>2209</v>
      </c>
      <c r="L764" t="str">
        <f>TEXT(maintable_2[[#This Row],[Order Date]],"mmmm")</f>
        <v>October</v>
      </c>
    </row>
    <row r="765" spans="1:12" x14ac:dyDescent="0.3">
      <c r="A765" s="1">
        <v>41660</v>
      </c>
      <c r="B765" s="1">
        <v>41665</v>
      </c>
      <c r="C765" t="s">
        <v>957</v>
      </c>
      <c r="D765" t="s">
        <v>13</v>
      </c>
      <c r="E765" t="s">
        <v>105</v>
      </c>
      <c r="F765">
        <v>24.2</v>
      </c>
      <c r="G765">
        <v>5</v>
      </c>
      <c r="H765">
        <v>7.9859999999999998</v>
      </c>
      <c r="I765">
        <v>5</v>
      </c>
      <c r="J765">
        <v>2014</v>
      </c>
      <c r="K765" t="s">
        <v>2210</v>
      </c>
      <c r="L765" t="str">
        <f>TEXT(maintable_2[[#This Row],[Order Date]],"mmmm")</f>
        <v>January</v>
      </c>
    </row>
    <row r="766" spans="1:12" x14ac:dyDescent="0.3">
      <c r="A766" s="1">
        <v>41660</v>
      </c>
      <c r="B766" s="1">
        <v>41665</v>
      </c>
      <c r="C766" t="s">
        <v>957</v>
      </c>
      <c r="D766" t="s">
        <v>15</v>
      </c>
      <c r="E766" t="s">
        <v>958</v>
      </c>
      <c r="F766">
        <v>359.976</v>
      </c>
      <c r="G766">
        <v>3</v>
      </c>
      <c r="H766">
        <v>130.4913</v>
      </c>
      <c r="I766">
        <v>5</v>
      </c>
      <c r="J766">
        <v>2014</v>
      </c>
      <c r="K766" t="s">
        <v>2210</v>
      </c>
      <c r="L766" t="str">
        <f>TEXT(maintable_2[[#This Row],[Order Date]],"mmmm")</f>
        <v>January</v>
      </c>
    </row>
    <row r="767" spans="1:12" x14ac:dyDescent="0.3">
      <c r="A767" s="1">
        <v>41722</v>
      </c>
      <c r="B767" s="1">
        <v>41724</v>
      </c>
      <c r="C767" t="s">
        <v>959</v>
      </c>
      <c r="D767" t="s">
        <v>11</v>
      </c>
      <c r="E767" t="s">
        <v>960</v>
      </c>
      <c r="F767">
        <v>211.84</v>
      </c>
      <c r="G767">
        <v>8</v>
      </c>
      <c r="H767">
        <v>76.2624</v>
      </c>
      <c r="I767">
        <v>2</v>
      </c>
      <c r="J767">
        <v>2014</v>
      </c>
      <c r="K767" t="s">
        <v>2208</v>
      </c>
      <c r="L767" t="str">
        <f>TEXT(maintable_2[[#This Row],[Order Date]],"mmmm")</f>
        <v>March</v>
      </c>
    </row>
    <row r="768" spans="1:12" x14ac:dyDescent="0.3">
      <c r="A768" s="1">
        <v>41067</v>
      </c>
      <c r="B768" s="1">
        <v>41069</v>
      </c>
      <c r="C768" t="s">
        <v>961</v>
      </c>
      <c r="D768" t="s">
        <v>17</v>
      </c>
      <c r="E768" t="s">
        <v>105</v>
      </c>
      <c r="F768">
        <v>7.52</v>
      </c>
      <c r="G768">
        <v>5</v>
      </c>
      <c r="H768">
        <v>2.6320000000000001</v>
      </c>
      <c r="I768">
        <v>2</v>
      </c>
      <c r="J768">
        <v>2012</v>
      </c>
      <c r="K768" t="s">
        <v>2206</v>
      </c>
      <c r="L768" t="str">
        <f>TEXT(maintable_2[[#This Row],[Order Date]],"mmmm")</f>
        <v>June</v>
      </c>
    </row>
    <row r="769" spans="1:12" x14ac:dyDescent="0.3">
      <c r="A769" s="1">
        <v>40859</v>
      </c>
      <c r="B769" s="1">
        <v>40863</v>
      </c>
      <c r="C769" t="s">
        <v>419</v>
      </c>
      <c r="D769" t="s">
        <v>44</v>
      </c>
      <c r="E769" t="s">
        <v>359</v>
      </c>
      <c r="F769">
        <v>11.96</v>
      </c>
      <c r="G769">
        <v>2</v>
      </c>
      <c r="H769">
        <v>5.8604000000000003</v>
      </c>
      <c r="I769">
        <v>4</v>
      </c>
      <c r="J769">
        <v>2011</v>
      </c>
      <c r="K769" t="s">
        <v>2209</v>
      </c>
      <c r="L769" t="str">
        <f>TEXT(maintable_2[[#This Row],[Order Date]],"mmmm")</f>
        <v>November</v>
      </c>
    </row>
    <row r="770" spans="1:12" x14ac:dyDescent="0.3">
      <c r="A770" s="1">
        <v>40859</v>
      </c>
      <c r="B770" s="1">
        <v>40863</v>
      </c>
      <c r="C770" t="s">
        <v>419</v>
      </c>
      <c r="D770" t="s">
        <v>21</v>
      </c>
      <c r="E770" t="s">
        <v>418</v>
      </c>
      <c r="F770">
        <v>629.06399999999996</v>
      </c>
      <c r="G770">
        <v>3</v>
      </c>
      <c r="H770">
        <v>31.453199999999999</v>
      </c>
      <c r="I770">
        <v>4</v>
      </c>
      <c r="J770">
        <v>2011</v>
      </c>
      <c r="K770" t="s">
        <v>2209</v>
      </c>
      <c r="L770" t="str">
        <f>TEXT(maintable_2[[#This Row],[Order Date]],"mmmm")</f>
        <v>November</v>
      </c>
    </row>
    <row r="771" spans="1:12" x14ac:dyDescent="0.3">
      <c r="A771" s="1">
        <v>41925</v>
      </c>
      <c r="B771" s="1">
        <v>41931</v>
      </c>
      <c r="C771" t="s">
        <v>962</v>
      </c>
      <c r="D771" t="s">
        <v>37</v>
      </c>
      <c r="E771" t="s">
        <v>963</v>
      </c>
      <c r="F771">
        <v>595</v>
      </c>
      <c r="G771">
        <v>5</v>
      </c>
      <c r="H771">
        <v>95.2</v>
      </c>
      <c r="I771">
        <v>6</v>
      </c>
      <c r="J771">
        <v>2014</v>
      </c>
      <c r="K771" t="s">
        <v>2209</v>
      </c>
      <c r="L771" t="str">
        <f>TEXT(maintable_2[[#This Row],[Order Date]],"mmmm")</f>
        <v>October</v>
      </c>
    </row>
    <row r="772" spans="1:12" x14ac:dyDescent="0.3">
      <c r="A772" s="1">
        <v>41925</v>
      </c>
      <c r="B772" s="1">
        <v>41931</v>
      </c>
      <c r="C772" t="s">
        <v>962</v>
      </c>
      <c r="D772" t="s">
        <v>17</v>
      </c>
      <c r="E772" t="s">
        <v>792</v>
      </c>
      <c r="F772">
        <v>79.872</v>
      </c>
      <c r="G772">
        <v>3</v>
      </c>
      <c r="H772">
        <v>29.952000000000002</v>
      </c>
      <c r="I772">
        <v>6</v>
      </c>
      <c r="J772">
        <v>2014</v>
      </c>
      <c r="K772" t="s">
        <v>2209</v>
      </c>
      <c r="L772" t="str">
        <f>TEXT(maintable_2[[#This Row],[Order Date]],"mmmm")</f>
        <v>October</v>
      </c>
    </row>
    <row r="773" spans="1:12" x14ac:dyDescent="0.3">
      <c r="A773" s="1">
        <v>41416</v>
      </c>
      <c r="B773" s="1">
        <v>41423</v>
      </c>
      <c r="C773" t="s">
        <v>964</v>
      </c>
      <c r="D773" t="s">
        <v>494</v>
      </c>
      <c r="E773" t="s">
        <v>965</v>
      </c>
      <c r="F773">
        <v>2396.4</v>
      </c>
      <c r="G773">
        <v>10</v>
      </c>
      <c r="H773">
        <v>179.73</v>
      </c>
      <c r="I773">
        <v>7</v>
      </c>
      <c r="J773">
        <v>2013</v>
      </c>
      <c r="K773" t="s">
        <v>2208</v>
      </c>
      <c r="L773" t="str">
        <f>TEXT(maintable_2[[#This Row],[Order Date]],"mmmm")</f>
        <v>May</v>
      </c>
    </row>
    <row r="774" spans="1:12" x14ac:dyDescent="0.3">
      <c r="A774" s="1">
        <v>41953</v>
      </c>
      <c r="B774" s="1">
        <v>41958</v>
      </c>
      <c r="C774" t="s">
        <v>966</v>
      </c>
      <c r="D774" t="s">
        <v>27</v>
      </c>
      <c r="E774" t="s">
        <v>585</v>
      </c>
      <c r="F774">
        <v>63.56</v>
      </c>
      <c r="G774">
        <v>2</v>
      </c>
      <c r="H774">
        <v>3.1779999999999999</v>
      </c>
      <c r="I774">
        <v>5</v>
      </c>
      <c r="J774">
        <v>2014</v>
      </c>
      <c r="K774" t="s">
        <v>2209</v>
      </c>
      <c r="L774" t="str">
        <f>TEXT(maintable_2[[#This Row],[Order Date]],"mmmm")</f>
        <v>November</v>
      </c>
    </row>
    <row r="775" spans="1:12" x14ac:dyDescent="0.3">
      <c r="A775" s="1">
        <v>41953</v>
      </c>
      <c r="B775" s="1">
        <v>41958</v>
      </c>
      <c r="C775" t="s">
        <v>966</v>
      </c>
      <c r="D775" t="s">
        <v>37</v>
      </c>
      <c r="E775" t="s">
        <v>967</v>
      </c>
      <c r="F775">
        <v>99.99</v>
      </c>
      <c r="G775">
        <v>1</v>
      </c>
      <c r="H775">
        <v>43.995600000000003</v>
      </c>
      <c r="I775">
        <v>5</v>
      </c>
      <c r="J775">
        <v>2014</v>
      </c>
      <c r="K775" t="s">
        <v>2209</v>
      </c>
      <c r="L775" t="str">
        <f>TEXT(maintable_2[[#This Row],[Order Date]],"mmmm")</f>
        <v>November</v>
      </c>
    </row>
    <row r="776" spans="1:12" x14ac:dyDescent="0.3">
      <c r="A776" s="1">
        <v>41773</v>
      </c>
      <c r="B776" s="1">
        <v>41780</v>
      </c>
      <c r="C776" t="s">
        <v>968</v>
      </c>
      <c r="D776" t="s">
        <v>8</v>
      </c>
      <c r="E776" t="s">
        <v>9</v>
      </c>
      <c r="F776">
        <v>58.48</v>
      </c>
      <c r="G776">
        <v>8</v>
      </c>
      <c r="H776">
        <v>27.485600000000002</v>
      </c>
      <c r="I776">
        <v>7</v>
      </c>
      <c r="J776">
        <v>2014</v>
      </c>
      <c r="K776" t="s">
        <v>2208</v>
      </c>
      <c r="L776" t="str">
        <f>TEXT(maintable_2[[#This Row],[Order Date]],"mmmm")</f>
        <v>May</v>
      </c>
    </row>
    <row r="777" spans="1:12" x14ac:dyDescent="0.3">
      <c r="A777" s="1">
        <v>42002</v>
      </c>
      <c r="B777" s="1">
        <v>42007</v>
      </c>
      <c r="C777" t="s">
        <v>969</v>
      </c>
      <c r="D777" t="s">
        <v>11</v>
      </c>
      <c r="E777" t="s">
        <v>325</v>
      </c>
      <c r="F777">
        <v>7.4</v>
      </c>
      <c r="G777">
        <v>2</v>
      </c>
      <c r="H777">
        <v>3.0339999999999998</v>
      </c>
      <c r="I777">
        <v>5</v>
      </c>
      <c r="J777">
        <v>2014</v>
      </c>
      <c r="K777" t="s">
        <v>2207</v>
      </c>
      <c r="L777" t="str">
        <f>TEXT(maintable_2[[#This Row],[Order Date]],"mmmm")</f>
        <v>December</v>
      </c>
    </row>
    <row r="778" spans="1:12" x14ac:dyDescent="0.3">
      <c r="A778" s="1">
        <v>41824</v>
      </c>
      <c r="B778" s="1">
        <v>41831</v>
      </c>
      <c r="C778" t="s">
        <v>578</v>
      </c>
      <c r="D778" t="s">
        <v>11</v>
      </c>
      <c r="E778" t="s">
        <v>970</v>
      </c>
      <c r="F778">
        <v>545.85</v>
      </c>
      <c r="G778">
        <v>9</v>
      </c>
      <c r="H778">
        <v>114.6285</v>
      </c>
      <c r="I778">
        <v>7</v>
      </c>
      <c r="J778">
        <v>2014</v>
      </c>
      <c r="K778" t="s">
        <v>2206</v>
      </c>
      <c r="L778" t="str">
        <f>TEXT(maintable_2[[#This Row],[Order Date]],"mmmm")</f>
        <v>July</v>
      </c>
    </row>
    <row r="779" spans="1:12" x14ac:dyDescent="0.3">
      <c r="A779" s="1">
        <v>40865</v>
      </c>
      <c r="B779" s="1">
        <v>40867</v>
      </c>
      <c r="C779" t="s">
        <v>971</v>
      </c>
      <c r="D779" t="s">
        <v>21</v>
      </c>
      <c r="E779" t="s">
        <v>972</v>
      </c>
      <c r="F779">
        <v>145.97999999999999</v>
      </c>
      <c r="G779">
        <v>2</v>
      </c>
      <c r="H779">
        <v>-99.266400000000004</v>
      </c>
      <c r="I779">
        <v>2</v>
      </c>
      <c r="J779">
        <v>2011</v>
      </c>
      <c r="K779" t="s">
        <v>2209</v>
      </c>
      <c r="L779" t="str">
        <f>TEXT(maintable_2[[#This Row],[Order Date]],"mmmm")</f>
        <v>November</v>
      </c>
    </row>
    <row r="780" spans="1:12" x14ac:dyDescent="0.3">
      <c r="A780" s="1">
        <v>40865</v>
      </c>
      <c r="B780" s="1">
        <v>40867</v>
      </c>
      <c r="C780" t="s">
        <v>971</v>
      </c>
      <c r="D780" t="s">
        <v>44</v>
      </c>
      <c r="E780" t="s">
        <v>973</v>
      </c>
      <c r="F780">
        <v>35.808</v>
      </c>
      <c r="G780">
        <v>4</v>
      </c>
      <c r="H780">
        <v>12.5328</v>
      </c>
      <c r="I780">
        <v>2</v>
      </c>
      <c r="J780">
        <v>2011</v>
      </c>
      <c r="K780" t="s">
        <v>2209</v>
      </c>
      <c r="L780" t="str">
        <f>TEXT(maintable_2[[#This Row],[Order Date]],"mmmm")</f>
        <v>November</v>
      </c>
    </row>
    <row r="781" spans="1:12" x14ac:dyDescent="0.3">
      <c r="A781" s="1">
        <v>41177</v>
      </c>
      <c r="B781" s="1">
        <v>41183</v>
      </c>
      <c r="C781" t="s">
        <v>974</v>
      </c>
      <c r="D781" t="s">
        <v>86</v>
      </c>
      <c r="E781" t="s">
        <v>975</v>
      </c>
      <c r="F781">
        <v>17.48</v>
      </c>
      <c r="G781">
        <v>2</v>
      </c>
      <c r="H781">
        <v>8.2156000000000002</v>
      </c>
      <c r="I781">
        <v>6</v>
      </c>
      <c r="J781">
        <v>2012</v>
      </c>
      <c r="K781" t="s">
        <v>2209</v>
      </c>
      <c r="L781" t="str">
        <f>TEXT(maintable_2[[#This Row],[Order Date]],"mmmm")</f>
        <v>September</v>
      </c>
    </row>
    <row r="782" spans="1:12" x14ac:dyDescent="0.3">
      <c r="A782" s="1">
        <v>41584</v>
      </c>
      <c r="B782" s="1">
        <v>41589</v>
      </c>
      <c r="C782" t="s">
        <v>660</v>
      </c>
      <c r="D782" t="s">
        <v>17</v>
      </c>
      <c r="E782" t="s">
        <v>976</v>
      </c>
      <c r="F782">
        <v>29.12</v>
      </c>
      <c r="G782">
        <v>5</v>
      </c>
      <c r="H782">
        <v>9.8279999999999994</v>
      </c>
      <c r="I782">
        <v>5</v>
      </c>
      <c r="J782">
        <v>2013</v>
      </c>
      <c r="K782" t="s">
        <v>2209</v>
      </c>
      <c r="L782" t="str">
        <f>TEXT(maintable_2[[#This Row],[Order Date]],"mmmm")</f>
        <v>November</v>
      </c>
    </row>
    <row r="783" spans="1:12" x14ac:dyDescent="0.3">
      <c r="A783" s="1">
        <v>41101</v>
      </c>
      <c r="B783" s="1">
        <v>41103</v>
      </c>
      <c r="C783" t="s">
        <v>977</v>
      </c>
      <c r="D783" t="s">
        <v>44</v>
      </c>
      <c r="E783" t="s">
        <v>978</v>
      </c>
      <c r="F783">
        <v>29.97</v>
      </c>
      <c r="G783">
        <v>3</v>
      </c>
      <c r="H783">
        <v>13.486499999999999</v>
      </c>
      <c r="I783">
        <v>2</v>
      </c>
      <c r="J783">
        <v>2012</v>
      </c>
      <c r="K783" t="s">
        <v>2206</v>
      </c>
      <c r="L783" t="str">
        <f>TEXT(maintable_2[[#This Row],[Order Date]],"mmmm")</f>
        <v>July</v>
      </c>
    </row>
    <row r="784" spans="1:12" x14ac:dyDescent="0.3">
      <c r="A784" s="1">
        <v>41101</v>
      </c>
      <c r="B784" s="1">
        <v>41103</v>
      </c>
      <c r="C784" t="s">
        <v>977</v>
      </c>
      <c r="D784" t="s">
        <v>17</v>
      </c>
      <c r="E784" t="s">
        <v>459</v>
      </c>
      <c r="F784">
        <v>98.352000000000004</v>
      </c>
      <c r="G784">
        <v>3</v>
      </c>
      <c r="H784">
        <v>34.423200000000001</v>
      </c>
      <c r="I784">
        <v>2</v>
      </c>
      <c r="J784">
        <v>2012</v>
      </c>
      <c r="K784" t="s">
        <v>2206</v>
      </c>
      <c r="L784" t="str">
        <f>TEXT(maintable_2[[#This Row],[Order Date]],"mmmm")</f>
        <v>July</v>
      </c>
    </row>
    <row r="785" spans="1:12" x14ac:dyDescent="0.3">
      <c r="A785" s="1">
        <v>41582</v>
      </c>
      <c r="B785" s="1">
        <v>41585</v>
      </c>
      <c r="C785" t="s">
        <v>531</v>
      </c>
      <c r="D785" t="s">
        <v>71</v>
      </c>
      <c r="E785" t="s">
        <v>979</v>
      </c>
      <c r="F785">
        <v>217.584</v>
      </c>
      <c r="G785">
        <v>2</v>
      </c>
      <c r="H785">
        <v>-29.9178</v>
      </c>
      <c r="I785">
        <v>3</v>
      </c>
      <c r="J785">
        <v>2013</v>
      </c>
      <c r="K785" t="s">
        <v>2209</v>
      </c>
      <c r="L785" t="str">
        <f>TEXT(maintable_2[[#This Row],[Order Date]],"mmmm")</f>
        <v>November</v>
      </c>
    </row>
    <row r="786" spans="1:12" x14ac:dyDescent="0.3">
      <c r="A786" s="1">
        <v>41582</v>
      </c>
      <c r="B786" s="1">
        <v>41585</v>
      </c>
      <c r="C786" t="s">
        <v>531</v>
      </c>
      <c r="D786" t="s">
        <v>37</v>
      </c>
      <c r="E786" t="s">
        <v>980</v>
      </c>
      <c r="F786">
        <v>82.95</v>
      </c>
      <c r="G786">
        <v>5</v>
      </c>
      <c r="H786">
        <v>29.032499999999999</v>
      </c>
      <c r="I786">
        <v>3</v>
      </c>
      <c r="J786">
        <v>2013</v>
      </c>
      <c r="K786" t="s">
        <v>2209</v>
      </c>
      <c r="L786" t="str">
        <f>TEXT(maintable_2[[#This Row],[Order Date]],"mmmm")</f>
        <v>November</v>
      </c>
    </row>
    <row r="787" spans="1:12" x14ac:dyDescent="0.3">
      <c r="A787" s="1">
        <v>41582</v>
      </c>
      <c r="B787" s="1">
        <v>41585</v>
      </c>
      <c r="C787" t="s">
        <v>531</v>
      </c>
      <c r="D787" t="s">
        <v>8</v>
      </c>
      <c r="E787" t="s">
        <v>981</v>
      </c>
      <c r="F787">
        <v>87.71</v>
      </c>
      <c r="G787">
        <v>7</v>
      </c>
      <c r="H787">
        <v>41.223700000000001</v>
      </c>
      <c r="I787">
        <v>3</v>
      </c>
      <c r="J787">
        <v>2013</v>
      </c>
      <c r="K787" t="s">
        <v>2209</v>
      </c>
      <c r="L787" t="str">
        <f>TEXT(maintable_2[[#This Row],[Order Date]],"mmmm")</f>
        <v>November</v>
      </c>
    </row>
    <row r="788" spans="1:12" x14ac:dyDescent="0.3">
      <c r="A788" s="1">
        <v>41582</v>
      </c>
      <c r="B788" s="1">
        <v>41585</v>
      </c>
      <c r="C788" t="s">
        <v>531</v>
      </c>
      <c r="D788" t="s">
        <v>19</v>
      </c>
      <c r="E788" t="s">
        <v>982</v>
      </c>
      <c r="F788">
        <v>1101.48</v>
      </c>
      <c r="G788">
        <v>4</v>
      </c>
      <c r="H788">
        <v>429.5772</v>
      </c>
      <c r="I788">
        <v>3</v>
      </c>
      <c r="J788">
        <v>2013</v>
      </c>
      <c r="K788" t="s">
        <v>2209</v>
      </c>
      <c r="L788" t="str">
        <f>TEXT(maintable_2[[#This Row],[Order Date]],"mmmm")</f>
        <v>November</v>
      </c>
    </row>
    <row r="789" spans="1:12" x14ac:dyDescent="0.3">
      <c r="A789" s="1">
        <v>41887</v>
      </c>
      <c r="B789" s="1">
        <v>41891</v>
      </c>
      <c r="C789" t="s">
        <v>983</v>
      </c>
      <c r="D789" t="s">
        <v>21</v>
      </c>
      <c r="E789" t="s">
        <v>984</v>
      </c>
      <c r="F789">
        <v>1322.3520000000001</v>
      </c>
      <c r="G789">
        <v>3</v>
      </c>
      <c r="H789">
        <v>-99.176400000000001</v>
      </c>
      <c r="I789">
        <v>4</v>
      </c>
      <c r="J789">
        <v>2014</v>
      </c>
      <c r="K789" t="s">
        <v>2209</v>
      </c>
      <c r="L789" t="str">
        <f>TEXT(maintable_2[[#This Row],[Order Date]],"mmmm")</f>
        <v>September</v>
      </c>
    </row>
    <row r="790" spans="1:12" x14ac:dyDescent="0.3">
      <c r="A790" s="1">
        <v>41998</v>
      </c>
      <c r="B790" s="1">
        <v>42005</v>
      </c>
      <c r="C790" t="s">
        <v>131</v>
      </c>
      <c r="D790" t="s">
        <v>27</v>
      </c>
      <c r="E790" t="s">
        <v>688</v>
      </c>
      <c r="F790">
        <v>1003.62</v>
      </c>
      <c r="G790">
        <v>6</v>
      </c>
      <c r="H790">
        <v>0</v>
      </c>
      <c r="I790">
        <v>7</v>
      </c>
      <c r="J790">
        <v>2014</v>
      </c>
      <c r="K790" t="s">
        <v>2207</v>
      </c>
      <c r="L790" t="str">
        <f>TEXT(maintable_2[[#This Row],[Order Date]],"mmmm")</f>
        <v>December</v>
      </c>
    </row>
    <row r="791" spans="1:12" x14ac:dyDescent="0.3">
      <c r="A791" s="1">
        <v>41880</v>
      </c>
      <c r="B791" s="1">
        <v>41886</v>
      </c>
      <c r="C791" t="s">
        <v>931</v>
      </c>
      <c r="D791" t="s">
        <v>15</v>
      </c>
      <c r="E791" t="s">
        <v>985</v>
      </c>
      <c r="F791">
        <v>35.167999999999999</v>
      </c>
      <c r="G791">
        <v>4</v>
      </c>
      <c r="H791">
        <v>11.429600000000001</v>
      </c>
      <c r="I791">
        <v>6</v>
      </c>
      <c r="J791">
        <v>2014</v>
      </c>
      <c r="K791" t="s">
        <v>2206</v>
      </c>
      <c r="L791" t="str">
        <f>TEXT(maintable_2[[#This Row],[Order Date]],"mmmm")</f>
        <v>August</v>
      </c>
    </row>
    <row r="792" spans="1:12" x14ac:dyDescent="0.3">
      <c r="A792" s="1">
        <v>41880</v>
      </c>
      <c r="B792" s="1">
        <v>41886</v>
      </c>
      <c r="C792" t="s">
        <v>931</v>
      </c>
      <c r="D792" t="s">
        <v>21</v>
      </c>
      <c r="E792" t="s">
        <v>986</v>
      </c>
      <c r="F792">
        <v>1137.75</v>
      </c>
      <c r="G792">
        <v>5</v>
      </c>
      <c r="H792">
        <v>250.30500000000001</v>
      </c>
      <c r="I792">
        <v>6</v>
      </c>
      <c r="J792">
        <v>2014</v>
      </c>
      <c r="K792" t="s">
        <v>2206</v>
      </c>
      <c r="L792" t="str">
        <f>TEXT(maintable_2[[#This Row],[Order Date]],"mmmm")</f>
        <v>August</v>
      </c>
    </row>
    <row r="793" spans="1:12" x14ac:dyDescent="0.3">
      <c r="A793" s="1">
        <v>41880</v>
      </c>
      <c r="B793" s="1">
        <v>41886</v>
      </c>
      <c r="C793" t="s">
        <v>931</v>
      </c>
      <c r="D793" t="s">
        <v>17</v>
      </c>
      <c r="E793" t="s">
        <v>244</v>
      </c>
      <c r="F793">
        <v>99.68</v>
      </c>
      <c r="G793">
        <v>5</v>
      </c>
      <c r="H793">
        <v>32.396000000000001</v>
      </c>
      <c r="I793">
        <v>6</v>
      </c>
      <c r="J793">
        <v>2014</v>
      </c>
      <c r="K793" t="s">
        <v>2206</v>
      </c>
      <c r="L793" t="str">
        <f>TEXT(maintable_2[[#This Row],[Order Date]],"mmmm")</f>
        <v>August</v>
      </c>
    </row>
    <row r="794" spans="1:12" x14ac:dyDescent="0.3">
      <c r="A794" s="1">
        <v>41880</v>
      </c>
      <c r="B794" s="1">
        <v>41886</v>
      </c>
      <c r="C794" t="s">
        <v>931</v>
      </c>
      <c r="D794" t="s">
        <v>13</v>
      </c>
      <c r="E794" t="s">
        <v>898</v>
      </c>
      <c r="F794">
        <v>5.56</v>
      </c>
      <c r="G794">
        <v>2</v>
      </c>
      <c r="H794">
        <v>1.4456</v>
      </c>
      <c r="I794">
        <v>6</v>
      </c>
      <c r="J794">
        <v>2014</v>
      </c>
      <c r="K794" t="s">
        <v>2206</v>
      </c>
      <c r="L794" t="str">
        <f>TEXT(maintable_2[[#This Row],[Order Date]],"mmmm")</f>
        <v>August</v>
      </c>
    </row>
    <row r="795" spans="1:12" x14ac:dyDescent="0.3">
      <c r="A795" s="1">
        <v>40890</v>
      </c>
      <c r="B795" s="1">
        <v>40892</v>
      </c>
      <c r="C795" t="s">
        <v>59</v>
      </c>
      <c r="D795" t="s">
        <v>44</v>
      </c>
      <c r="E795" t="s">
        <v>987</v>
      </c>
      <c r="F795">
        <v>90.24</v>
      </c>
      <c r="G795">
        <v>6</v>
      </c>
      <c r="H795">
        <v>41.510399999999997</v>
      </c>
      <c r="I795">
        <v>2</v>
      </c>
      <c r="J795">
        <v>2011</v>
      </c>
      <c r="K795" t="s">
        <v>2207</v>
      </c>
      <c r="L795" t="str">
        <f>TEXT(maintable_2[[#This Row],[Order Date]],"mmmm")</f>
        <v>December</v>
      </c>
    </row>
    <row r="796" spans="1:12" x14ac:dyDescent="0.3">
      <c r="A796" s="1">
        <v>41178</v>
      </c>
      <c r="B796" s="1">
        <v>41183</v>
      </c>
      <c r="C796" t="s">
        <v>988</v>
      </c>
      <c r="D796" t="s">
        <v>27</v>
      </c>
      <c r="E796" t="s">
        <v>52</v>
      </c>
      <c r="F796">
        <v>64.17</v>
      </c>
      <c r="G796">
        <v>3</v>
      </c>
      <c r="H796">
        <v>18.609300000000001</v>
      </c>
      <c r="I796">
        <v>5</v>
      </c>
      <c r="J796">
        <v>2012</v>
      </c>
      <c r="K796" t="s">
        <v>2209</v>
      </c>
      <c r="L796" t="str">
        <f>TEXT(maintable_2[[#This Row],[Order Date]],"mmmm")</f>
        <v>September</v>
      </c>
    </row>
    <row r="797" spans="1:12" x14ac:dyDescent="0.3">
      <c r="A797" s="1">
        <v>41178</v>
      </c>
      <c r="B797" s="1">
        <v>41183</v>
      </c>
      <c r="C797" t="s">
        <v>988</v>
      </c>
      <c r="D797" t="s">
        <v>86</v>
      </c>
      <c r="E797" t="s">
        <v>989</v>
      </c>
      <c r="F797">
        <v>124.46</v>
      </c>
      <c r="G797">
        <v>2</v>
      </c>
      <c r="H797">
        <v>58.496200000000002</v>
      </c>
      <c r="I797">
        <v>5</v>
      </c>
      <c r="J797">
        <v>2012</v>
      </c>
      <c r="K797" t="s">
        <v>2209</v>
      </c>
      <c r="L797" t="str">
        <f>TEXT(maintable_2[[#This Row],[Order Date]],"mmmm")</f>
        <v>September</v>
      </c>
    </row>
    <row r="798" spans="1:12" x14ac:dyDescent="0.3">
      <c r="A798" s="1">
        <v>41414</v>
      </c>
      <c r="B798" s="1">
        <v>41419</v>
      </c>
      <c r="C798" t="s">
        <v>990</v>
      </c>
      <c r="D798" t="s">
        <v>17</v>
      </c>
      <c r="E798" t="s">
        <v>816</v>
      </c>
      <c r="F798">
        <v>9.5839999999999996</v>
      </c>
      <c r="G798">
        <v>1</v>
      </c>
      <c r="H798">
        <v>3.3544</v>
      </c>
      <c r="I798">
        <v>5</v>
      </c>
      <c r="J798">
        <v>2013</v>
      </c>
      <c r="K798" t="s">
        <v>2208</v>
      </c>
      <c r="L798" t="str">
        <f>TEXT(maintable_2[[#This Row],[Order Date]],"mmmm")</f>
        <v>May</v>
      </c>
    </row>
    <row r="799" spans="1:12" x14ac:dyDescent="0.3">
      <c r="A799" s="1">
        <v>41593</v>
      </c>
      <c r="B799" s="1">
        <v>41598</v>
      </c>
      <c r="C799" t="s">
        <v>991</v>
      </c>
      <c r="D799" t="s">
        <v>8</v>
      </c>
      <c r="E799" t="s">
        <v>992</v>
      </c>
      <c r="F799">
        <v>7.38</v>
      </c>
      <c r="G799">
        <v>2</v>
      </c>
      <c r="H799">
        <v>3.4685999999999999</v>
      </c>
      <c r="I799">
        <v>5</v>
      </c>
      <c r="J799">
        <v>2013</v>
      </c>
      <c r="K799" t="s">
        <v>2209</v>
      </c>
      <c r="L799" t="str">
        <f>TEXT(maintable_2[[#This Row],[Order Date]],"mmmm")</f>
        <v>November</v>
      </c>
    </row>
    <row r="800" spans="1:12" x14ac:dyDescent="0.3">
      <c r="A800" s="1">
        <v>40749</v>
      </c>
      <c r="B800" s="1">
        <v>40751</v>
      </c>
      <c r="C800" t="s">
        <v>169</v>
      </c>
      <c r="D800" t="s">
        <v>27</v>
      </c>
      <c r="E800" t="s">
        <v>796</v>
      </c>
      <c r="F800">
        <v>53.72</v>
      </c>
      <c r="G800">
        <v>4</v>
      </c>
      <c r="H800">
        <v>15.041600000000001</v>
      </c>
      <c r="I800">
        <v>2</v>
      </c>
      <c r="J800">
        <v>2011</v>
      </c>
      <c r="K800" t="s">
        <v>2206</v>
      </c>
      <c r="L800" t="str">
        <f>TEXT(maintable_2[[#This Row],[Order Date]],"mmmm")</f>
        <v>July</v>
      </c>
    </row>
    <row r="801" spans="1:12" x14ac:dyDescent="0.3">
      <c r="A801" s="1">
        <v>40749</v>
      </c>
      <c r="B801" s="1">
        <v>40751</v>
      </c>
      <c r="C801" t="s">
        <v>169</v>
      </c>
      <c r="D801" t="s">
        <v>81</v>
      </c>
      <c r="E801" t="s">
        <v>993</v>
      </c>
      <c r="F801">
        <v>8187.65</v>
      </c>
      <c r="G801">
        <v>5</v>
      </c>
      <c r="H801">
        <v>327.50599999999997</v>
      </c>
      <c r="I801">
        <v>2</v>
      </c>
      <c r="J801">
        <v>2011</v>
      </c>
      <c r="K801" t="s">
        <v>2206</v>
      </c>
      <c r="L801" t="str">
        <f>TEXT(maintable_2[[#This Row],[Order Date]],"mmmm")</f>
        <v>July</v>
      </c>
    </row>
    <row r="802" spans="1:12" x14ac:dyDescent="0.3">
      <c r="A802" s="1">
        <v>40749</v>
      </c>
      <c r="B802" s="1">
        <v>40751</v>
      </c>
      <c r="C802" t="s">
        <v>169</v>
      </c>
      <c r="D802" t="s">
        <v>11</v>
      </c>
      <c r="E802" t="s">
        <v>105</v>
      </c>
      <c r="F802">
        <v>77.92</v>
      </c>
      <c r="G802">
        <v>8</v>
      </c>
      <c r="H802">
        <v>34.284799999999997</v>
      </c>
      <c r="I802">
        <v>2</v>
      </c>
      <c r="J802">
        <v>2011</v>
      </c>
      <c r="K802" t="s">
        <v>2206</v>
      </c>
      <c r="L802" t="str">
        <f>TEXT(maintable_2[[#This Row],[Order Date]],"mmmm")</f>
        <v>July</v>
      </c>
    </row>
    <row r="803" spans="1:12" x14ac:dyDescent="0.3">
      <c r="A803" s="1">
        <v>41701</v>
      </c>
      <c r="B803" s="1">
        <v>41707</v>
      </c>
      <c r="C803" t="s">
        <v>242</v>
      </c>
      <c r="D803" t="s">
        <v>15</v>
      </c>
      <c r="E803" t="s">
        <v>994</v>
      </c>
      <c r="F803">
        <v>196.77600000000001</v>
      </c>
      <c r="G803">
        <v>3</v>
      </c>
      <c r="H803">
        <v>14.7582</v>
      </c>
      <c r="I803">
        <v>6</v>
      </c>
      <c r="J803">
        <v>2014</v>
      </c>
      <c r="K803" t="s">
        <v>2208</v>
      </c>
      <c r="L803" t="str">
        <f>TEXT(maintable_2[[#This Row],[Order Date]],"mmmm")</f>
        <v>March</v>
      </c>
    </row>
    <row r="804" spans="1:12" x14ac:dyDescent="0.3">
      <c r="A804" s="1">
        <v>41701</v>
      </c>
      <c r="B804" s="1">
        <v>41707</v>
      </c>
      <c r="C804" t="s">
        <v>242</v>
      </c>
      <c r="D804" t="s">
        <v>37</v>
      </c>
      <c r="E804" t="s">
        <v>589</v>
      </c>
      <c r="F804">
        <v>479.94</v>
      </c>
      <c r="G804">
        <v>6</v>
      </c>
      <c r="H804">
        <v>52.793399999999998</v>
      </c>
      <c r="I804">
        <v>6</v>
      </c>
      <c r="J804">
        <v>2014</v>
      </c>
      <c r="K804" t="s">
        <v>2208</v>
      </c>
      <c r="L804" t="str">
        <f>TEXT(maintable_2[[#This Row],[Order Date]],"mmmm")</f>
        <v>March</v>
      </c>
    </row>
    <row r="805" spans="1:12" x14ac:dyDescent="0.3">
      <c r="A805" s="1">
        <v>41158</v>
      </c>
      <c r="B805" s="1">
        <v>41160</v>
      </c>
      <c r="C805" t="s">
        <v>995</v>
      </c>
      <c r="D805" t="s">
        <v>37</v>
      </c>
      <c r="E805" t="s">
        <v>996</v>
      </c>
      <c r="F805">
        <v>46.32</v>
      </c>
      <c r="G805">
        <v>4</v>
      </c>
      <c r="H805">
        <v>18.064800000000002</v>
      </c>
      <c r="I805">
        <v>2</v>
      </c>
      <c r="J805">
        <v>2012</v>
      </c>
      <c r="K805" t="s">
        <v>2209</v>
      </c>
      <c r="L805" t="str">
        <f>TEXT(maintable_2[[#This Row],[Order Date]],"mmmm")</f>
        <v>September</v>
      </c>
    </row>
    <row r="806" spans="1:12" x14ac:dyDescent="0.3">
      <c r="A806" s="1">
        <v>41106</v>
      </c>
      <c r="B806" s="1">
        <v>41106</v>
      </c>
      <c r="C806" t="s">
        <v>961</v>
      </c>
      <c r="D806" t="s">
        <v>71</v>
      </c>
      <c r="E806" t="s">
        <v>570</v>
      </c>
      <c r="F806">
        <v>1348.704</v>
      </c>
      <c r="G806">
        <v>6</v>
      </c>
      <c r="H806">
        <v>-219.1644</v>
      </c>
      <c r="I806">
        <v>0</v>
      </c>
      <c r="J806">
        <v>2012</v>
      </c>
      <c r="K806" t="s">
        <v>2206</v>
      </c>
      <c r="L806" t="str">
        <f>TEXT(maintable_2[[#This Row],[Order Date]],"mmmm")</f>
        <v>July</v>
      </c>
    </row>
    <row r="807" spans="1:12" x14ac:dyDescent="0.3">
      <c r="A807" s="1">
        <v>41106</v>
      </c>
      <c r="B807" s="1">
        <v>41106</v>
      </c>
      <c r="C807" t="s">
        <v>961</v>
      </c>
      <c r="D807" t="s">
        <v>71</v>
      </c>
      <c r="E807" t="s">
        <v>154</v>
      </c>
      <c r="F807">
        <v>700.15200000000004</v>
      </c>
      <c r="G807">
        <v>3</v>
      </c>
      <c r="H807">
        <v>78.767099999999999</v>
      </c>
      <c r="I807">
        <v>0</v>
      </c>
      <c r="J807">
        <v>2012</v>
      </c>
      <c r="K807" t="s">
        <v>2206</v>
      </c>
      <c r="L807" t="str">
        <f>TEXT(maintable_2[[#This Row],[Order Date]],"mmmm")</f>
        <v>July</v>
      </c>
    </row>
    <row r="808" spans="1:12" x14ac:dyDescent="0.3">
      <c r="A808" s="1">
        <v>41395</v>
      </c>
      <c r="B808" s="1">
        <v>41399</v>
      </c>
      <c r="C808" t="s">
        <v>997</v>
      </c>
      <c r="D808" t="s">
        <v>11</v>
      </c>
      <c r="E808" t="s">
        <v>355</v>
      </c>
      <c r="F808">
        <v>111.88800000000001</v>
      </c>
      <c r="G808">
        <v>7</v>
      </c>
      <c r="H808">
        <v>22.377600000000001</v>
      </c>
      <c r="I808">
        <v>4</v>
      </c>
      <c r="J808">
        <v>2013</v>
      </c>
      <c r="K808" t="s">
        <v>2208</v>
      </c>
      <c r="L808" t="str">
        <f>TEXT(maintable_2[[#This Row],[Order Date]],"mmmm")</f>
        <v>May</v>
      </c>
    </row>
    <row r="809" spans="1:12" x14ac:dyDescent="0.3">
      <c r="A809" s="1">
        <v>41746</v>
      </c>
      <c r="B809" s="1">
        <v>41750</v>
      </c>
      <c r="C809" t="s">
        <v>208</v>
      </c>
      <c r="D809" t="s">
        <v>27</v>
      </c>
      <c r="E809" t="s">
        <v>645</v>
      </c>
      <c r="F809">
        <v>205.92</v>
      </c>
      <c r="G809">
        <v>4</v>
      </c>
      <c r="H809">
        <v>2.0592000000000001</v>
      </c>
      <c r="I809">
        <v>4</v>
      </c>
      <c r="J809">
        <v>2014</v>
      </c>
      <c r="K809" t="s">
        <v>2208</v>
      </c>
      <c r="L809" t="str">
        <f>TEXT(maintable_2[[#This Row],[Order Date]],"mmmm")</f>
        <v>April</v>
      </c>
    </row>
    <row r="810" spans="1:12" x14ac:dyDescent="0.3">
      <c r="A810" s="1">
        <v>41746</v>
      </c>
      <c r="B810" s="1">
        <v>41750</v>
      </c>
      <c r="C810" t="s">
        <v>208</v>
      </c>
      <c r="D810" t="s">
        <v>196</v>
      </c>
      <c r="E810" t="s">
        <v>234</v>
      </c>
      <c r="F810">
        <v>102.833</v>
      </c>
      <c r="G810">
        <v>1</v>
      </c>
      <c r="H810">
        <v>-6.0490000000000004</v>
      </c>
      <c r="I810">
        <v>4</v>
      </c>
      <c r="J810">
        <v>2014</v>
      </c>
      <c r="K810" t="s">
        <v>2208</v>
      </c>
      <c r="L810" t="str">
        <f>TEXT(maintable_2[[#This Row],[Order Date]],"mmmm")</f>
        <v>April</v>
      </c>
    </row>
    <row r="811" spans="1:12" x14ac:dyDescent="0.3">
      <c r="A811" s="1">
        <v>41137</v>
      </c>
      <c r="B811" s="1">
        <v>41143</v>
      </c>
      <c r="C811" t="s">
        <v>998</v>
      </c>
      <c r="D811" t="s">
        <v>13</v>
      </c>
      <c r="E811" t="s">
        <v>485</v>
      </c>
      <c r="F811">
        <v>2.3039999999999998</v>
      </c>
      <c r="G811">
        <v>1</v>
      </c>
      <c r="H811">
        <v>0.25919999999999999</v>
      </c>
      <c r="I811">
        <v>6</v>
      </c>
      <c r="J811">
        <v>2012</v>
      </c>
      <c r="K811" t="s">
        <v>2206</v>
      </c>
      <c r="L811" t="str">
        <f>TEXT(maintable_2[[#This Row],[Order Date]],"mmmm")</f>
        <v>August</v>
      </c>
    </row>
    <row r="812" spans="1:12" x14ac:dyDescent="0.3">
      <c r="A812" s="1">
        <v>41137</v>
      </c>
      <c r="B812" s="1">
        <v>41143</v>
      </c>
      <c r="C812" t="s">
        <v>998</v>
      </c>
      <c r="D812" t="s">
        <v>15</v>
      </c>
      <c r="E812" t="s">
        <v>999</v>
      </c>
      <c r="F812">
        <v>1879.96</v>
      </c>
      <c r="G812">
        <v>5</v>
      </c>
      <c r="H812">
        <v>211.49549999999999</v>
      </c>
      <c r="I812">
        <v>6</v>
      </c>
      <c r="J812">
        <v>2012</v>
      </c>
      <c r="K812" t="s">
        <v>2206</v>
      </c>
      <c r="L812" t="str">
        <f>TEXT(maintable_2[[#This Row],[Order Date]],"mmmm")</f>
        <v>August</v>
      </c>
    </row>
    <row r="813" spans="1:12" x14ac:dyDescent="0.3">
      <c r="A813" s="1">
        <v>41137</v>
      </c>
      <c r="B813" s="1">
        <v>41143</v>
      </c>
      <c r="C813" t="s">
        <v>998</v>
      </c>
      <c r="D813" t="s">
        <v>44</v>
      </c>
      <c r="E813" t="s">
        <v>1000</v>
      </c>
      <c r="F813">
        <v>313.024</v>
      </c>
      <c r="G813">
        <v>8</v>
      </c>
      <c r="H813">
        <v>105.6456</v>
      </c>
      <c r="I813">
        <v>6</v>
      </c>
      <c r="J813">
        <v>2012</v>
      </c>
      <c r="K813" t="s">
        <v>2206</v>
      </c>
      <c r="L813" t="str">
        <f>TEXT(maintable_2[[#This Row],[Order Date]],"mmmm")</f>
        <v>August</v>
      </c>
    </row>
    <row r="814" spans="1:12" x14ac:dyDescent="0.3">
      <c r="A814" s="1">
        <v>41137</v>
      </c>
      <c r="B814" s="1">
        <v>41143</v>
      </c>
      <c r="C814" t="s">
        <v>998</v>
      </c>
      <c r="D814" t="s">
        <v>8</v>
      </c>
      <c r="E814" t="s">
        <v>475</v>
      </c>
      <c r="F814">
        <v>5.04</v>
      </c>
      <c r="G814">
        <v>2</v>
      </c>
      <c r="H814">
        <v>1.764</v>
      </c>
      <c r="I814">
        <v>6</v>
      </c>
      <c r="J814">
        <v>2012</v>
      </c>
      <c r="K814" t="s">
        <v>2206</v>
      </c>
      <c r="L814" t="str">
        <f>TEXT(maintable_2[[#This Row],[Order Date]],"mmmm")</f>
        <v>August</v>
      </c>
    </row>
    <row r="815" spans="1:12" x14ac:dyDescent="0.3">
      <c r="A815" s="1">
        <v>41060</v>
      </c>
      <c r="B815" s="1">
        <v>41064</v>
      </c>
      <c r="C815" t="s">
        <v>957</v>
      </c>
      <c r="D815" t="s">
        <v>196</v>
      </c>
      <c r="E815" t="s">
        <v>1001</v>
      </c>
      <c r="F815">
        <v>1406.86</v>
      </c>
      <c r="G815">
        <v>7</v>
      </c>
      <c r="H815">
        <v>140.68600000000001</v>
      </c>
      <c r="I815">
        <v>4</v>
      </c>
      <c r="J815">
        <v>2012</v>
      </c>
      <c r="K815" t="s">
        <v>2208</v>
      </c>
      <c r="L815" t="str">
        <f>TEXT(maintable_2[[#This Row],[Order Date]],"mmmm")</f>
        <v>May</v>
      </c>
    </row>
    <row r="816" spans="1:12" x14ac:dyDescent="0.3">
      <c r="A816" s="1">
        <v>41060</v>
      </c>
      <c r="B816" s="1">
        <v>41064</v>
      </c>
      <c r="C816" t="s">
        <v>957</v>
      </c>
      <c r="D816" t="s">
        <v>8</v>
      </c>
      <c r="E816" t="s">
        <v>194</v>
      </c>
      <c r="F816">
        <v>15.75</v>
      </c>
      <c r="G816">
        <v>5</v>
      </c>
      <c r="H816">
        <v>7.56</v>
      </c>
      <c r="I816">
        <v>4</v>
      </c>
      <c r="J816">
        <v>2012</v>
      </c>
      <c r="K816" t="s">
        <v>2208</v>
      </c>
      <c r="L816" t="str">
        <f>TEXT(maintable_2[[#This Row],[Order Date]],"mmmm")</f>
        <v>May</v>
      </c>
    </row>
    <row r="817" spans="1:12" x14ac:dyDescent="0.3">
      <c r="A817" s="1">
        <v>41060</v>
      </c>
      <c r="B817" s="1">
        <v>41064</v>
      </c>
      <c r="C817" t="s">
        <v>957</v>
      </c>
      <c r="D817" t="s">
        <v>27</v>
      </c>
      <c r="E817" t="s">
        <v>439</v>
      </c>
      <c r="F817">
        <v>323.10000000000002</v>
      </c>
      <c r="G817">
        <v>2</v>
      </c>
      <c r="H817">
        <v>61.389000000000003</v>
      </c>
      <c r="I817">
        <v>4</v>
      </c>
      <c r="J817">
        <v>2012</v>
      </c>
      <c r="K817" t="s">
        <v>2208</v>
      </c>
      <c r="L817" t="str">
        <f>TEXT(maintable_2[[#This Row],[Order Date]],"mmmm")</f>
        <v>May</v>
      </c>
    </row>
    <row r="818" spans="1:12" x14ac:dyDescent="0.3">
      <c r="A818" s="1">
        <v>41945</v>
      </c>
      <c r="B818" s="1">
        <v>41947</v>
      </c>
      <c r="C818" t="s">
        <v>286</v>
      </c>
      <c r="D818" t="s">
        <v>17</v>
      </c>
      <c r="E818" t="s">
        <v>1002</v>
      </c>
      <c r="F818">
        <v>25.12</v>
      </c>
      <c r="G818">
        <v>5</v>
      </c>
      <c r="H818">
        <v>7.85</v>
      </c>
      <c r="I818">
        <v>2</v>
      </c>
      <c r="J818">
        <v>2014</v>
      </c>
      <c r="K818" t="s">
        <v>2209</v>
      </c>
      <c r="L818" t="str">
        <f>TEXT(maintable_2[[#This Row],[Order Date]],"mmmm")</f>
        <v>November</v>
      </c>
    </row>
    <row r="819" spans="1:12" x14ac:dyDescent="0.3">
      <c r="A819" s="1">
        <v>41945</v>
      </c>
      <c r="B819" s="1">
        <v>41947</v>
      </c>
      <c r="C819" t="s">
        <v>286</v>
      </c>
      <c r="D819" t="s">
        <v>21</v>
      </c>
      <c r="E819" t="s">
        <v>825</v>
      </c>
      <c r="F819">
        <v>2665.62</v>
      </c>
      <c r="G819">
        <v>9</v>
      </c>
      <c r="H819">
        <v>239.9058</v>
      </c>
      <c r="I819">
        <v>2</v>
      </c>
      <c r="J819">
        <v>2014</v>
      </c>
      <c r="K819" t="s">
        <v>2209</v>
      </c>
      <c r="L819" t="str">
        <f>TEXT(maintable_2[[#This Row],[Order Date]],"mmmm")</f>
        <v>November</v>
      </c>
    </row>
    <row r="820" spans="1:12" x14ac:dyDescent="0.3">
      <c r="A820" s="1">
        <v>41400</v>
      </c>
      <c r="B820" s="1">
        <v>41404</v>
      </c>
      <c r="C820" t="s">
        <v>897</v>
      </c>
      <c r="D820" t="s">
        <v>27</v>
      </c>
      <c r="E820" t="s">
        <v>793</v>
      </c>
      <c r="F820">
        <v>5.98</v>
      </c>
      <c r="G820">
        <v>1</v>
      </c>
      <c r="H820">
        <v>1.0165999999999999</v>
      </c>
      <c r="I820">
        <v>4</v>
      </c>
      <c r="J820">
        <v>2013</v>
      </c>
      <c r="K820" t="s">
        <v>2208</v>
      </c>
      <c r="L820" t="str">
        <f>TEXT(maintable_2[[#This Row],[Order Date]],"mmmm")</f>
        <v>May</v>
      </c>
    </row>
    <row r="821" spans="1:12" x14ac:dyDescent="0.3">
      <c r="A821" s="1">
        <v>41400</v>
      </c>
      <c r="B821" s="1">
        <v>41404</v>
      </c>
      <c r="C821" t="s">
        <v>897</v>
      </c>
      <c r="D821" t="s">
        <v>15</v>
      </c>
      <c r="E821" t="s">
        <v>1003</v>
      </c>
      <c r="F821">
        <v>246.16800000000001</v>
      </c>
      <c r="G821">
        <v>3</v>
      </c>
      <c r="H821">
        <v>21.5397</v>
      </c>
      <c r="I821">
        <v>4</v>
      </c>
      <c r="J821">
        <v>2013</v>
      </c>
      <c r="K821" t="s">
        <v>2208</v>
      </c>
      <c r="L821" t="str">
        <f>TEXT(maintable_2[[#This Row],[Order Date]],"mmmm")</f>
        <v>May</v>
      </c>
    </row>
    <row r="822" spans="1:12" x14ac:dyDescent="0.3">
      <c r="A822" s="1">
        <v>41338</v>
      </c>
      <c r="B822" s="1">
        <v>41344</v>
      </c>
      <c r="C822" t="s">
        <v>1004</v>
      </c>
      <c r="D822" t="s">
        <v>13</v>
      </c>
      <c r="E822" t="s">
        <v>1005</v>
      </c>
      <c r="F822">
        <v>16.989999999999998</v>
      </c>
      <c r="G822">
        <v>1</v>
      </c>
      <c r="H822">
        <v>4.9271000000000003</v>
      </c>
      <c r="I822">
        <v>6</v>
      </c>
      <c r="J822">
        <v>2013</v>
      </c>
      <c r="K822" t="s">
        <v>2208</v>
      </c>
      <c r="L822" t="str">
        <f>TEXT(maintable_2[[#This Row],[Order Date]],"mmmm")</f>
        <v>March</v>
      </c>
    </row>
    <row r="823" spans="1:12" x14ac:dyDescent="0.3">
      <c r="A823" s="1">
        <v>41393</v>
      </c>
      <c r="B823" s="1">
        <v>41400</v>
      </c>
      <c r="C823" t="s">
        <v>1006</v>
      </c>
      <c r="D823" t="s">
        <v>71</v>
      </c>
      <c r="E823" t="s">
        <v>1007</v>
      </c>
      <c r="F823">
        <v>41.567999999999998</v>
      </c>
      <c r="G823">
        <v>2</v>
      </c>
      <c r="H823">
        <v>2.5979999999999999</v>
      </c>
      <c r="I823">
        <v>7</v>
      </c>
      <c r="J823">
        <v>2013</v>
      </c>
      <c r="K823" t="s">
        <v>2208</v>
      </c>
      <c r="L823" t="str">
        <f>TEXT(maintable_2[[#This Row],[Order Date]],"mmmm")</f>
        <v>April</v>
      </c>
    </row>
    <row r="824" spans="1:12" x14ac:dyDescent="0.3">
      <c r="A824" s="1">
        <v>40659</v>
      </c>
      <c r="B824" s="1">
        <v>40666</v>
      </c>
      <c r="C824" t="s">
        <v>1008</v>
      </c>
      <c r="D824" t="s">
        <v>71</v>
      </c>
      <c r="E824" t="s">
        <v>204</v>
      </c>
      <c r="F824">
        <v>230.28</v>
      </c>
      <c r="G824">
        <v>3</v>
      </c>
      <c r="H824">
        <v>23.027999999999999</v>
      </c>
      <c r="I824">
        <v>7</v>
      </c>
      <c r="J824">
        <v>2011</v>
      </c>
      <c r="K824" t="s">
        <v>2208</v>
      </c>
      <c r="L824" t="str">
        <f>TEXT(maintable_2[[#This Row],[Order Date]],"mmmm")</f>
        <v>April</v>
      </c>
    </row>
    <row r="825" spans="1:12" x14ac:dyDescent="0.3">
      <c r="A825" s="1">
        <v>40659</v>
      </c>
      <c r="B825" s="1">
        <v>40666</v>
      </c>
      <c r="C825" t="s">
        <v>1008</v>
      </c>
      <c r="D825" t="s">
        <v>17</v>
      </c>
      <c r="E825" t="s">
        <v>1009</v>
      </c>
      <c r="F825">
        <v>18.288</v>
      </c>
      <c r="G825">
        <v>6</v>
      </c>
      <c r="H825">
        <v>5.7149999999999999</v>
      </c>
      <c r="I825">
        <v>7</v>
      </c>
      <c r="J825">
        <v>2011</v>
      </c>
      <c r="K825" t="s">
        <v>2208</v>
      </c>
      <c r="L825" t="str">
        <f>TEXT(maintable_2[[#This Row],[Order Date]],"mmmm")</f>
        <v>April</v>
      </c>
    </row>
    <row r="826" spans="1:12" x14ac:dyDescent="0.3">
      <c r="A826" s="1">
        <v>41731</v>
      </c>
      <c r="B826" s="1">
        <v>41735</v>
      </c>
      <c r="C826" t="s">
        <v>833</v>
      </c>
      <c r="D826" t="s">
        <v>8</v>
      </c>
      <c r="E826" t="s">
        <v>1010</v>
      </c>
      <c r="F826">
        <v>5.78</v>
      </c>
      <c r="G826">
        <v>2</v>
      </c>
      <c r="H826">
        <v>2.7166000000000001</v>
      </c>
      <c r="I826">
        <v>4</v>
      </c>
      <c r="J826">
        <v>2014</v>
      </c>
      <c r="K826" t="s">
        <v>2208</v>
      </c>
      <c r="L826" t="str">
        <f>TEXT(maintable_2[[#This Row],[Order Date]],"mmmm")</f>
        <v>April</v>
      </c>
    </row>
    <row r="827" spans="1:12" x14ac:dyDescent="0.3">
      <c r="A827" s="1">
        <v>41731</v>
      </c>
      <c r="B827" s="1">
        <v>41735</v>
      </c>
      <c r="C827" t="s">
        <v>833</v>
      </c>
      <c r="D827" t="s">
        <v>17</v>
      </c>
      <c r="E827" t="s">
        <v>386</v>
      </c>
      <c r="F827">
        <v>121.68</v>
      </c>
      <c r="G827">
        <v>13</v>
      </c>
      <c r="H827">
        <v>38.024999999999999</v>
      </c>
      <c r="I827">
        <v>4</v>
      </c>
      <c r="J827">
        <v>2014</v>
      </c>
      <c r="K827" t="s">
        <v>2208</v>
      </c>
      <c r="L827" t="str">
        <f>TEXT(maintable_2[[#This Row],[Order Date]],"mmmm")</f>
        <v>April</v>
      </c>
    </row>
    <row r="828" spans="1:12" x14ac:dyDescent="0.3">
      <c r="A828" s="1">
        <v>41996</v>
      </c>
      <c r="B828" s="1">
        <v>42000</v>
      </c>
      <c r="C828" t="s">
        <v>1011</v>
      </c>
      <c r="D828" t="s">
        <v>13</v>
      </c>
      <c r="E828" t="s">
        <v>1012</v>
      </c>
      <c r="F828">
        <v>4.17</v>
      </c>
      <c r="G828">
        <v>3</v>
      </c>
      <c r="H828">
        <v>1.0842000000000001</v>
      </c>
      <c r="I828">
        <v>4</v>
      </c>
      <c r="J828">
        <v>2014</v>
      </c>
      <c r="K828" t="s">
        <v>2207</v>
      </c>
      <c r="L828" t="str">
        <f>TEXT(maintable_2[[#This Row],[Order Date]],"mmmm")</f>
        <v>December</v>
      </c>
    </row>
    <row r="829" spans="1:12" x14ac:dyDescent="0.3">
      <c r="A829" s="1">
        <v>41996</v>
      </c>
      <c r="B829" s="1">
        <v>42000</v>
      </c>
      <c r="C829" t="s">
        <v>1011</v>
      </c>
      <c r="D829" t="s">
        <v>15</v>
      </c>
      <c r="E829" t="s">
        <v>627</v>
      </c>
      <c r="F829">
        <v>67.040000000000006</v>
      </c>
      <c r="G829">
        <v>4</v>
      </c>
      <c r="H829">
        <v>6.7039999999999997</v>
      </c>
      <c r="I829">
        <v>4</v>
      </c>
      <c r="J829">
        <v>2014</v>
      </c>
      <c r="K829" t="s">
        <v>2207</v>
      </c>
      <c r="L829" t="str">
        <f>TEXT(maintable_2[[#This Row],[Order Date]],"mmmm")</f>
        <v>December</v>
      </c>
    </row>
    <row r="830" spans="1:12" x14ac:dyDescent="0.3">
      <c r="A830" s="1">
        <v>41996</v>
      </c>
      <c r="B830" s="1">
        <v>42000</v>
      </c>
      <c r="C830" t="s">
        <v>1011</v>
      </c>
      <c r="D830" t="s">
        <v>27</v>
      </c>
      <c r="E830" t="s">
        <v>1013</v>
      </c>
      <c r="F830">
        <v>37.32</v>
      </c>
      <c r="G830">
        <v>3</v>
      </c>
      <c r="H830">
        <v>10.4496</v>
      </c>
      <c r="I830">
        <v>4</v>
      </c>
      <c r="J830">
        <v>2014</v>
      </c>
      <c r="K830" t="s">
        <v>2207</v>
      </c>
      <c r="L830" t="str">
        <f>TEXT(maintable_2[[#This Row],[Order Date]],"mmmm")</f>
        <v>December</v>
      </c>
    </row>
    <row r="831" spans="1:12" x14ac:dyDescent="0.3">
      <c r="A831" s="1">
        <v>41996</v>
      </c>
      <c r="B831" s="1">
        <v>42000</v>
      </c>
      <c r="C831" t="s">
        <v>1011</v>
      </c>
      <c r="D831" t="s">
        <v>8</v>
      </c>
      <c r="E831" t="s">
        <v>1014</v>
      </c>
      <c r="F831">
        <v>18.45</v>
      </c>
      <c r="G831">
        <v>5</v>
      </c>
      <c r="H831">
        <v>8.6715</v>
      </c>
      <c r="I831">
        <v>4</v>
      </c>
      <c r="J831">
        <v>2014</v>
      </c>
      <c r="K831" t="s">
        <v>2207</v>
      </c>
      <c r="L831" t="str">
        <f>TEXT(maintable_2[[#This Row],[Order Date]],"mmmm")</f>
        <v>December</v>
      </c>
    </row>
    <row r="832" spans="1:12" x14ac:dyDescent="0.3">
      <c r="A832" s="1">
        <v>41775</v>
      </c>
      <c r="B832" s="1">
        <v>41780</v>
      </c>
      <c r="C832" t="s">
        <v>1015</v>
      </c>
      <c r="D832" t="s">
        <v>11</v>
      </c>
      <c r="E832" t="s">
        <v>1016</v>
      </c>
      <c r="F832">
        <v>39.96</v>
      </c>
      <c r="G832">
        <v>2</v>
      </c>
      <c r="H832">
        <v>17.1828</v>
      </c>
      <c r="I832">
        <v>5</v>
      </c>
      <c r="J832">
        <v>2014</v>
      </c>
      <c r="K832" t="s">
        <v>2208</v>
      </c>
      <c r="L832" t="str">
        <f>TEXT(maintable_2[[#This Row],[Order Date]],"mmmm")</f>
        <v>May</v>
      </c>
    </row>
    <row r="833" spans="1:12" x14ac:dyDescent="0.3">
      <c r="A833" s="1">
        <v>41775</v>
      </c>
      <c r="B833" s="1">
        <v>41780</v>
      </c>
      <c r="C833" t="s">
        <v>1015</v>
      </c>
      <c r="D833" t="s">
        <v>71</v>
      </c>
      <c r="E833" t="s">
        <v>1017</v>
      </c>
      <c r="F833">
        <v>42.624000000000002</v>
      </c>
      <c r="G833">
        <v>2</v>
      </c>
      <c r="H833">
        <v>4.2624000000000004</v>
      </c>
      <c r="I833">
        <v>5</v>
      </c>
      <c r="J833">
        <v>2014</v>
      </c>
      <c r="K833" t="s">
        <v>2208</v>
      </c>
      <c r="L833" t="str">
        <f>TEXT(maintable_2[[#This Row],[Order Date]],"mmmm")</f>
        <v>May</v>
      </c>
    </row>
    <row r="834" spans="1:12" x14ac:dyDescent="0.3">
      <c r="A834" s="1">
        <v>41775</v>
      </c>
      <c r="B834" s="1">
        <v>41780</v>
      </c>
      <c r="C834" t="s">
        <v>1015</v>
      </c>
      <c r="D834" t="s">
        <v>71</v>
      </c>
      <c r="E834" t="s">
        <v>794</v>
      </c>
      <c r="F834">
        <v>220.96</v>
      </c>
      <c r="G834">
        <v>1</v>
      </c>
      <c r="H834">
        <v>24.858000000000001</v>
      </c>
      <c r="I834">
        <v>5</v>
      </c>
      <c r="J834">
        <v>2014</v>
      </c>
      <c r="K834" t="s">
        <v>2208</v>
      </c>
      <c r="L834" t="str">
        <f>TEXT(maintable_2[[#This Row],[Order Date]],"mmmm")</f>
        <v>May</v>
      </c>
    </row>
    <row r="835" spans="1:12" x14ac:dyDescent="0.3">
      <c r="A835" s="1">
        <v>41136</v>
      </c>
      <c r="B835" s="1">
        <v>41140</v>
      </c>
      <c r="C835" t="s">
        <v>1018</v>
      </c>
      <c r="D835" t="s">
        <v>27</v>
      </c>
      <c r="E835" t="s">
        <v>439</v>
      </c>
      <c r="F835">
        <v>323.10000000000002</v>
      </c>
      <c r="G835">
        <v>2</v>
      </c>
      <c r="H835">
        <v>61.389000000000003</v>
      </c>
      <c r="I835">
        <v>4</v>
      </c>
      <c r="J835">
        <v>2012</v>
      </c>
      <c r="K835" t="s">
        <v>2206</v>
      </c>
      <c r="L835" t="str">
        <f>TEXT(maintable_2[[#This Row],[Order Date]],"mmmm")</f>
        <v>August</v>
      </c>
    </row>
    <row r="836" spans="1:12" x14ac:dyDescent="0.3">
      <c r="A836" s="1">
        <v>41544</v>
      </c>
      <c r="B836" s="1">
        <v>41549</v>
      </c>
      <c r="C836" t="s">
        <v>84</v>
      </c>
      <c r="D836" t="s">
        <v>196</v>
      </c>
      <c r="E836" t="s">
        <v>530</v>
      </c>
      <c r="F836">
        <v>424.95749999999998</v>
      </c>
      <c r="G836">
        <v>5</v>
      </c>
      <c r="H836">
        <v>19.998000000000001</v>
      </c>
      <c r="I836">
        <v>5</v>
      </c>
      <c r="J836">
        <v>2013</v>
      </c>
      <c r="K836" t="s">
        <v>2209</v>
      </c>
      <c r="L836" t="str">
        <f>TEXT(maintable_2[[#This Row],[Order Date]],"mmmm")</f>
        <v>September</v>
      </c>
    </row>
    <row r="837" spans="1:12" x14ac:dyDescent="0.3">
      <c r="A837" s="1">
        <v>41900</v>
      </c>
      <c r="B837" s="1">
        <v>41904</v>
      </c>
      <c r="C837" t="s">
        <v>1019</v>
      </c>
      <c r="D837" t="s">
        <v>17</v>
      </c>
      <c r="E837" t="s">
        <v>165</v>
      </c>
      <c r="F837">
        <v>10.776</v>
      </c>
      <c r="G837">
        <v>3</v>
      </c>
      <c r="H837">
        <v>3.5022000000000002</v>
      </c>
      <c r="I837">
        <v>4</v>
      </c>
      <c r="J837">
        <v>2014</v>
      </c>
      <c r="K837" t="s">
        <v>2209</v>
      </c>
      <c r="L837" t="str">
        <f>TEXT(maintable_2[[#This Row],[Order Date]],"mmmm")</f>
        <v>September</v>
      </c>
    </row>
    <row r="838" spans="1:12" x14ac:dyDescent="0.3">
      <c r="A838" s="1">
        <v>41900</v>
      </c>
      <c r="B838" s="1">
        <v>41904</v>
      </c>
      <c r="C838" t="s">
        <v>1019</v>
      </c>
      <c r="D838" t="s">
        <v>17</v>
      </c>
      <c r="E838" t="s">
        <v>657</v>
      </c>
      <c r="F838">
        <v>11.784000000000001</v>
      </c>
      <c r="G838">
        <v>3</v>
      </c>
      <c r="H838">
        <v>4.2717000000000001</v>
      </c>
      <c r="I838">
        <v>4</v>
      </c>
      <c r="J838">
        <v>2014</v>
      </c>
      <c r="K838" t="s">
        <v>2209</v>
      </c>
      <c r="L838" t="str">
        <f>TEXT(maintable_2[[#This Row],[Order Date]],"mmmm")</f>
        <v>September</v>
      </c>
    </row>
    <row r="839" spans="1:12" x14ac:dyDescent="0.3">
      <c r="A839" s="1">
        <v>41900</v>
      </c>
      <c r="B839" s="1">
        <v>41904</v>
      </c>
      <c r="C839" t="s">
        <v>1019</v>
      </c>
      <c r="D839" t="s">
        <v>44</v>
      </c>
      <c r="E839" t="s">
        <v>1020</v>
      </c>
      <c r="F839">
        <v>164.88</v>
      </c>
      <c r="G839">
        <v>3</v>
      </c>
      <c r="H839">
        <v>80.791200000000003</v>
      </c>
      <c r="I839">
        <v>4</v>
      </c>
      <c r="J839">
        <v>2014</v>
      </c>
      <c r="K839" t="s">
        <v>2209</v>
      </c>
      <c r="L839" t="str">
        <f>TEXT(maintable_2[[#This Row],[Order Date]],"mmmm")</f>
        <v>September</v>
      </c>
    </row>
    <row r="840" spans="1:12" x14ac:dyDescent="0.3">
      <c r="A840" s="1">
        <v>41900</v>
      </c>
      <c r="B840" s="1">
        <v>41904</v>
      </c>
      <c r="C840" t="s">
        <v>1019</v>
      </c>
      <c r="D840" t="s">
        <v>196</v>
      </c>
      <c r="E840" t="s">
        <v>1021</v>
      </c>
      <c r="F840">
        <v>1292.94</v>
      </c>
      <c r="G840">
        <v>3</v>
      </c>
      <c r="H840">
        <v>77.576400000000007</v>
      </c>
      <c r="I840">
        <v>4</v>
      </c>
      <c r="J840">
        <v>2014</v>
      </c>
      <c r="K840" t="s">
        <v>2209</v>
      </c>
      <c r="L840" t="str">
        <f>TEXT(maintable_2[[#This Row],[Order Date]],"mmmm")</f>
        <v>September</v>
      </c>
    </row>
    <row r="841" spans="1:12" x14ac:dyDescent="0.3">
      <c r="A841" s="1">
        <v>41900</v>
      </c>
      <c r="B841" s="1">
        <v>41904</v>
      </c>
      <c r="C841" t="s">
        <v>1019</v>
      </c>
      <c r="D841" t="s">
        <v>17</v>
      </c>
      <c r="E841" t="s">
        <v>1022</v>
      </c>
      <c r="F841">
        <v>25.584</v>
      </c>
      <c r="G841">
        <v>2</v>
      </c>
      <c r="H841">
        <v>8.9543999999999997</v>
      </c>
      <c r="I841">
        <v>4</v>
      </c>
      <c r="J841">
        <v>2014</v>
      </c>
      <c r="K841" t="s">
        <v>2209</v>
      </c>
      <c r="L841" t="str">
        <f>TEXT(maintable_2[[#This Row],[Order Date]],"mmmm")</f>
        <v>September</v>
      </c>
    </row>
    <row r="842" spans="1:12" x14ac:dyDescent="0.3">
      <c r="A842" s="1">
        <v>41900</v>
      </c>
      <c r="B842" s="1">
        <v>41904</v>
      </c>
      <c r="C842" t="s">
        <v>1019</v>
      </c>
      <c r="D842" t="s">
        <v>27</v>
      </c>
      <c r="E842" t="s">
        <v>1023</v>
      </c>
      <c r="F842">
        <v>261.74</v>
      </c>
      <c r="G842">
        <v>2</v>
      </c>
      <c r="H842">
        <v>65.435000000000002</v>
      </c>
      <c r="I842">
        <v>4</v>
      </c>
      <c r="J842">
        <v>2014</v>
      </c>
      <c r="K842" t="s">
        <v>2209</v>
      </c>
      <c r="L842" t="str">
        <f>TEXT(maintable_2[[#This Row],[Order Date]],"mmmm")</f>
        <v>September</v>
      </c>
    </row>
    <row r="843" spans="1:12" x14ac:dyDescent="0.3">
      <c r="A843" s="1">
        <v>41900</v>
      </c>
      <c r="B843" s="1">
        <v>41904</v>
      </c>
      <c r="C843" t="s">
        <v>1019</v>
      </c>
      <c r="D843" t="s">
        <v>8</v>
      </c>
      <c r="E843" t="s">
        <v>1024</v>
      </c>
      <c r="F843">
        <v>14.4</v>
      </c>
      <c r="G843">
        <v>5</v>
      </c>
      <c r="H843">
        <v>7.056</v>
      </c>
      <c r="I843">
        <v>4</v>
      </c>
      <c r="J843">
        <v>2014</v>
      </c>
      <c r="K843" t="s">
        <v>2209</v>
      </c>
      <c r="L843" t="str">
        <f>TEXT(maintable_2[[#This Row],[Order Date]],"mmmm")</f>
        <v>September</v>
      </c>
    </row>
    <row r="844" spans="1:12" x14ac:dyDescent="0.3">
      <c r="A844" s="1">
        <v>41503</v>
      </c>
      <c r="B844" s="1">
        <v>41507</v>
      </c>
      <c r="C844" t="s">
        <v>1025</v>
      </c>
      <c r="D844" t="s">
        <v>86</v>
      </c>
      <c r="E844" t="s">
        <v>87</v>
      </c>
      <c r="F844">
        <v>10.86</v>
      </c>
      <c r="G844">
        <v>3</v>
      </c>
      <c r="H844">
        <v>5.1041999999999996</v>
      </c>
      <c r="I844">
        <v>4</v>
      </c>
      <c r="J844">
        <v>2013</v>
      </c>
      <c r="K844" t="s">
        <v>2206</v>
      </c>
      <c r="L844" t="str">
        <f>TEXT(maintable_2[[#This Row],[Order Date]],"mmmm")</f>
        <v>August</v>
      </c>
    </row>
    <row r="845" spans="1:12" x14ac:dyDescent="0.3">
      <c r="A845" s="1">
        <v>41267</v>
      </c>
      <c r="B845" s="1">
        <v>41271</v>
      </c>
      <c r="C845" t="s">
        <v>505</v>
      </c>
      <c r="D845" t="s">
        <v>71</v>
      </c>
      <c r="E845" t="s">
        <v>794</v>
      </c>
      <c r="F845">
        <v>883.84</v>
      </c>
      <c r="G845">
        <v>4</v>
      </c>
      <c r="H845">
        <v>99.432000000000002</v>
      </c>
      <c r="I845">
        <v>4</v>
      </c>
      <c r="J845">
        <v>2012</v>
      </c>
      <c r="K845" t="s">
        <v>2207</v>
      </c>
      <c r="L845" t="str">
        <f>TEXT(maintable_2[[#This Row],[Order Date]],"mmmm")</f>
        <v>December</v>
      </c>
    </row>
    <row r="846" spans="1:12" x14ac:dyDescent="0.3">
      <c r="A846" s="1">
        <v>41146</v>
      </c>
      <c r="B846" s="1">
        <v>41151</v>
      </c>
      <c r="C846" t="s">
        <v>1026</v>
      </c>
      <c r="D846" t="s">
        <v>71</v>
      </c>
      <c r="E846" t="s">
        <v>920</v>
      </c>
      <c r="F846">
        <v>40.783999999999999</v>
      </c>
      <c r="G846">
        <v>1</v>
      </c>
      <c r="H846">
        <v>4.5881999999999996</v>
      </c>
      <c r="I846">
        <v>5</v>
      </c>
      <c r="J846">
        <v>2012</v>
      </c>
      <c r="K846" t="s">
        <v>2206</v>
      </c>
      <c r="L846" t="str">
        <f>TEXT(maintable_2[[#This Row],[Order Date]],"mmmm")</f>
        <v>August</v>
      </c>
    </row>
    <row r="847" spans="1:12" x14ac:dyDescent="0.3">
      <c r="A847" s="1">
        <v>41146</v>
      </c>
      <c r="B847" s="1">
        <v>41151</v>
      </c>
      <c r="C847" t="s">
        <v>1026</v>
      </c>
      <c r="D847" t="s">
        <v>19</v>
      </c>
      <c r="E847" t="s">
        <v>889</v>
      </c>
      <c r="F847">
        <v>105.96</v>
      </c>
      <c r="G847">
        <v>4</v>
      </c>
      <c r="H847">
        <v>29.668800000000001</v>
      </c>
      <c r="I847">
        <v>5</v>
      </c>
      <c r="J847">
        <v>2012</v>
      </c>
      <c r="K847" t="s">
        <v>2206</v>
      </c>
      <c r="L847" t="str">
        <f>TEXT(maintable_2[[#This Row],[Order Date]],"mmmm")</f>
        <v>August</v>
      </c>
    </row>
    <row r="848" spans="1:12" x14ac:dyDescent="0.3">
      <c r="A848" s="1">
        <v>41977</v>
      </c>
      <c r="B848" s="1">
        <v>41977</v>
      </c>
      <c r="C848" t="s">
        <v>1027</v>
      </c>
      <c r="D848" t="s">
        <v>44</v>
      </c>
      <c r="E848" t="s">
        <v>1028</v>
      </c>
      <c r="F848">
        <v>166.44</v>
      </c>
      <c r="G848">
        <v>3</v>
      </c>
      <c r="H848">
        <v>79.891199999999998</v>
      </c>
      <c r="I848">
        <v>0</v>
      </c>
      <c r="J848">
        <v>2014</v>
      </c>
      <c r="K848" t="s">
        <v>2207</v>
      </c>
      <c r="L848" t="str">
        <f>TEXT(maintable_2[[#This Row],[Order Date]],"mmmm")</f>
        <v>December</v>
      </c>
    </row>
    <row r="849" spans="1:12" x14ac:dyDescent="0.3">
      <c r="A849" s="1">
        <v>40715</v>
      </c>
      <c r="B849" s="1">
        <v>40715</v>
      </c>
      <c r="C849" t="s">
        <v>1029</v>
      </c>
      <c r="D849" t="s">
        <v>17</v>
      </c>
      <c r="E849" t="s">
        <v>700</v>
      </c>
      <c r="F849">
        <v>11.087999999999999</v>
      </c>
      <c r="G849">
        <v>7</v>
      </c>
      <c r="H849">
        <v>-8.1311999999999998</v>
      </c>
      <c r="I849">
        <v>0</v>
      </c>
      <c r="J849">
        <v>2011</v>
      </c>
      <c r="K849" t="s">
        <v>2206</v>
      </c>
      <c r="L849" t="str">
        <f>TEXT(maintable_2[[#This Row],[Order Date]],"mmmm")</f>
        <v>June</v>
      </c>
    </row>
    <row r="850" spans="1:12" x14ac:dyDescent="0.3">
      <c r="A850" s="1">
        <v>40715</v>
      </c>
      <c r="B850" s="1">
        <v>40715</v>
      </c>
      <c r="C850" t="s">
        <v>1029</v>
      </c>
      <c r="D850" t="s">
        <v>17</v>
      </c>
      <c r="E850" t="s">
        <v>416</v>
      </c>
      <c r="F850">
        <v>25.164000000000001</v>
      </c>
      <c r="G850">
        <v>2</v>
      </c>
      <c r="H850">
        <v>-16.776</v>
      </c>
      <c r="I850">
        <v>0</v>
      </c>
      <c r="J850">
        <v>2011</v>
      </c>
      <c r="K850" t="s">
        <v>2206</v>
      </c>
      <c r="L850" t="str">
        <f>TEXT(maintable_2[[#This Row],[Order Date]],"mmmm")</f>
        <v>June</v>
      </c>
    </row>
    <row r="851" spans="1:12" x14ac:dyDescent="0.3">
      <c r="A851" s="1">
        <v>41820</v>
      </c>
      <c r="B851" s="1">
        <v>41827</v>
      </c>
      <c r="C851" t="s">
        <v>1030</v>
      </c>
      <c r="D851" t="s">
        <v>17</v>
      </c>
      <c r="E851" t="s">
        <v>937</v>
      </c>
      <c r="F851">
        <v>312.55200000000002</v>
      </c>
      <c r="G851">
        <v>9</v>
      </c>
      <c r="H851">
        <v>101.57940000000001</v>
      </c>
      <c r="I851">
        <v>7</v>
      </c>
      <c r="J851">
        <v>2014</v>
      </c>
      <c r="K851" t="s">
        <v>2206</v>
      </c>
      <c r="L851" t="str">
        <f>TEXT(maintable_2[[#This Row],[Order Date]],"mmmm")</f>
        <v>June</v>
      </c>
    </row>
    <row r="852" spans="1:12" x14ac:dyDescent="0.3">
      <c r="A852" s="1">
        <v>41225</v>
      </c>
      <c r="B852" s="1">
        <v>41227</v>
      </c>
      <c r="C852" t="s">
        <v>352</v>
      </c>
      <c r="D852" t="s">
        <v>44</v>
      </c>
      <c r="E852" t="s">
        <v>1031</v>
      </c>
      <c r="F852">
        <v>15.7</v>
      </c>
      <c r="G852">
        <v>5</v>
      </c>
      <c r="H852">
        <v>7.0650000000000004</v>
      </c>
      <c r="I852">
        <v>2</v>
      </c>
      <c r="J852">
        <v>2012</v>
      </c>
      <c r="K852" t="s">
        <v>2209</v>
      </c>
      <c r="L852" t="str">
        <f>TEXT(maintable_2[[#This Row],[Order Date]],"mmmm")</f>
        <v>November</v>
      </c>
    </row>
    <row r="853" spans="1:12" x14ac:dyDescent="0.3">
      <c r="A853" s="1">
        <v>41515</v>
      </c>
      <c r="B853" s="1">
        <v>41520</v>
      </c>
      <c r="C853" t="s">
        <v>108</v>
      </c>
      <c r="D853" t="s">
        <v>44</v>
      </c>
      <c r="E853" t="s">
        <v>1032</v>
      </c>
      <c r="F853">
        <v>15.48</v>
      </c>
      <c r="G853">
        <v>3</v>
      </c>
      <c r="H853">
        <v>5.6115000000000004</v>
      </c>
      <c r="I853">
        <v>5</v>
      </c>
      <c r="J853">
        <v>2013</v>
      </c>
      <c r="K853" t="s">
        <v>2206</v>
      </c>
      <c r="L853" t="str">
        <f>TEXT(maintable_2[[#This Row],[Order Date]],"mmmm")</f>
        <v>August</v>
      </c>
    </row>
    <row r="854" spans="1:12" x14ac:dyDescent="0.3">
      <c r="A854" s="1">
        <v>41515</v>
      </c>
      <c r="B854" s="1">
        <v>41520</v>
      </c>
      <c r="C854" t="s">
        <v>108</v>
      </c>
      <c r="D854" t="s">
        <v>15</v>
      </c>
      <c r="E854" t="s">
        <v>1033</v>
      </c>
      <c r="F854">
        <v>108.57599999999999</v>
      </c>
      <c r="G854">
        <v>3</v>
      </c>
      <c r="H854">
        <v>8.1432000000000002</v>
      </c>
      <c r="I854">
        <v>5</v>
      </c>
      <c r="J854">
        <v>2013</v>
      </c>
      <c r="K854" t="s">
        <v>2206</v>
      </c>
      <c r="L854" t="str">
        <f>TEXT(maintable_2[[#This Row],[Order Date]],"mmmm")</f>
        <v>August</v>
      </c>
    </row>
    <row r="855" spans="1:12" x14ac:dyDescent="0.3">
      <c r="A855" s="1">
        <v>41296</v>
      </c>
      <c r="B855" s="1">
        <v>41302</v>
      </c>
      <c r="C855" t="s">
        <v>1034</v>
      </c>
      <c r="D855" t="s">
        <v>11</v>
      </c>
      <c r="E855" t="s">
        <v>1035</v>
      </c>
      <c r="F855">
        <v>109.9</v>
      </c>
      <c r="G855">
        <v>5</v>
      </c>
      <c r="H855">
        <v>37.366</v>
      </c>
      <c r="I855">
        <v>6</v>
      </c>
      <c r="J855">
        <v>2013</v>
      </c>
      <c r="K855" t="s">
        <v>2210</v>
      </c>
      <c r="L855" t="str">
        <f>TEXT(maintable_2[[#This Row],[Order Date]],"mmmm")</f>
        <v>January</v>
      </c>
    </row>
    <row r="856" spans="1:12" x14ac:dyDescent="0.3">
      <c r="A856" s="1">
        <v>41807</v>
      </c>
      <c r="B856" s="1">
        <v>41812</v>
      </c>
      <c r="C856" t="s">
        <v>1036</v>
      </c>
      <c r="D856" t="s">
        <v>81</v>
      </c>
      <c r="E856" t="s">
        <v>806</v>
      </c>
      <c r="F856">
        <v>16.68</v>
      </c>
      <c r="G856">
        <v>2</v>
      </c>
      <c r="H856">
        <v>4.3368000000000002</v>
      </c>
      <c r="I856">
        <v>5</v>
      </c>
      <c r="J856">
        <v>2014</v>
      </c>
      <c r="K856" t="s">
        <v>2206</v>
      </c>
      <c r="L856" t="str">
        <f>TEXT(maintable_2[[#This Row],[Order Date]],"mmmm")</f>
        <v>June</v>
      </c>
    </row>
    <row r="857" spans="1:12" x14ac:dyDescent="0.3">
      <c r="A857" s="1">
        <v>41807</v>
      </c>
      <c r="B857" s="1">
        <v>41812</v>
      </c>
      <c r="C857" t="s">
        <v>1036</v>
      </c>
      <c r="D857" t="s">
        <v>44</v>
      </c>
      <c r="E857" t="s">
        <v>1037</v>
      </c>
      <c r="F857">
        <v>19.440000000000001</v>
      </c>
      <c r="G857">
        <v>3</v>
      </c>
      <c r="H857">
        <v>9.3312000000000008</v>
      </c>
      <c r="I857">
        <v>5</v>
      </c>
      <c r="J857">
        <v>2014</v>
      </c>
      <c r="K857" t="s">
        <v>2206</v>
      </c>
      <c r="L857" t="str">
        <f>TEXT(maintable_2[[#This Row],[Order Date]],"mmmm")</f>
        <v>June</v>
      </c>
    </row>
    <row r="858" spans="1:12" x14ac:dyDescent="0.3">
      <c r="A858" s="1">
        <v>41807</v>
      </c>
      <c r="B858" s="1">
        <v>41812</v>
      </c>
      <c r="C858" t="s">
        <v>1036</v>
      </c>
      <c r="D858" t="s">
        <v>44</v>
      </c>
      <c r="E858" t="s">
        <v>1038</v>
      </c>
      <c r="F858">
        <v>192.16</v>
      </c>
      <c r="G858">
        <v>4</v>
      </c>
      <c r="H858">
        <v>92.236800000000002</v>
      </c>
      <c r="I858">
        <v>5</v>
      </c>
      <c r="J858">
        <v>2014</v>
      </c>
      <c r="K858" t="s">
        <v>2206</v>
      </c>
      <c r="L858" t="str">
        <f>TEXT(maintable_2[[#This Row],[Order Date]],"mmmm")</f>
        <v>June</v>
      </c>
    </row>
    <row r="859" spans="1:12" x14ac:dyDescent="0.3">
      <c r="A859" s="1">
        <v>40938</v>
      </c>
      <c r="B859" s="1">
        <v>40945</v>
      </c>
      <c r="C859" t="s">
        <v>291</v>
      </c>
      <c r="D859" t="s">
        <v>11</v>
      </c>
      <c r="E859" t="s">
        <v>1039</v>
      </c>
      <c r="F859">
        <v>227.36</v>
      </c>
      <c r="G859">
        <v>7</v>
      </c>
      <c r="H859">
        <v>81.849599999999995</v>
      </c>
      <c r="I859">
        <v>7</v>
      </c>
      <c r="J859">
        <v>2012</v>
      </c>
      <c r="K859" t="s">
        <v>2210</v>
      </c>
      <c r="L859" t="str">
        <f>TEXT(maintable_2[[#This Row],[Order Date]],"mmmm")</f>
        <v>January</v>
      </c>
    </row>
    <row r="860" spans="1:12" x14ac:dyDescent="0.3">
      <c r="A860" s="1">
        <v>40938</v>
      </c>
      <c r="B860" s="1">
        <v>40945</v>
      </c>
      <c r="C860" t="s">
        <v>291</v>
      </c>
      <c r="D860" t="s">
        <v>494</v>
      </c>
      <c r="E860" t="s">
        <v>1040</v>
      </c>
      <c r="F860">
        <v>1919.9760000000001</v>
      </c>
      <c r="G860">
        <v>3</v>
      </c>
      <c r="H860">
        <v>215.9973</v>
      </c>
      <c r="I860">
        <v>7</v>
      </c>
      <c r="J860">
        <v>2012</v>
      </c>
      <c r="K860" t="s">
        <v>2210</v>
      </c>
      <c r="L860" t="str">
        <f>TEXT(maintable_2[[#This Row],[Order Date]],"mmmm")</f>
        <v>January</v>
      </c>
    </row>
    <row r="861" spans="1:12" x14ac:dyDescent="0.3">
      <c r="A861" s="1">
        <v>41244</v>
      </c>
      <c r="B861" s="1">
        <v>41249</v>
      </c>
      <c r="C861" t="s">
        <v>588</v>
      </c>
      <c r="D861" t="s">
        <v>13</v>
      </c>
      <c r="E861" t="s">
        <v>1041</v>
      </c>
      <c r="F861">
        <v>13.9</v>
      </c>
      <c r="G861">
        <v>5</v>
      </c>
      <c r="H861">
        <v>5.56</v>
      </c>
      <c r="I861">
        <v>5</v>
      </c>
      <c r="J861">
        <v>2012</v>
      </c>
      <c r="K861" t="s">
        <v>2209</v>
      </c>
      <c r="L861" t="str">
        <f>TEXT(maintable_2[[#This Row],[Order Date]],"mmmm")</f>
        <v>December</v>
      </c>
    </row>
    <row r="862" spans="1:12" x14ac:dyDescent="0.3">
      <c r="A862" s="1">
        <v>41995</v>
      </c>
      <c r="B862" s="1">
        <v>42001</v>
      </c>
      <c r="C862" t="s">
        <v>1042</v>
      </c>
      <c r="D862" t="s">
        <v>27</v>
      </c>
      <c r="E862" t="s">
        <v>496</v>
      </c>
      <c r="F862">
        <v>124.36</v>
      </c>
      <c r="G862">
        <v>2</v>
      </c>
      <c r="H862">
        <v>33.577199999999998</v>
      </c>
      <c r="I862">
        <v>6</v>
      </c>
      <c r="J862">
        <v>2014</v>
      </c>
      <c r="K862" t="s">
        <v>2207</v>
      </c>
      <c r="L862" t="str">
        <f>TEXT(maintable_2[[#This Row],[Order Date]],"mmmm")</f>
        <v>December</v>
      </c>
    </row>
    <row r="863" spans="1:12" x14ac:dyDescent="0.3">
      <c r="A863" s="1">
        <v>40820</v>
      </c>
      <c r="B863" s="1">
        <v>40824</v>
      </c>
      <c r="C863" t="s">
        <v>1043</v>
      </c>
      <c r="D863" t="s">
        <v>8</v>
      </c>
      <c r="E863" t="s">
        <v>1044</v>
      </c>
      <c r="F863">
        <v>14.45</v>
      </c>
      <c r="G863">
        <v>5</v>
      </c>
      <c r="H863">
        <v>6.7915000000000001</v>
      </c>
      <c r="I863">
        <v>4</v>
      </c>
      <c r="J863">
        <v>2011</v>
      </c>
      <c r="K863" t="s">
        <v>2209</v>
      </c>
      <c r="L863" t="str">
        <f>TEXT(maintable_2[[#This Row],[Order Date]],"mmmm")</f>
        <v>October</v>
      </c>
    </row>
    <row r="864" spans="1:12" x14ac:dyDescent="0.3">
      <c r="A864" s="1">
        <v>40820</v>
      </c>
      <c r="B864" s="1">
        <v>40824</v>
      </c>
      <c r="C864" t="s">
        <v>1043</v>
      </c>
      <c r="D864" t="s">
        <v>17</v>
      </c>
      <c r="E864" t="s">
        <v>809</v>
      </c>
      <c r="F864">
        <v>95.647999999999996</v>
      </c>
      <c r="G864">
        <v>2</v>
      </c>
      <c r="H864">
        <v>31.085599999999999</v>
      </c>
      <c r="I864">
        <v>4</v>
      </c>
      <c r="J864">
        <v>2011</v>
      </c>
      <c r="K864" t="s">
        <v>2209</v>
      </c>
      <c r="L864" t="str">
        <f>TEXT(maintable_2[[#This Row],[Order Date]],"mmmm")</f>
        <v>October</v>
      </c>
    </row>
    <row r="865" spans="1:12" x14ac:dyDescent="0.3">
      <c r="A865" s="1">
        <v>41684</v>
      </c>
      <c r="B865" s="1">
        <v>41690</v>
      </c>
      <c r="C865" t="s">
        <v>1045</v>
      </c>
      <c r="D865" t="s">
        <v>13</v>
      </c>
      <c r="E865" t="s">
        <v>99</v>
      </c>
      <c r="F865">
        <v>6.63</v>
      </c>
      <c r="G865">
        <v>3</v>
      </c>
      <c r="H865">
        <v>1.7901</v>
      </c>
      <c r="I865">
        <v>6</v>
      </c>
      <c r="J865">
        <v>2014</v>
      </c>
      <c r="K865" t="s">
        <v>2210</v>
      </c>
      <c r="L865" t="str">
        <f>TEXT(maintable_2[[#This Row],[Order Date]],"mmmm")</f>
        <v>February</v>
      </c>
    </row>
    <row r="866" spans="1:12" x14ac:dyDescent="0.3">
      <c r="A866" s="1">
        <v>41684</v>
      </c>
      <c r="B866" s="1">
        <v>41690</v>
      </c>
      <c r="C866" t="s">
        <v>1045</v>
      </c>
      <c r="D866" t="s">
        <v>37</v>
      </c>
      <c r="E866" t="s">
        <v>381</v>
      </c>
      <c r="F866">
        <v>799.96</v>
      </c>
      <c r="G866">
        <v>4</v>
      </c>
      <c r="H866">
        <v>343.9828</v>
      </c>
      <c r="I866">
        <v>6</v>
      </c>
      <c r="J866">
        <v>2014</v>
      </c>
      <c r="K866" t="s">
        <v>2210</v>
      </c>
      <c r="L866" t="str">
        <f>TEXT(maintable_2[[#This Row],[Order Date]],"mmmm")</f>
        <v>February</v>
      </c>
    </row>
    <row r="867" spans="1:12" x14ac:dyDescent="0.3">
      <c r="A867" s="1">
        <v>41684</v>
      </c>
      <c r="B867" s="1">
        <v>41690</v>
      </c>
      <c r="C867" t="s">
        <v>1045</v>
      </c>
      <c r="D867" t="s">
        <v>11</v>
      </c>
      <c r="E867" t="s">
        <v>1046</v>
      </c>
      <c r="F867">
        <v>107.53</v>
      </c>
      <c r="G867">
        <v>1</v>
      </c>
      <c r="H867">
        <v>21.506</v>
      </c>
      <c r="I867">
        <v>6</v>
      </c>
      <c r="J867">
        <v>2014</v>
      </c>
      <c r="K867" t="s">
        <v>2210</v>
      </c>
      <c r="L867" t="str">
        <f>TEXT(maintable_2[[#This Row],[Order Date]],"mmmm")</f>
        <v>February</v>
      </c>
    </row>
    <row r="868" spans="1:12" x14ac:dyDescent="0.3">
      <c r="A868" s="1">
        <v>40960</v>
      </c>
      <c r="B868" s="1">
        <v>40962</v>
      </c>
      <c r="C868" t="s">
        <v>791</v>
      </c>
      <c r="D868" t="s">
        <v>44</v>
      </c>
      <c r="E868" t="s">
        <v>105</v>
      </c>
      <c r="F868">
        <v>49.12</v>
      </c>
      <c r="G868">
        <v>4</v>
      </c>
      <c r="H868">
        <v>23.086400000000001</v>
      </c>
      <c r="I868">
        <v>2</v>
      </c>
      <c r="J868">
        <v>2012</v>
      </c>
      <c r="K868" t="s">
        <v>2210</v>
      </c>
      <c r="L868" t="str">
        <f>TEXT(maintable_2[[#This Row],[Order Date]],"mmmm")</f>
        <v>February</v>
      </c>
    </row>
    <row r="869" spans="1:12" x14ac:dyDescent="0.3">
      <c r="A869" s="1">
        <v>40851</v>
      </c>
      <c r="B869" s="1">
        <v>40855</v>
      </c>
      <c r="C869" t="s">
        <v>1047</v>
      </c>
      <c r="D869" t="s">
        <v>11</v>
      </c>
      <c r="E869" t="s">
        <v>1048</v>
      </c>
      <c r="F869">
        <v>35.340000000000003</v>
      </c>
      <c r="G869">
        <v>2</v>
      </c>
      <c r="H869">
        <v>13.4292</v>
      </c>
      <c r="I869">
        <v>4</v>
      </c>
      <c r="J869">
        <v>2011</v>
      </c>
      <c r="K869" t="s">
        <v>2209</v>
      </c>
      <c r="L869" t="str">
        <f>TEXT(maintable_2[[#This Row],[Order Date]],"mmmm")</f>
        <v>November</v>
      </c>
    </row>
    <row r="870" spans="1:12" x14ac:dyDescent="0.3">
      <c r="A870" s="1">
        <v>41080</v>
      </c>
      <c r="B870" s="1">
        <v>41085</v>
      </c>
      <c r="C870" t="s">
        <v>777</v>
      </c>
      <c r="D870" t="s">
        <v>11</v>
      </c>
      <c r="E870" t="s">
        <v>642</v>
      </c>
      <c r="F870">
        <v>257.64</v>
      </c>
      <c r="G870">
        <v>6</v>
      </c>
      <c r="H870">
        <v>100.4796</v>
      </c>
      <c r="I870">
        <v>5</v>
      </c>
      <c r="J870">
        <v>2012</v>
      </c>
      <c r="K870" t="s">
        <v>2206</v>
      </c>
      <c r="L870" t="str">
        <f>TEXT(maintable_2[[#This Row],[Order Date]],"mmmm")</f>
        <v>June</v>
      </c>
    </row>
    <row r="871" spans="1:12" x14ac:dyDescent="0.3">
      <c r="A871" s="1">
        <v>41080</v>
      </c>
      <c r="B871" s="1">
        <v>41085</v>
      </c>
      <c r="C871" t="s">
        <v>777</v>
      </c>
      <c r="D871" t="s">
        <v>15</v>
      </c>
      <c r="E871" t="s">
        <v>49</v>
      </c>
      <c r="F871">
        <v>125.976</v>
      </c>
      <c r="G871">
        <v>3</v>
      </c>
      <c r="H871">
        <v>47.241</v>
      </c>
      <c r="I871">
        <v>5</v>
      </c>
      <c r="J871">
        <v>2012</v>
      </c>
      <c r="K871" t="s">
        <v>2206</v>
      </c>
      <c r="L871" t="str">
        <f>TEXT(maintable_2[[#This Row],[Order Date]],"mmmm")</f>
        <v>June</v>
      </c>
    </row>
    <row r="872" spans="1:12" x14ac:dyDescent="0.3">
      <c r="A872" s="1">
        <v>40702</v>
      </c>
      <c r="B872" s="1">
        <v>40708</v>
      </c>
      <c r="C872" t="s">
        <v>1049</v>
      </c>
      <c r="D872" t="s">
        <v>71</v>
      </c>
      <c r="E872" t="s">
        <v>1050</v>
      </c>
      <c r="F872">
        <v>585.55200000000002</v>
      </c>
      <c r="G872">
        <v>3</v>
      </c>
      <c r="H872">
        <v>73.194000000000003</v>
      </c>
      <c r="I872">
        <v>6</v>
      </c>
      <c r="J872">
        <v>2011</v>
      </c>
      <c r="K872" t="s">
        <v>2206</v>
      </c>
      <c r="L872" t="str">
        <f>TEXT(maintable_2[[#This Row],[Order Date]],"mmmm")</f>
        <v>June</v>
      </c>
    </row>
    <row r="873" spans="1:12" x14ac:dyDescent="0.3">
      <c r="A873" s="1">
        <v>40763</v>
      </c>
      <c r="B873" s="1">
        <v>40766</v>
      </c>
      <c r="C873" t="s">
        <v>957</v>
      </c>
      <c r="D873" t="s">
        <v>27</v>
      </c>
      <c r="E873" t="s">
        <v>1051</v>
      </c>
      <c r="F873">
        <v>423.28</v>
      </c>
      <c r="G873">
        <v>11</v>
      </c>
      <c r="H873">
        <v>110.0528</v>
      </c>
      <c r="I873">
        <v>3</v>
      </c>
      <c r="J873">
        <v>2011</v>
      </c>
      <c r="K873" t="s">
        <v>2206</v>
      </c>
      <c r="L873" t="str">
        <f>TEXT(maintable_2[[#This Row],[Order Date]],"mmmm")</f>
        <v>August</v>
      </c>
    </row>
    <row r="874" spans="1:12" x14ac:dyDescent="0.3">
      <c r="A874" s="1">
        <v>40689</v>
      </c>
      <c r="B874" s="1">
        <v>40693</v>
      </c>
      <c r="C874" t="s">
        <v>1052</v>
      </c>
      <c r="D874" t="s">
        <v>71</v>
      </c>
      <c r="E874" t="s">
        <v>1053</v>
      </c>
      <c r="F874">
        <v>225.29599999999999</v>
      </c>
      <c r="G874">
        <v>2</v>
      </c>
      <c r="H874">
        <v>22.529599999999999</v>
      </c>
      <c r="I874">
        <v>4</v>
      </c>
      <c r="J874">
        <v>2011</v>
      </c>
      <c r="K874" t="s">
        <v>2208</v>
      </c>
      <c r="L874" t="str">
        <f>TEXT(maintable_2[[#This Row],[Order Date]],"mmmm")</f>
        <v>May</v>
      </c>
    </row>
    <row r="875" spans="1:12" x14ac:dyDescent="0.3">
      <c r="A875" s="1">
        <v>41016</v>
      </c>
      <c r="B875" s="1">
        <v>41020</v>
      </c>
      <c r="C875" t="s">
        <v>1054</v>
      </c>
      <c r="D875" t="s">
        <v>13</v>
      </c>
      <c r="E875" t="s">
        <v>1041</v>
      </c>
      <c r="F875">
        <v>5.56</v>
      </c>
      <c r="G875">
        <v>2</v>
      </c>
      <c r="H875">
        <v>2.2240000000000002</v>
      </c>
      <c r="I875">
        <v>4</v>
      </c>
      <c r="J875">
        <v>2012</v>
      </c>
      <c r="K875" t="s">
        <v>2208</v>
      </c>
      <c r="L875" t="str">
        <f>TEXT(maintable_2[[#This Row],[Order Date]],"mmmm")</f>
        <v>April</v>
      </c>
    </row>
    <row r="876" spans="1:12" x14ac:dyDescent="0.3">
      <c r="A876" s="1">
        <v>41016</v>
      </c>
      <c r="B876" s="1">
        <v>41020</v>
      </c>
      <c r="C876" t="s">
        <v>1054</v>
      </c>
      <c r="D876" t="s">
        <v>37</v>
      </c>
      <c r="E876" t="s">
        <v>1055</v>
      </c>
      <c r="F876">
        <v>323.37</v>
      </c>
      <c r="G876">
        <v>3</v>
      </c>
      <c r="H876">
        <v>129.34800000000001</v>
      </c>
      <c r="I876">
        <v>4</v>
      </c>
      <c r="J876">
        <v>2012</v>
      </c>
      <c r="K876" t="s">
        <v>2208</v>
      </c>
      <c r="L876" t="str">
        <f>TEXT(maintable_2[[#This Row],[Order Date]],"mmmm")</f>
        <v>April</v>
      </c>
    </row>
    <row r="877" spans="1:12" x14ac:dyDescent="0.3">
      <c r="A877" s="1">
        <v>41016</v>
      </c>
      <c r="B877" s="1">
        <v>41020</v>
      </c>
      <c r="C877" t="s">
        <v>1054</v>
      </c>
      <c r="D877" t="s">
        <v>15</v>
      </c>
      <c r="E877" t="s">
        <v>1056</v>
      </c>
      <c r="F877">
        <v>783.96</v>
      </c>
      <c r="G877">
        <v>5</v>
      </c>
      <c r="H877">
        <v>68.596500000000006</v>
      </c>
      <c r="I877">
        <v>4</v>
      </c>
      <c r="J877">
        <v>2012</v>
      </c>
      <c r="K877" t="s">
        <v>2208</v>
      </c>
      <c r="L877" t="str">
        <f>TEXT(maintable_2[[#This Row],[Order Date]],"mmmm")</f>
        <v>April</v>
      </c>
    </row>
    <row r="878" spans="1:12" x14ac:dyDescent="0.3">
      <c r="A878" s="1">
        <v>41016</v>
      </c>
      <c r="B878" s="1">
        <v>41020</v>
      </c>
      <c r="C878" t="s">
        <v>1054</v>
      </c>
      <c r="D878" t="s">
        <v>19</v>
      </c>
      <c r="E878" t="s">
        <v>1057</v>
      </c>
      <c r="F878">
        <v>1447.65</v>
      </c>
      <c r="G878">
        <v>5</v>
      </c>
      <c r="H878">
        <v>419.81849999999997</v>
      </c>
      <c r="I878">
        <v>4</v>
      </c>
      <c r="J878">
        <v>2012</v>
      </c>
      <c r="K878" t="s">
        <v>2208</v>
      </c>
      <c r="L878" t="str">
        <f>TEXT(maintable_2[[#This Row],[Order Date]],"mmmm")</f>
        <v>April</v>
      </c>
    </row>
    <row r="879" spans="1:12" x14ac:dyDescent="0.3">
      <c r="A879" s="1">
        <v>41016</v>
      </c>
      <c r="B879" s="1">
        <v>41020</v>
      </c>
      <c r="C879" t="s">
        <v>1054</v>
      </c>
      <c r="D879" t="s">
        <v>44</v>
      </c>
      <c r="E879" t="s">
        <v>1058</v>
      </c>
      <c r="F879">
        <v>11.96</v>
      </c>
      <c r="G879">
        <v>2</v>
      </c>
      <c r="H879">
        <v>5.8604000000000003</v>
      </c>
      <c r="I879">
        <v>4</v>
      </c>
      <c r="J879">
        <v>2012</v>
      </c>
      <c r="K879" t="s">
        <v>2208</v>
      </c>
      <c r="L879" t="str">
        <f>TEXT(maintable_2[[#This Row],[Order Date]],"mmmm")</f>
        <v>April</v>
      </c>
    </row>
    <row r="880" spans="1:12" x14ac:dyDescent="0.3">
      <c r="A880" s="1">
        <v>40689</v>
      </c>
      <c r="B880" s="1">
        <v>40692</v>
      </c>
      <c r="C880" t="s">
        <v>1059</v>
      </c>
      <c r="D880" t="s">
        <v>44</v>
      </c>
      <c r="E880" t="s">
        <v>193</v>
      </c>
      <c r="F880">
        <v>48.4</v>
      </c>
      <c r="G880">
        <v>5</v>
      </c>
      <c r="H880">
        <v>23.231999999999999</v>
      </c>
      <c r="I880">
        <v>3</v>
      </c>
      <c r="J880">
        <v>2011</v>
      </c>
      <c r="K880" t="s">
        <v>2208</v>
      </c>
      <c r="L880" t="str">
        <f>TEXT(maintable_2[[#This Row],[Order Date]],"mmmm")</f>
        <v>May</v>
      </c>
    </row>
    <row r="881" spans="1:12" x14ac:dyDescent="0.3">
      <c r="A881" s="1">
        <v>41925</v>
      </c>
      <c r="B881" s="1">
        <v>41927</v>
      </c>
      <c r="C881" t="s">
        <v>98</v>
      </c>
      <c r="D881" t="s">
        <v>37</v>
      </c>
      <c r="E881" t="s">
        <v>1060</v>
      </c>
      <c r="F881">
        <v>0.99</v>
      </c>
      <c r="G881">
        <v>1</v>
      </c>
      <c r="H881">
        <v>0.43559999999999999</v>
      </c>
      <c r="I881">
        <v>2</v>
      </c>
      <c r="J881">
        <v>2014</v>
      </c>
      <c r="K881" t="s">
        <v>2209</v>
      </c>
      <c r="L881" t="str">
        <f>TEXT(maintable_2[[#This Row],[Order Date]],"mmmm")</f>
        <v>October</v>
      </c>
    </row>
    <row r="882" spans="1:12" x14ac:dyDescent="0.3">
      <c r="A882" s="1">
        <v>41925</v>
      </c>
      <c r="B882" s="1">
        <v>41927</v>
      </c>
      <c r="C882" t="s">
        <v>98</v>
      </c>
      <c r="D882" t="s">
        <v>17</v>
      </c>
      <c r="E882" t="s">
        <v>1061</v>
      </c>
      <c r="F882">
        <v>101.84</v>
      </c>
      <c r="G882">
        <v>5</v>
      </c>
      <c r="H882">
        <v>36.917000000000002</v>
      </c>
      <c r="I882">
        <v>2</v>
      </c>
      <c r="J882">
        <v>2014</v>
      </c>
      <c r="K882" t="s">
        <v>2209</v>
      </c>
      <c r="L882" t="str">
        <f>TEXT(maintable_2[[#This Row],[Order Date]],"mmmm")</f>
        <v>October</v>
      </c>
    </row>
    <row r="883" spans="1:12" x14ac:dyDescent="0.3">
      <c r="A883" s="1">
        <v>41569</v>
      </c>
      <c r="B883" s="1">
        <v>41573</v>
      </c>
      <c r="C883" t="s">
        <v>208</v>
      </c>
      <c r="D883" t="s">
        <v>27</v>
      </c>
      <c r="E883" t="s">
        <v>645</v>
      </c>
      <c r="F883">
        <v>154.44</v>
      </c>
      <c r="G883">
        <v>3</v>
      </c>
      <c r="H883">
        <v>1.5444</v>
      </c>
      <c r="I883">
        <v>4</v>
      </c>
      <c r="J883">
        <v>2013</v>
      </c>
      <c r="K883" t="s">
        <v>2209</v>
      </c>
      <c r="L883" t="str">
        <f>TEXT(maintable_2[[#This Row],[Order Date]],"mmmm")</f>
        <v>October</v>
      </c>
    </row>
    <row r="884" spans="1:12" x14ac:dyDescent="0.3">
      <c r="A884" s="1">
        <v>41264</v>
      </c>
      <c r="B884" s="1">
        <v>41268</v>
      </c>
      <c r="C884" t="s">
        <v>1062</v>
      </c>
      <c r="D884" t="s">
        <v>19</v>
      </c>
      <c r="E884" t="s">
        <v>549</v>
      </c>
      <c r="F884">
        <v>60.984000000000002</v>
      </c>
      <c r="G884">
        <v>7</v>
      </c>
      <c r="H884">
        <v>4.5738000000000003</v>
      </c>
      <c r="I884">
        <v>4</v>
      </c>
      <c r="J884">
        <v>2012</v>
      </c>
      <c r="K884" t="s">
        <v>2207</v>
      </c>
      <c r="L884" t="str">
        <f>TEXT(maintable_2[[#This Row],[Order Date]],"mmmm")</f>
        <v>December</v>
      </c>
    </row>
    <row r="885" spans="1:12" x14ac:dyDescent="0.3">
      <c r="A885" s="1">
        <v>41107</v>
      </c>
      <c r="B885" s="1">
        <v>41109</v>
      </c>
      <c r="C885" t="s">
        <v>632</v>
      </c>
      <c r="D885" t="s">
        <v>196</v>
      </c>
      <c r="E885" t="s">
        <v>735</v>
      </c>
      <c r="F885">
        <v>195.46600000000001</v>
      </c>
      <c r="G885">
        <v>2</v>
      </c>
      <c r="H885">
        <v>-13.797599999999999</v>
      </c>
      <c r="I885">
        <v>2</v>
      </c>
      <c r="J885">
        <v>2012</v>
      </c>
      <c r="K885" t="s">
        <v>2206</v>
      </c>
      <c r="L885" t="str">
        <f>TEXT(maintable_2[[#This Row],[Order Date]],"mmmm")</f>
        <v>July</v>
      </c>
    </row>
    <row r="886" spans="1:12" x14ac:dyDescent="0.3">
      <c r="A886" s="1">
        <v>41173</v>
      </c>
      <c r="B886" s="1">
        <v>41175</v>
      </c>
      <c r="C886" t="s">
        <v>717</v>
      </c>
      <c r="D886" t="s">
        <v>71</v>
      </c>
      <c r="E886" t="s">
        <v>285</v>
      </c>
      <c r="F886">
        <v>601.53599999999994</v>
      </c>
      <c r="G886">
        <v>4</v>
      </c>
      <c r="H886">
        <v>0</v>
      </c>
      <c r="I886">
        <v>2</v>
      </c>
      <c r="J886">
        <v>2012</v>
      </c>
      <c r="K886" t="s">
        <v>2209</v>
      </c>
      <c r="L886" t="str">
        <f>TEXT(maintable_2[[#This Row],[Order Date]],"mmmm")</f>
        <v>September</v>
      </c>
    </row>
    <row r="887" spans="1:12" x14ac:dyDescent="0.3">
      <c r="A887" s="1">
        <v>41173</v>
      </c>
      <c r="B887" s="1">
        <v>41175</v>
      </c>
      <c r="C887" t="s">
        <v>717</v>
      </c>
      <c r="D887" t="s">
        <v>78</v>
      </c>
      <c r="E887" t="s">
        <v>1063</v>
      </c>
      <c r="F887">
        <v>7.9</v>
      </c>
      <c r="G887">
        <v>2</v>
      </c>
      <c r="H887">
        <v>2.528</v>
      </c>
      <c r="I887">
        <v>2</v>
      </c>
      <c r="J887">
        <v>2012</v>
      </c>
      <c r="K887" t="s">
        <v>2209</v>
      </c>
      <c r="L887" t="str">
        <f>TEXT(maintable_2[[#This Row],[Order Date]],"mmmm")</f>
        <v>September</v>
      </c>
    </row>
    <row r="888" spans="1:12" x14ac:dyDescent="0.3">
      <c r="A888" s="1">
        <v>40645</v>
      </c>
      <c r="B888" s="1">
        <v>40650</v>
      </c>
      <c r="C888" t="s">
        <v>1064</v>
      </c>
      <c r="D888" t="s">
        <v>15</v>
      </c>
      <c r="E888" t="s">
        <v>1065</v>
      </c>
      <c r="F888">
        <v>1075.088</v>
      </c>
      <c r="G888">
        <v>14</v>
      </c>
      <c r="H888">
        <v>94.0702</v>
      </c>
      <c r="I888">
        <v>5</v>
      </c>
      <c r="J888">
        <v>2011</v>
      </c>
      <c r="K888" t="s">
        <v>2208</v>
      </c>
      <c r="L888" t="str">
        <f>TEXT(maintable_2[[#This Row],[Order Date]],"mmmm")</f>
        <v>April</v>
      </c>
    </row>
    <row r="889" spans="1:12" x14ac:dyDescent="0.3">
      <c r="A889" s="1">
        <v>40645</v>
      </c>
      <c r="B889" s="1">
        <v>40650</v>
      </c>
      <c r="C889" t="s">
        <v>1064</v>
      </c>
      <c r="D889" t="s">
        <v>15</v>
      </c>
      <c r="E889" t="s">
        <v>478</v>
      </c>
      <c r="F889">
        <v>438.36799999999999</v>
      </c>
      <c r="G889">
        <v>4</v>
      </c>
      <c r="H889">
        <v>38.357199999999999</v>
      </c>
      <c r="I889">
        <v>5</v>
      </c>
      <c r="J889">
        <v>2011</v>
      </c>
      <c r="K889" t="s">
        <v>2208</v>
      </c>
      <c r="L889" t="str">
        <f>TEXT(maintable_2[[#This Row],[Order Date]],"mmmm")</f>
        <v>April</v>
      </c>
    </row>
    <row r="890" spans="1:12" x14ac:dyDescent="0.3">
      <c r="A890" s="1">
        <v>40645</v>
      </c>
      <c r="B890" s="1">
        <v>40650</v>
      </c>
      <c r="C890" t="s">
        <v>1064</v>
      </c>
      <c r="D890" t="s">
        <v>17</v>
      </c>
      <c r="E890" t="s">
        <v>297</v>
      </c>
      <c r="F890">
        <v>18.088000000000001</v>
      </c>
      <c r="G890">
        <v>7</v>
      </c>
      <c r="H890">
        <v>6.5568999999999997</v>
      </c>
      <c r="I890">
        <v>5</v>
      </c>
      <c r="J890">
        <v>2011</v>
      </c>
      <c r="K890" t="s">
        <v>2208</v>
      </c>
      <c r="L890" t="str">
        <f>TEXT(maintable_2[[#This Row],[Order Date]],"mmmm")</f>
        <v>April</v>
      </c>
    </row>
    <row r="891" spans="1:12" x14ac:dyDescent="0.3">
      <c r="A891" s="1">
        <v>40645</v>
      </c>
      <c r="B891" s="1">
        <v>40650</v>
      </c>
      <c r="C891" t="s">
        <v>1064</v>
      </c>
      <c r="D891" t="s">
        <v>196</v>
      </c>
      <c r="E891" t="s">
        <v>234</v>
      </c>
      <c r="F891">
        <v>308.49900000000002</v>
      </c>
      <c r="G891">
        <v>3</v>
      </c>
      <c r="H891">
        <v>-18.146999999999998</v>
      </c>
      <c r="I891">
        <v>5</v>
      </c>
      <c r="J891">
        <v>2011</v>
      </c>
      <c r="K891" t="s">
        <v>2208</v>
      </c>
      <c r="L891" t="str">
        <f>TEXT(maintable_2[[#This Row],[Order Date]],"mmmm")</f>
        <v>April</v>
      </c>
    </row>
    <row r="892" spans="1:12" x14ac:dyDescent="0.3">
      <c r="A892" s="1">
        <v>41214</v>
      </c>
      <c r="B892" s="1">
        <v>41217</v>
      </c>
      <c r="C892" t="s">
        <v>1066</v>
      </c>
      <c r="D892" t="s">
        <v>13</v>
      </c>
      <c r="E892" t="s">
        <v>1067</v>
      </c>
      <c r="F892">
        <v>7.88</v>
      </c>
      <c r="G892">
        <v>1</v>
      </c>
      <c r="H892">
        <v>1.7729999999999999</v>
      </c>
      <c r="I892">
        <v>3</v>
      </c>
      <c r="J892">
        <v>2012</v>
      </c>
      <c r="K892" t="s">
        <v>2209</v>
      </c>
      <c r="L892" t="str">
        <f>TEXT(maintable_2[[#This Row],[Order Date]],"mmmm")</f>
        <v>November</v>
      </c>
    </row>
    <row r="893" spans="1:12" x14ac:dyDescent="0.3">
      <c r="A893" s="1">
        <v>41947</v>
      </c>
      <c r="B893" s="1">
        <v>41952</v>
      </c>
      <c r="C893" t="s">
        <v>1068</v>
      </c>
      <c r="D893" t="s">
        <v>11</v>
      </c>
      <c r="E893" t="s">
        <v>1069</v>
      </c>
      <c r="F893">
        <v>41.37</v>
      </c>
      <c r="G893">
        <v>3</v>
      </c>
      <c r="H893">
        <v>17.375399999999999</v>
      </c>
      <c r="I893">
        <v>5</v>
      </c>
      <c r="J893">
        <v>2014</v>
      </c>
      <c r="K893" t="s">
        <v>2209</v>
      </c>
      <c r="L893" t="str">
        <f>TEXT(maintable_2[[#This Row],[Order Date]],"mmmm")</f>
        <v>November</v>
      </c>
    </row>
    <row r="894" spans="1:12" x14ac:dyDescent="0.3">
      <c r="A894" s="1">
        <v>41041</v>
      </c>
      <c r="B894" s="1">
        <v>41045</v>
      </c>
      <c r="C894" t="s">
        <v>1070</v>
      </c>
      <c r="D894" t="s">
        <v>44</v>
      </c>
      <c r="E894" t="s">
        <v>732</v>
      </c>
      <c r="F894">
        <v>12.84</v>
      </c>
      <c r="G894">
        <v>3</v>
      </c>
      <c r="H894">
        <v>5.7779999999999996</v>
      </c>
      <c r="I894">
        <v>4</v>
      </c>
      <c r="J894">
        <v>2012</v>
      </c>
      <c r="K894" t="s">
        <v>2208</v>
      </c>
      <c r="L894" t="str">
        <f>TEXT(maintable_2[[#This Row],[Order Date]],"mmmm")</f>
        <v>May</v>
      </c>
    </row>
    <row r="895" spans="1:12" x14ac:dyDescent="0.3">
      <c r="A895" s="1">
        <v>41041</v>
      </c>
      <c r="B895" s="1">
        <v>41045</v>
      </c>
      <c r="C895" t="s">
        <v>1070</v>
      </c>
      <c r="D895" t="s">
        <v>44</v>
      </c>
      <c r="E895" t="s">
        <v>1071</v>
      </c>
      <c r="F895">
        <v>25.68</v>
      </c>
      <c r="G895">
        <v>6</v>
      </c>
      <c r="H895">
        <v>11.555999999999999</v>
      </c>
      <c r="I895">
        <v>4</v>
      </c>
      <c r="J895">
        <v>2012</v>
      </c>
      <c r="K895" t="s">
        <v>2208</v>
      </c>
      <c r="L895" t="str">
        <f>TEXT(maintable_2[[#This Row],[Order Date]],"mmmm")</f>
        <v>May</v>
      </c>
    </row>
    <row r="896" spans="1:12" x14ac:dyDescent="0.3">
      <c r="A896" s="1">
        <v>41115</v>
      </c>
      <c r="B896" s="1">
        <v>41117</v>
      </c>
      <c r="C896" t="s">
        <v>1072</v>
      </c>
      <c r="D896" t="s">
        <v>78</v>
      </c>
      <c r="E896" t="s">
        <v>801</v>
      </c>
      <c r="F896">
        <v>9.42</v>
      </c>
      <c r="G896">
        <v>2</v>
      </c>
      <c r="H896">
        <v>0.47099999999999997</v>
      </c>
      <c r="I896">
        <v>2</v>
      </c>
      <c r="J896">
        <v>2012</v>
      </c>
      <c r="K896" t="s">
        <v>2206</v>
      </c>
      <c r="L896" t="str">
        <f>TEXT(maintable_2[[#This Row],[Order Date]],"mmmm")</f>
        <v>July</v>
      </c>
    </row>
    <row r="897" spans="1:12" x14ac:dyDescent="0.3">
      <c r="A897" s="1">
        <v>41115</v>
      </c>
      <c r="B897" s="1">
        <v>41117</v>
      </c>
      <c r="C897" t="s">
        <v>1072</v>
      </c>
      <c r="D897" t="s">
        <v>44</v>
      </c>
      <c r="E897" t="s">
        <v>1073</v>
      </c>
      <c r="F897">
        <v>12.96</v>
      </c>
      <c r="G897">
        <v>2</v>
      </c>
      <c r="H897">
        <v>6.2207999999999997</v>
      </c>
      <c r="I897">
        <v>2</v>
      </c>
      <c r="J897">
        <v>2012</v>
      </c>
      <c r="K897" t="s">
        <v>2206</v>
      </c>
      <c r="L897" t="str">
        <f>TEXT(maintable_2[[#This Row],[Order Date]],"mmmm")</f>
        <v>July</v>
      </c>
    </row>
    <row r="898" spans="1:12" x14ac:dyDescent="0.3">
      <c r="A898" s="1">
        <v>41115</v>
      </c>
      <c r="B898" s="1">
        <v>41117</v>
      </c>
      <c r="C898" t="s">
        <v>1072</v>
      </c>
      <c r="D898" t="s">
        <v>196</v>
      </c>
      <c r="E898" t="s">
        <v>1074</v>
      </c>
      <c r="F898">
        <v>704.9</v>
      </c>
      <c r="G898">
        <v>5</v>
      </c>
      <c r="H898">
        <v>56.392000000000003</v>
      </c>
      <c r="I898">
        <v>2</v>
      </c>
      <c r="J898">
        <v>2012</v>
      </c>
      <c r="K898" t="s">
        <v>2206</v>
      </c>
      <c r="L898" t="str">
        <f>TEXT(maintable_2[[#This Row],[Order Date]],"mmmm")</f>
        <v>July</v>
      </c>
    </row>
    <row r="899" spans="1:12" x14ac:dyDescent="0.3">
      <c r="A899" s="1">
        <v>41115</v>
      </c>
      <c r="B899" s="1">
        <v>41117</v>
      </c>
      <c r="C899" t="s">
        <v>1072</v>
      </c>
      <c r="D899" t="s">
        <v>71</v>
      </c>
      <c r="E899" t="s">
        <v>1075</v>
      </c>
      <c r="F899">
        <v>561.56799999999998</v>
      </c>
      <c r="G899">
        <v>2</v>
      </c>
      <c r="H899">
        <v>28.078399999999998</v>
      </c>
      <c r="I899">
        <v>2</v>
      </c>
      <c r="J899">
        <v>2012</v>
      </c>
      <c r="K899" t="s">
        <v>2206</v>
      </c>
      <c r="L899" t="str">
        <f>TEXT(maintable_2[[#This Row],[Order Date]],"mmmm")</f>
        <v>July</v>
      </c>
    </row>
    <row r="900" spans="1:12" x14ac:dyDescent="0.3">
      <c r="A900" s="1">
        <v>41400</v>
      </c>
      <c r="B900" s="1">
        <v>41403</v>
      </c>
      <c r="C900" t="s">
        <v>1076</v>
      </c>
      <c r="D900" t="s">
        <v>17</v>
      </c>
      <c r="E900" t="s">
        <v>1077</v>
      </c>
      <c r="F900">
        <v>6.72</v>
      </c>
      <c r="G900">
        <v>5</v>
      </c>
      <c r="H900">
        <v>2.3519999999999999</v>
      </c>
      <c r="I900">
        <v>3</v>
      </c>
      <c r="J900">
        <v>2013</v>
      </c>
      <c r="K900" t="s">
        <v>2208</v>
      </c>
      <c r="L900" t="str">
        <f>TEXT(maintable_2[[#This Row],[Order Date]],"mmmm")</f>
        <v>May</v>
      </c>
    </row>
    <row r="901" spans="1:12" x14ac:dyDescent="0.3">
      <c r="A901" s="1">
        <v>41400</v>
      </c>
      <c r="B901" s="1">
        <v>41403</v>
      </c>
      <c r="C901" t="s">
        <v>1076</v>
      </c>
      <c r="D901" t="s">
        <v>21</v>
      </c>
      <c r="E901" t="s">
        <v>449</v>
      </c>
      <c r="F901">
        <v>298.77600000000001</v>
      </c>
      <c r="G901">
        <v>3</v>
      </c>
      <c r="H901">
        <v>7.4694000000000003</v>
      </c>
      <c r="I901">
        <v>3</v>
      </c>
      <c r="J901">
        <v>2013</v>
      </c>
      <c r="K901" t="s">
        <v>2208</v>
      </c>
      <c r="L901" t="str">
        <f>TEXT(maintable_2[[#This Row],[Order Date]],"mmmm")</f>
        <v>May</v>
      </c>
    </row>
    <row r="902" spans="1:12" x14ac:dyDescent="0.3">
      <c r="A902" s="1">
        <v>41640</v>
      </c>
      <c r="B902" s="1">
        <v>41645</v>
      </c>
      <c r="C902" t="s">
        <v>460</v>
      </c>
      <c r="D902" t="s">
        <v>15</v>
      </c>
      <c r="E902" t="s">
        <v>123</v>
      </c>
      <c r="F902">
        <v>302.37599999999998</v>
      </c>
      <c r="G902">
        <v>3</v>
      </c>
      <c r="H902">
        <v>22.6782</v>
      </c>
      <c r="I902">
        <v>5</v>
      </c>
      <c r="J902">
        <v>2014</v>
      </c>
      <c r="K902" t="s">
        <v>2207</v>
      </c>
      <c r="L902" t="str">
        <f>TEXT(maintable_2[[#This Row],[Order Date]],"mmmm")</f>
        <v>January</v>
      </c>
    </row>
    <row r="903" spans="1:12" x14ac:dyDescent="0.3">
      <c r="A903" s="1">
        <v>40848</v>
      </c>
      <c r="B903" s="1">
        <v>40852</v>
      </c>
      <c r="C903" t="s">
        <v>1078</v>
      </c>
      <c r="D903" t="s">
        <v>27</v>
      </c>
      <c r="E903" t="s">
        <v>1079</v>
      </c>
      <c r="F903">
        <v>443.92</v>
      </c>
      <c r="G903">
        <v>5</v>
      </c>
      <c r="H903">
        <v>-94.332999999999998</v>
      </c>
      <c r="I903">
        <v>4</v>
      </c>
      <c r="J903">
        <v>2011</v>
      </c>
      <c r="K903" t="s">
        <v>2209</v>
      </c>
      <c r="L903" t="str">
        <f>TEXT(maintable_2[[#This Row],[Order Date]],"mmmm")</f>
        <v>November</v>
      </c>
    </row>
    <row r="904" spans="1:12" x14ac:dyDescent="0.3">
      <c r="A904" s="1">
        <v>40848</v>
      </c>
      <c r="B904" s="1">
        <v>40852</v>
      </c>
      <c r="C904" t="s">
        <v>1078</v>
      </c>
      <c r="D904" t="s">
        <v>15</v>
      </c>
      <c r="E904" t="s">
        <v>1080</v>
      </c>
      <c r="F904">
        <v>155.976</v>
      </c>
      <c r="G904">
        <v>3</v>
      </c>
      <c r="H904">
        <v>54.5916</v>
      </c>
      <c r="I904">
        <v>4</v>
      </c>
      <c r="J904">
        <v>2011</v>
      </c>
      <c r="K904" t="s">
        <v>2209</v>
      </c>
      <c r="L904" t="str">
        <f>TEXT(maintable_2[[#This Row],[Order Date]],"mmmm")</f>
        <v>November</v>
      </c>
    </row>
    <row r="905" spans="1:12" x14ac:dyDescent="0.3">
      <c r="A905" s="1">
        <v>41955</v>
      </c>
      <c r="B905" s="1">
        <v>41960</v>
      </c>
      <c r="C905" t="s">
        <v>1066</v>
      </c>
      <c r="D905" t="s">
        <v>19</v>
      </c>
      <c r="E905" t="s">
        <v>549</v>
      </c>
      <c r="F905">
        <v>10.89</v>
      </c>
      <c r="G905">
        <v>1</v>
      </c>
      <c r="H905">
        <v>2.8313999999999999</v>
      </c>
      <c r="I905">
        <v>5</v>
      </c>
      <c r="J905">
        <v>2014</v>
      </c>
      <c r="K905" t="s">
        <v>2209</v>
      </c>
      <c r="L905" t="str">
        <f>TEXT(maintable_2[[#This Row],[Order Date]],"mmmm")</f>
        <v>November</v>
      </c>
    </row>
    <row r="906" spans="1:12" x14ac:dyDescent="0.3">
      <c r="A906" s="1">
        <v>41955</v>
      </c>
      <c r="B906" s="1">
        <v>41960</v>
      </c>
      <c r="C906" t="s">
        <v>1066</v>
      </c>
      <c r="D906" t="s">
        <v>44</v>
      </c>
      <c r="E906" t="s">
        <v>1081</v>
      </c>
      <c r="F906">
        <v>19.440000000000001</v>
      </c>
      <c r="G906">
        <v>3</v>
      </c>
      <c r="H906">
        <v>9.3312000000000008</v>
      </c>
      <c r="I906">
        <v>5</v>
      </c>
      <c r="J906">
        <v>2014</v>
      </c>
      <c r="K906" t="s">
        <v>2209</v>
      </c>
      <c r="L906" t="str">
        <f>TEXT(maintable_2[[#This Row],[Order Date]],"mmmm")</f>
        <v>November</v>
      </c>
    </row>
    <row r="907" spans="1:12" x14ac:dyDescent="0.3">
      <c r="A907" s="1">
        <v>41955</v>
      </c>
      <c r="B907" s="1">
        <v>41960</v>
      </c>
      <c r="C907" t="s">
        <v>1066</v>
      </c>
      <c r="D907" t="s">
        <v>17</v>
      </c>
      <c r="E907" t="s">
        <v>1082</v>
      </c>
      <c r="F907">
        <v>121.6</v>
      </c>
      <c r="G907">
        <v>5</v>
      </c>
      <c r="H907">
        <v>39.520000000000003</v>
      </c>
      <c r="I907">
        <v>5</v>
      </c>
      <c r="J907">
        <v>2014</v>
      </c>
      <c r="K907" t="s">
        <v>2209</v>
      </c>
      <c r="L907" t="str">
        <f>TEXT(maintable_2[[#This Row],[Order Date]],"mmmm")</f>
        <v>November</v>
      </c>
    </row>
    <row r="908" spans="1:12" x14ac:dyDescent="0.3">
      <c r="A908" s="1">
        <v>41513</v>
      </c>
      <c r="B908" s="1">
        <v>41516</v>
      </c>
      <c r="C908" t="s">
        <v>1083</v>
      </c>
      <c r="D908" t="s">
        <v>71</v>
      </c>
      <c r="E908" t="s">
        <v>245</v>
      </c>
      <c r="F908">
        <v>1603.136</v>
      </c>
      <c r="G908">
        <v>4</v>
      </c>
      <c r="H908">
        <v>100.196</v>
      </c>
      <c r="I908">
        <v>3</v>
      </c>
      <c r="J908">
        <v>2013</v>
      </c>
      <c r="K908" t="s">
        <v>2206</v>
      </c>
      <c r="L908" t="str">
        <f>TEXT(maintable_2[[#This Row],[Order Date]],"mmmm")</f>
        <v>August</v>
      </c>
    </row>
    <row r="909" spans="1:12" x14ac:dyDescent="0.3">
      <c r="A909" s="1">
        <v>41865</v>
      </c>
      <c r="B909" s="1">
        <v>41865</v>
      </c>
      <c r="C909" t="s">
        <v>332</v>
      </c>
      <c r="D909" t="s">
        <v>27</v>
      </c>
      <c r="E909" t="s">
        <v>263</v>
      </c>
      <c r="F909">
        <v>31.44</v>
      </c>
      <c r="G909">
        <v>3</v>
      </c>
      <c r="H909">
        <v>8.4887999999999995</v>
      </c>
      <c r="I909">
        <v>0</v>
      </c>
      <c r="J909">
        <v>2014</v>
      </c>
      <c r="K909" t="s">
        <v>2206</v>
      </c>
      <c r="L909" t="str">
        <f>TEXT(maintable_2[[#This Row],[Order Date]],"mmmm")</f>
        <v>August</v>
      </c>
    </row>
    <row r="910" spans="1:12" x14ac:dyDescent="0.3">
      <c r="A910" s="1">
        <v>41865</v>
      </c>
      <c r="B910" s="1">
        <v>41865</v>
      </c>
      <c r="C910" t="s">
        <v>332</v>
      </c>
      <c r="D910" t="s">
        <v>19</v>
      </c>
      <c r="E910" t="s">
        <v>105</v>
      </c>
      <c r="F910">
        <v>83.79</v>
      </c>
      <c r="G910">
        <v>7</v>
      </c>
      <c r="H910">
        <v>22.6233</v>
      </c>
      <c r="I910">
        <v>0</v>
      </c>
      <c r="J910">
        <v>2014</v>
      </c>
      <c r="K910" t="s">
        <v>2206</v>
      </c>
      <c r="L910" t="str">
        <f>TEXT(maintable_2[[#This Row],[Order Date]],"mmmm")</f>
        <v>August</v>
      </c>
    </row>
    <row r="911" spans="1:12" x14ac:dyDescent="0.3">
      <c r="A911" s="1">
        <v>41865</v>
      </c>
      <c r="B911" s="1">
        <v>41865</v>
      </c>
      <c r="C911" t="s">
        <v>332</v>
      </c>
      <c r="D911" t="s">
        <v>13</v>
      </c>
      <c r="E911" t="s">
        <v>1084</v>
      </c>
      <c r="F911">
        <v>59.52</v>
      </c>
      <c r="G911">
        <v>3</v>
      </c>
      <c r="H911">
        <v>15.475199999999999</v>
      </c>
      <c r="I911">
        <v>0</v>
      </c>
      <c r="J911">
        <v>2014</v>
      </c>
      <c r="K911" t="s">
        <v>2206</v>
      </c>
      <c r="L911" t="str">
        <f>TEXT(maintable_2[[#This Row],[Order Date]],"mmmm")</f>
        <v>August</v>
      </c>
    </row>
    <row r="912" spans="1:12" x14ac:dyDescent="0.3">
      <c r="A912" s="1">
        <v>41865</v>
      </c>
      <c r="B912" s="1">
        <v>41865</v>
      </c>
      <c r="C912" t="s">
        <v>332</v>
      </c>
      <c r="D912" t="s">
        <v>81</v>
      </c>
      <c r="E912" t="s">
        <v>105</v>
      </c>
      <c r="F912">
        <v>31.92</v>
      </c>
      <c r="G912">
        <v>4</v>
      </c>
      <c r="H912">
        <v>9.2568000000000001</v>
      </c>
      <c r="I912">
        <v>0</v>
      </c>
      <c r="J912">
        <v>2014</v>
      </c>
      <c r="K912" t="s">
        <v>2206</v>
      </c>
      <c r="L912" t="str">
        <f>TEXT(maintable_2[[#This Row],[Order Date]],"mmmm")</f>
        <v>August</v>
      </c>
    </row>
    <row r="913" spans="1:12" x14ac:dyDescent="0.3">
      <c r="A913" s="1">
        <v>40624</v>
      </c>
      <c r="B913" s="1">
        <v>40628</v>
      </c>
      <c r="C913" t="s">
        <v>1085</v>
      </c>
      <c r="D913" t="s">
        <v>44</v>
      </c>
      <c r="E913" t="s">
        <v>1086</v>
      </c>
      <c r="F913">
        <v>74.352000000000004</v>
      </c>
      <c r="G913">
        <v>3</v>
      </c>
      <c r="H913">
        <v>23.234999999999999</v>
      </c>
      <c r="I913">
        <v>4</v>
      </c>
      <c r="J913">
        <v>2011</v>
      </c>
      <c r="K913" t="s">
        <v>2208</v>
      </c>
      <c r="L913" t="str">
        <f>TEXT(maintable_2[[#This Row],[Order Date]],"mmmm")</f>
        <v>March</v>
      </c>
    </row>
    <row r="914" spans="1:12" x14ac:dyDescent="0.3">
      <c r="A914" s="1">
        <v>40624</v>
      </c>
      <c r="B914" s="1">
        <v>40628</v>
      </c>
      <c r="C914" t="s">
        <v>1085</v>
      </c>
      <c r="D914" t="s">
        <v>71</v>
      </c>
      <c r="E914" t="s">
        <v>1087</v>
      </c>
      <c r="F914">
        <v>314.35199999999998</v>
      </c>
      <c r="G914">
        <v>3</v>
      </c>
      <c r="H914">
        <v>-35.364600000000003</v>
      </c>
      <c r="I914">
        <v>4</v>
      </c>
      <c r="J914">
        <v>2011</v>
      </c>
      <c r="K914" t="s">
        <v>2208</v>
      </c>
      <c r="L914" t="str">
        <f>TEXT(maintable_2[[#This Row],[Order Date]],"mmmm")</f>
        <v>March</v>
      </c>
    </row>
    <row r="915" spans="1:12" x14ac:dyDescent="0.3">
      <c r="A915" s="1">
        <v>41806</v>
      </c>
      <c r="B915" s="1">
        <v>41811</v>
      </c>
      <c r="C915" t="s">
        <v>1088</v>
      </c>
      <c r="D915" t="s">
        <v>13</v>
      </c>
      <c r="E915" t="s">
        <v>1089</v>
      </c>
      <c r="F915">
        <v>4.26</v>
      </c>
      <c r="G915">
        <v>1</v>
      </c>
      <c r="H915">
        <v>1.7465999999999999</v>
      </c>
      <c r="I915">
        <v>5</v>
      </c>
      <c r="J915">
        <v>2014</v>
      </c>
      <c r="K915" t="s">
        <v>2206</v>
      </c>
      <c r="L915" t="str">
        <f>TEXT(maintable_2[[#This Row],[Order Date]],"mmmm")</f>
        <v>June</v>
      </c>
    </row>
    <row r="916" spans="1:12" x14ac:dyDescent="0.3">
      <c r="A916" s="1">
        <v>41960</v>
      </c>
      <c r="B916" s="1">
        <v>41966</v>
      </c>
      <c r="C916" t="s">
        <v>1090</v>
      </c>
      <c r="D916" t="s">
        <v>27</v>
      </c>
      <c r="E916" t="s">
        <v>311</v>
      </c>
      <c r="F916">
        <v>811.28</v>
      </c>
      <c r="G916">
        <v>8</v>
      </c>
      <c r="H916">
        <v>24.3384</v>
      </c>
      <c r="I916">
        <v>6</v>
      </c>
      <c r="J916">
        <v>2014</v>
      </c>
      <c r="K916" t="s">
        <v>2209</v>
      </c>
      <c r="L916" t="str">
        <f>TEXT(maintable_2[[#This Row],[Order Date]],"mmmm")</f>
        <v>November</v>
      </c>
    </row>
    <row r="917" spans="1:12" x14ac:dyDescent="0.3">
      <c r="A917" s="1">
        <v>41295</v>
      </c>
      <c r="B917" s="1">
        <v>41297</v>
      </c>
      <c r="C917" t="s">
        <v>428</v>
      </c>
      <c r="D917" t="s">
        <v>71</v>
      </c>
      <c r="E917" t="s">
        <v>922</v>
      </c>
      <c r="F917">
        <v>153.56800000000001</v>
      </c>
      <c r="G917">
        <v>2</v>
      </c>
      <c r="H917">
        <v>-5.7587999999999999</v>
      </c>
      <c r="I917">
        <v>2</v>
      </c>
      <c r="J917">
        <v>2013</v>
      </c>
      <c r="K917" t="s">
        <v>2210</v>
      </c>
      <c r="L917" t="str">
        <f>TEXT(maintable_2[[#This Row],[Order Date]],"mmmm")</f>
        <v>January</v>
      </c>
    </row>
    <row r="918" spans="1:12" x14ac:dyDescent="0.3">
      <c r="A918" s="1">
        <v>41295</v>
      </c>
      <c r="B918" s="1">
        <v>41297</v>
      </c>
      <c r="C918" t="s">
        <v>428</v>
      </c>
      <c r="D918" t="s">
        <v>71</v>
      </c>
      <c r="E918" t="s">
        <v>1091</v>
      </c>
      <c r="F918">
        <v>1013.4880000000001</v>
      </c>
      <c r="G918">
        <v>7</v>
      </c>
      <c r="H918">
        <v>76.011600000000001</v>
      </c>
      <c r="I918">
        <v>2</v>
      </c>
      <c r="J918">
        <v>2013</v>
      </c>
      <c r="K918" t="s">
        <v>2210</v>
      </c>
      <c r="L918" t="str">
        <f>TEXT(maintable_2[[#This Row],[Order Date]],"mmmm")</f>
        <v>January</v>
      </c>
    </row>
    <row r="919" spans="1:12" x14ac:dyDescent="0.3">
      <c r="A919" s="1">
        <v>41590</v>
      </c>
      <c r="B919" s="1">
        <v>41595</v>
      </c>
      <c r="C919" t="s">
        <v>804</v>
      </c>
      <c r="D919" t="s">
        <v>11</v>
      </c>
      <c r="E919" t="s">
        <v>1092</v>
      </c>
      <c r="F919">
        <v>6.96</v>
      </c>
      <c r="G919">
        <v>4</v>
      </c>
      <c r="H919">
        <v>2.2271999999999998</v>
      </c>
      <c r="I919">
        <v>5</v>
      </c>
      <c r="J919">
        <v>2013</v>
      </c>
      <c r="K919" t="s">
        <v>2209</v>
      </c>
      <c r="L919" t="str">
        <f>TEXT(maintable_2[[#This Row],[Order Date]],"mmmm")</f>
        <v>November</v>
      </c>
    </row>
    <row r="920" spans="1:12" x14ac:dyDescent="0.3">
      <c r="A920" s="1">
        <v>41304</v>
      </c>
      <c r="B920" s="1">
        <v>41308</v>
      </c>
      <c r="C920" t="s">
        <v>277</v>
      </c>
      <c r="D920" t="s">
        <v>17</v>
      </c>
      <c r="E920" t="s">
        <v>362</v>
      </c>
      <c r="F920">
        <v>17.456</v>
      </c>
      <c r="G920">
        <v>2</v>
      </c>
      <c r="H920">
        <v>5.8914</v>
      </c>
      <c r="I920">
        <v>4</v>
      </c>
      <c r="J920">
        <v>2013</v>
      </c>
      <c r="K920" t="s">
        <v>2210</v>
      </c>
      <c r="L920" t="str">
        <f>TEXT(maintable_2[[#This Row],[Order Date]],"mmmm")</f>
        <v>January</v>
      </c>
    </row>
    <row r="921" spans="1:12" x14ac:dyDescent="0.3">
      <c r="A921" s="1">
        <v>41566</v>
      </c>
      <c r="B921" s="1">
        <v>41570</v>
      </c>
      <c r="C921" t="s">
        <v>1093</v>
      </c>
      <c r="D921" t="s">
        <v>71</v>
      </c>
      <c r="E921" t="s">
        <v>1094</v>
      </c>
      <c r="F921">
        <v>307.92</v>
      </c>
      <c r="G921">
        <v>5</v>
      </c>
      <c r="H921">
        <v>-34.640999999999998</v>
      </c>
      <c r="I921">
        <v>4</v>
      </c>
      <c r="J921">
        <v>2013</v>
      </c>
      <c r="K921" t="s">
        <v>2209</v>
      </c>
      <c r="L921" t="str">
        <f>TEXT(maintable_2[[#This Row],[Order Date]],"mmmm")</f>
        <v>October</v>
      </c>
    </row>
    <row r="922" spans="1:12" x14ac:dyDescent="0.3">
      <c r="A922" s="1">
        <v>41992</v>
      </c>
      <c r="B922" s="1">
        <v>41993</v>
      </c>
      <c r="C922" t="s">
        <v>1093</v>
      </c>
      <c r="D922" t="s">
        <v>13</v>
      </c>
      <c r="E922" t="s">
        <v>249</v>
      </c>
      <c r="F922">
        <v>6.63</v>
      </c>
      <c r="G922">
        <v>3</v>
      </c>
      <c r="H922">
        <v>1.7901</v>
      </c>
      <c r="I922">
        <v>1</v>
      </c>
      <c r="J922">
        <v>2014</v>
      </c>
      <c r="K922" t="s">
        <v>2207</v>
      </c>
      <c r="L922" t="str">
        <f>TEXT(maintable_2[[#This Row],[Order Date]],"mmmm")</f>
        <v>December</v>
      </c>
    </row>
    <row r="923" spans="1:12" x14ac:dyDescent="0.3">
      <c r="A923" s="1">
        <v>41992</v>
      </c>
      <c r="B923" s="1">
        <v>41993</v>
      </c>
      <c r="C923" t="s">
        <v>1093</v>
      </c>
      <c r="D923" t="s">
        <v>44</v>
      </c>
      <c r="E923" t="s">
        <v>538</v>
      </c>
      <c r="F923">
        <v>12.96</v>
      </c>
      <c r="G923">
        <v>2</v>
      </c>
      <c r="H923">
        <v>6.2207999999999997</v>
      </c>
      <c r="I923">
        <v>1</v>
      </c>
      <c r="J923">
        <v>2014</v>
      </c>
      <c r="K923" t="s">
        <v>2207</v>
      </c>
      <c r="L923" t="str">
        <f>TEXT(maintable_2[[#This Row],[Order Date]],"mmmm")</f>
        <v>December</v>
      </c>
    </row>
    <row r="924" spans="1:12" x14ac:dyDescent="0.3">
      <c r="A924" s="1">
        <v>41992</v>
      </c>
      <c r="B924" s="1">
        <v>41993</v>
      </c>
      <c r="C924" t="s">
        <v>1093</v>
      </c>
      <c r="D924" t="s">
        <v>44</v>
      </c>
      <c r="E924" t="s">
        <v>408</v>
      </c>
      <c r="F924">
        <v>32.4</v>
      </c>
      <c r="G924">
        <v>5</v>
      </c>
      <c r="H924">
        <v>15.552</v>
      </c>
      <c r="I924">
        <v>1</v>
      </c>
      <c r="J924">
        <v>2014</v>
      </c>
      <c r="K924" t="s">
        <v>2207</v>
      </c>
      <c r="L924" t="str">
        <f>TEXT(maintable_2[[#This Row],[Order Date]],"mmmm")</f>
        <v>December</v>
      </c>
    </row>
    <row r="925" spans="1:12" x14ac:dyDescent="0.3">
      <c r="A925" s="1">
        <v>41946</v>
      </c>
      <c r="B925" s="1">
        <v>41950</v>
      </c>
      <c r="C925" t="s">
        <v>1095</v>
      </c>
      <c r="D925" t="s">
        <v>44</v>
      </c>
      <c r="E925" t="s">
        <v>1096</v>
      </c>
      <c r="F925">
        <v>23.85</v>
      </c>
      <c r="G925">
        <v>5</v>
      </c>
      <c r="H925">
        <v>10.7325</v>
      </c>
      <c r="I925">
        <v>4</v>
      </c>
      <c r="J925">
        <v>2014</v>
      </c>
      <c r="K925" t="s">
        <v>2209</v>
      </c>
      <c r="L925" t="str">
        <f>TEXT(maintable_2[[#This Row],[Order Date]],"mmmm")</f>
        <v>November</v>
      </c>
    </row>
    <row r="926" spans="1:12" x14ac:dyDescent="0.3">
      <c r="A926" s="1">
        <v>40812</v>
      </c>
      <c r="B926" s="1">
        <v>40816</v>
      </c>
      <c r="C926" t="s">
        <v>660</v>
      </c>
      <c r="D926" t="s">
        <v>27</v>
      </c>
      <c r="E926" t="s">
        <v>1097</v>
      </c>
      <c r="F926">
        <v>310.12</v>
      </c>
      <c r="G926">
        <v>2</v>
      </c>
      <c r="H926">
        <v>80.631200000000007</v>
      </c>
      <c r="I926">
        <v>4</v>
      </c>
      <c r="J926">
        <v>2011</v>
      </c>
      <c r="K926" t="s">
        <v>2209</v>
      </c>
      <c r="L926" t="str">
        <f>TEXT(maintable_2[[#This Row],[Order Date]],"mmmm")</f>
        <v>September</v>
      </c>
    </row>
    <row r="927" spans="1:12" x14ac:dyDescent="0.3">
      <c r="A927" s="1">
        <v>41690</v>
      </c>
      <c r="B927" s="1">
        <v>41694</v>
      </c>
      <c r="C927" t="s">
        <v>314</v>
      </c>
      <c r="D927" t="s">
        <v>78</v>
      </c>
      <c r="E927" t="s">
        <v>1098</v>
      </c>
      <c r="F927">
        <v>11.22</v>
      </c>
      <c r="G927">
        <v>3</v>
      </c>
      <c r="H927">
        <v>0.22439999999999999</v>
      </c>
      <c r="I927">
        <v>4</v>
      </c>
      <c r="J927">
        <v>2014</v>
      </c>
      <c r="K927" t="s">
        <v>2210</v>
      </c>
      <c r="L927" t="str">
        <f>TEXT(maintable_2[[#This Row],[Order Date]],"mmmm")</f>
        <v>February</v>
      </c>
    </row>
    <row r="928" spans="1:12" x14ac:dyDescent="0.3">
      <c r="A928" s="1">
        <v>41670</v>
      </c>
      <c r="B928" s="1">
        <v>41670</v>
      </c>
      <c r="C928" t="s">
        <v>602</v>
      </c>
      <c r="D928" t="s">
        <v>27</v>
      </c>
      <c r="E928" t="s">
        <v>1099</v>
      </c>
      <c r="F928">
        <v>129.30000000000001</v>
      </c>
      <c r="G928">
        <v>2</v>
      </c>
      <c r="H928">
        <v>6.4649999999999999</v>
      </c>
      <c r="I928">
        <v>0</v>
      </c>
      <c r="J928">
        <v>2014</v>
      </c>
      <c r="K928" t="s">
        <v>2210</v>
      </c>
      <c r="L928" t="str">
        <f>TEXT(maintable_2[[#This Row],[Order Date]],"mmmm")</f>
        <v>January</v>
      </c>
    </row>
    <row r="929" spans="1:12" x14ac:dyDescent="0.3">
      <c r="A929" s="1">
        <v>41129</v>
      </c>
      <c r="B929" s="1">
        <v>41129</v>
      </c>
      <c r="C929" t="s">
        <v>1100</v>
      </c>
      <c r="D929" t="s">
        <v>17</v>
      </c>
      <c r="E929" t="s">
        <v>537</v>
      </c>
      <c r="F929">
        <v>6.6079999999999997</v>
      </c>
      <c r="G929">
        <v>2</v>
      </c>
      <c r="H929">
        <v>2.2302</v>
      </c>
      <c r="I929">
        <v>0</v>
      </c>
      <c r="J929">
        <v>2012</v>
      </c>
      <c r="K929" t="s">
        <v>2206</v>
      </c>
      <c r="L929" t="str">
        <f>TEXT(maintable_2[[#This Row],[Order Date]],"mmmm")</f>
        <v>August</v>
      </c>
    </row>
    <row r="930" spans="1:12" x14ac:dyDescent="0.3">
      <c r="A930" s="1">
        <v>41129</v>
      </c>
      <c r="B930" s="1">
        <v>41129</v>
      </c>
      <c r="C930" t="s">
        <v>1100</v>
      </c>
      <c r="D930" t="s">
        <v>17</v>
      </c>
      <c r="E930" t="s">
        <v>137</v>
      </c>
      <c r="F930">
        <v>7.28</v>
      </c>
      <c r="G930">
        <v>2</v>
      </c>
      <c r="H930">
        <v>2.73</v>
      </c>
      <c r="I930">
        <v>0</v>
      </c>
      <c r="J930">
        <v>2012</v>
      </c>
      <c r="K930" t="s">
        <v>2206</v>
      </c>
      <c r="L930" t="str">
        <f>TEXT(maintable_2[[#This Row],[Order Date]],"mmmm")</f>
        <v>August</v>
      </c>
    </row>
    <row r="931" spans="1:12" x14ac:dyDescent="0.3">
      <c r="A931" s="1">
        <v>41129</v>
      </c>
      <c r="B931" s="1">
        <v>41129</v>
      </c>
      <c r="C931" t="s">
        <v>1100</v>
      </c>
      <c r="D931" t="s">
        <v>71</v>
      </c>
      <c r="E931" t="s">
        <v>1091</v>
      </c>
      <c r="F931">
        <v>144.78399999999999</v>
      </c>
      <c r="G931">
        <v>1</v>
      </c>
      <c r="H931">
        <v>10.8588</v>
      </c>
      <c r="I931">
        <v>0</v>
      </c>
      <c r="J931">
        <v>2012</v>
      </c>
      <c r="K931" t="s">
        <v>2206</v>
      </c>
      <c r="L931" t="str">
        <f>TEXT(maintable_2[[#This Row],[Order Date]],"mmmm")</f>
        <v>August</v>
      </c>
    </row>
    <row r="932" spans="1:12" x14ac:dyDescent="0.3">
      <c r="A932" s="1">
        <v>41615</v>
      </c>
      <c r="B932" s="1">
        <v>41621</v>
      </c>
      <c r="C932" t="s">
        <v>1101</v>
      </c>
      <c r="D932" t="s">
        <v>15</v>
      </c>
      <c r="E932" t="s">
        <v>1056</v>
      </c>
      <c r="F932">
        <v>156.792</v>
      </c>
      <c r="G932">
        <v>1</v>
      </c>
      <c r="H932">
        <v>13.7193</v>
      </c>
      <c r="I932">
        <v>6</v>
      </c>
      <c r="J932">
        <v>2013</v>
      </c>
      <c r="K932" t="s">
        <v>2207</v>
      </c>
      <c r="L932" t="str">
        <f>TEXT(maintable_2[[#This Row],[Order Date]],"mmmm")</f>
        <v>December</v>
      </c>
    </row>
    <row r="933" spans="1:12" x14ac:dyDescent="0.3">
      <c r="A933" s="1">
        <v>41615</v>
      </c>
      <c r="B933" s="1">
        <v>41621</v>
      </c>
      <c r="C933" t="s">
        <v>1101</v>
      </c>
      <c r="D933" t="s">
        <v>15</v>
      </c>
      <c r="E933" t="s">
        <v>1102</v>
      </c>
      <c r="F933">
        <v>431.976</v>
      </c>
      <c r="G933">
        <v>3</v>
      </c>
      <c r="H933">
        <v>26.9985</v>
      </c>
      <c r="I933">
        <v>6</v>
      </c>
      <c r="J933">
        <v>2013</v>
      </c>
      <c r="K933" t="s">
        <v>2207</v>
      </c>
      <c r="L933" t="str">
        <f>TEXT(maintable_2[[#This Row],[Order Date]],"mmmm")</f>
        <v>December</v>
      </c>
    </row>
    <row r="934" spans="1:12" x14ac:dyDescent="0.3">
      <c r="A934" s="1">
        <v>41615</v>
      </c>
      <c r="B934" s="1">
        <v>41621</v>
      </c>
      <c r="C934" t="s">
        <v>1101</v>
      </c>
      <c r="D934" t="s">
        <v>86</v>
      </c>
      <c r="E934" t="s">
        <v>1103</v>
      </c>
      <c r="F934">
        <v>35.89</v>
      </c>
      <c r="G934">
        <v>1</v>
      </c>
      <c r="H934">
        <v>16.150500000000001</v>
      </c>
      <c r="I934">
        <v>6</v>
      </c>
      <c r="J934">
        <v>2013</v>
      </c>
      <c r="K934" t="s">
        <v>2207</v>
      </c>
      <c r="L934" t="str">
        <f>TEXT(maintable_2[[#This Row],[Order Date]],"mmmm")</f>
        <v>December</v>
      </c>
    </row>
    <row r="935" spans="1:12" x14ac:dyDescent="0.3">
      <c r="A935" s="1">
        <v>41615</v>
      </c>
      <c r="B935" s="1">
        <v>41621</v>
      </c>
      <c r="C935" t="s">
        <v>1101</v>
      </c>
      <c r="D935" t="s">
        <v>17</v>
      </c>
      <c r="E935" t="s">
        <v>387</v>
      </c>
      <c r="F935">
        <v>47.207999999999998</v>
      </c>
      <c r="G935">
        <v>7</v>
      </c>
      <c r="H935">
        <v>15.342599999999999</v>
      </c>
      <c r="I935">
        <v>6</v>
      </c>
      <c r="J935">
        <v>2013</v>
      </c>
      <c r="K935" t="s">
        <v>2207</v>
      </c>
      <c r="L935" t="str">
        <f>TEXT(maintable_2[[#This Row],[Order Date]],"mmmm")</f>
        <v>December</v>
      </c>
    </row>
    <row r="936" spans="1:12" x14ac:dyDescent="0.3">
      <c r="A936" s="1">
        <v>41615</v>
      </c>
      <c r="B936" s="1">
        <v>41621</v>
      </c>
      <c r="C936" t="s">
        <v>1101</v>
      </c>
      <c r="D936" t="s">
        <v>44</v>
      </c>
      <c r="E936" t="s">
        <v>76</v>
      </c>
      <c r="F936">
        <v>248.08</v>
      </c>
      <c r="G936">
        <v>7</v>
      </c>
      <c r="H936">
        <v>116.5976</v>
      </c>
      <c r="I936">
        <v>6</v>
      </c>
      <c r="J936">
        <v>2013</v>
      </c>
      <c r="K936" t="s">
        <v>2207</v>
      </c>
      <c r="L936" t="str">
        <f>TEXT(maintable_2[[#This Row],[Order Date]],"mmmm")</f>
        <v>December</v>
      </c>
    </row>
    <row r="937" spans="1:12" x14ac:dyDescent="0.3">
      <c r="A937" s="1">
        <v>41615</v>
      </c>
      <c r="B937" s="1">
        <v>41621</v>
      </c>
      <c r="C937" t="s">
        <v>1101</v>
      </c>
      <c r="D937" t="s">
        <v>44</v>
      </c>
      <c r="E937" t="s">
        <v>1104</v>
      </c>
      <c r="F937">
        <v>189.7</v>
      </c>
      <c r="G937">
        <v>5</v>
      </c>
      <c r="H937">
        <v>89.159000000000006</v>
      </c>
      <c r="I937">
        <v>6</v>
      </c>
      <c r="J937">
        <v>2013</v>
      </c>
      <c r="K937" t="s">
        <v>2207</v>
      </c>
      <c r="L937" t="str">
        <f>TEXT(maintable_2[[#This Row],[Order Date]],"mmmm")</f>
        <v>December</v>
      </c>
    </row>
    <row r="938" spans="1:12" x14ac:dyDescent="0.3">
      <c r="A938" s="1">
        <v>41615</v>
      </c>
      <c r="B938" s="1">
        <v>41621</v>
      </c>
      <c r="C938" t="s">
        <v>1101</v>
      </c>
      <c r="D938" t="s">
        <v>17</v>
      </c>
      <c r="E938" t="s">
        <v>244</v>
      </c>
      <c r="F938">
        <v>59.808</v>
      </c>
      <c r="G938">
        <v>3</v>
      </c>
      <c r="H938">
        <v>19.4376</v>
      </c>
      <c r="I938">
        <v>6</v>
      </c>
      <c r="J938">
        <v>2013</v>
      </c>
      <c r="K938" t="s">
        <v>2207</v>
      </c>
      <c r="L938" t="str">
        <f>TEXT(maintable_2[[#This Row],[Order Date]],"mmmm")</f>
        <v>December</v>
      </c>
    </row>
    <row r="939" spans="1:12" x14ac:dyDescent="0.3">
      <c r="A939" s="1">
        <v>41963</v>
      </c>
      <c r="B939" s="1">
        <v>41968</v>
      </c>
      <c r="C939" t="s">
        <v>1105</v>
      </c>
      <c r="D939" t="s">
        <v>27</v>
      </c>
      <c r="E939" t="s">
        <v>1106</v>
      </c>
      <c r="F939">
        <v>305.01</v>
      </c>
      <c r="G939">
        <v>9</v>
      </c>
      <c r="H939">
        <v>76.252499999999998</v>
      </c>
      <c r="I939">
        <v>5</v>
      </c>
      <c r="J939">
        <v>2014</v>
      </c>
      <c r="K939" t="s">
        <v>2209</v>
      </c>
      <c r="L939" t="str">
        <f>TEXT(maintable_2[[#This Row],[Order Date]],"mmmm")</f>
        <v>November</v>
      </c>
    </row>
    <row r="940" spans="1:12" x14ac:dyDescent="0.3">
      <c r="A940" s="1">
        <v>41963</v>
      </c>
      <c r="B940" s="1">
        <v>41968</v>
      </c>
      <c r="C940" t="s">
        <v>1105</v>
      </c>
      <c r="D940" t="s">
        <v>11</v>
      </c>
      <c r="E940" t="s">
        <v>1107</v>
      </c>
      <c r="F940">
        <v>18.7</v>
      </c>
      <c r="G940">
        <v>1</v>
      </c>
      <c r="H940">
        <v>7.1059999999999999</v>
      </c>
      <c r="I940">
        <v>5</v>
      </c>
      <c r="J940">
        <v>2014</v>
      </c>
      <c r="K940" t="s">
        <v>2209</v>
      </c>
      <c r="L940" t="str">
        <f>TEXT(maintable_2[[#This Row],[Order Date]],"mmmm")</f>
        <v>November</v>
      </c>
    </row>
    <row r="941" spans="1:12" x14ac:dyDescent="0.3">
      <c r="A941" s="1">
        <v>41583</v>
      </c>
      <c r="B941" s="1">
        <v>41584</v>
      </c>
      <c r="C941" t="s">
        <v>1108</v>
      </c>
      <c r="D941" t="s">
        <v>11</v>
      </c>
      <c r="E941" t="s">
        <v>1109</v>
      </c>
      <c r="F941">
        <v>38.29</v>
      </c>
      <c r="G941">
        <v>7</v>
      </c>
      <c r="H941">
        <v>16.464700000000001</v>
      </c>
      <c r="I941">
        <v>1</v>
      </c>
      <c r="J941">
        <v>2013</v>
      </c>
      <c r="K941" t="s">
        <v>2209</v>
      </c>
      <c r="L941" t="str">
        <f>TEXT(maintable_2[[#This Row],[Order Date]],"mmmm")</f>
        <v>November</v>
      </c>
    </row>
    <row r="942" spans="1:12" x14ac:dyDescent="0.3">
      <c r="A942" s="1">
        <v>41988</v>
      </c>
      <c r="B942" s="1">
        <v>41992</v>
      </c>
      <c r="C942" t="s">
        <v>648</v>
      </c>
      <c r="D942" t="s">
        <v>11</v>
      </c>
      <c r="E942" t="s">
        <v>1110</v>
      </c>
      <c r="F942">
        <v>26.25</v>
      </c>
      <c r="G942">
        <v>3</v>
      </c>
      <c r="H942">
        <v>11.025</v>
      </c>
      <c r="I942">
        <v>4</v>
      </c>
      <c r="J942">
        <v>2014</v>
      </c>
      <c r="K942" t="s">
        <v>2207</v>
      </c>
      <c r="L942" t="str">
        <f>TEXT(maintable_2[[#This Row],[Order Date]],"mmmm")</f>
        <v>December</v>
      </c>
    </row>
    <row r="943" spans="1:12" x14ac:dyDescent="0.3">
      <c r="A943" s="1">
        <v>41988</v>
      </c>
      <c r="B943" s="1">
        <v>41992</v>
      </c>
      <c r="C943" t="s">
        <v>648</v>
      </c>
      <c r="D943" t="s">
        <v>17</v>
      </c>
      <c r="E943" t="s">
        <v>1111</v>
      </c>
      <c r="F943">
        <v>64.959999999999994</v>
      </c>
      <c r="G943">
        <v>14</v>
      </c>
      <c r="H943">
        <v>22.736000000000001</v>
      </c>
      <c r="I943">
        <v>4</v>
      </c>
      <c r="J943">
        <v>2014</v>
      </c>
      <c r="K943" t="s">
        <v>2207</v>
      </c>
      <c r="L943" t="str">
        <f>TEXT(maintable_2[[#This Row],[Order Date]],"mmmm")</f>
        <v>December</v>
      </c>
    </row>
    <row r="944" spans="1:12" x14ac:dyDescent="0.3">
      <c r="A944" s="1">
        <v>41988</v>
      </c>
      <c r="B944" s="1">
        <v>41992</v>
      </c>
      <c r="C944" t="s">
        <v>648</v>
      </c>
      <c r="D944" t="s">
        <v>86</v>
      </c>
      <c r="E944" t="s">
        <v>975</v>
      </c>
      <c r="F944">
        <v>43.7</v>
      </c>
      <c r="G944">
        <v>5</v>
      </c>
      <c r="H944">
        <v>20.539000000000001</v>
      </c>
      <c r="I944">
        <v>4</v>
      </c>
      <c r="J944">
        <v>2014</v>
      </c>
      <c r="K944" t="s">
        <v>2207</v>
      </c>
      <c r="L944" t="str">
        <f>TEXT(maintable_2[[#This Row],[Order Date]],"mmmm")</f>
        <v>December</v>
      </c>
    </row>
    <row r="945" spans="1:12" x14ac:dyDescent="0.3">
      <c r="A945" s="1">
        <v>41956</v>
      </c>
      <c r="B945" s="1">
        <v>41956</v>
      </c>
      <c r="C945" t="s">
        <v>1112</v>
      </c>
      <c r="D945" t="s">
        <v>37</v>
      </c>
      <c r="E945" t="s">
        <v>1113</v>
      </c>
      <c r="F945">
        <v>41.6</v>
      </c>
      <c r="G945">
        <v>4</v>
      </c>
      <c r="H945">
        <v>13</v>
      </c>
      <c r="I945">
        <v>0</v>
      </c>
      <c r="J945">
        <v>2014</v>
      </c>
      <c r="K945" t="s">
        <v>2209</v>
      </c>
      <c r="L945" t="str">
        <f>TEXT(maintable_2[[#This Row],[Order Date]],"mmmm")</f>
        <v>November</v>
      </c>
    </row>
    <row r="946" spans="1:12" x14ac:dyDescent="0.3">
      <c r="A946" s="1">
        <v>41956</v>
      </c>
      <c r="B946" s="1">
        <v>41956</v>
      </c>
      <c r="C946" t="s">
        <v>1112</v>
      </c>
      <c r="D946" t="s">
        <v>44</v>
      </c>
      <c r="E946" t="s">
        <v>1114</v>
      </c>
      <c r="F946">
        <v>23.12</v>
      </c>
      <c r="G946">
        <v>5</v>
      </c>
      <c r="H946">
        <v>8.3810000000000002</v>
      </c>
      <c r="I946">
        <v>0</v>
      </c>
      <c r="J946">
        <v>2014</v>
      </c>
      <c r="K946" t="s">
        <v>2209</v>
      </c>
      <c r="L946" t="str">
        <f>TEXT(maintable_2[[#This Row],[Order Date]],"mmmm")</f>
        <v>November</v>
      </c>
    </row>
    <row r="947" spans="1:12" x14ac:dyDescent="0.3">
      <c r="A947" s="1">
        <v>41956</v>
      </c>
      <c r="B947" s="1">
        <v>41956</v>
      </c>
      <c r="C947" t="s">
        <v>1112</v>
      </c>
      <c r="D947" t="s">
        <v>71</v>
      </c>
      <c r="E947" t="s">
        <v>1115</v>
      </c>
      <c r="F947">
        <v>113.88800000000001</v>
      </c>
      <c r="G947">
        <v>2</v>
      </c>
      <c r="H947">
        <v>9.9651999999999994</v>
      </c>
      <c r="I947">
        <v>0</v>
      </c>
      <c r="J947">
        <v>2014</v>
      </c>
      <c r="K947" t="s">
        <v>2209</v>
      </c>
      <c r="L947" t="str">
        <f>TEXT(maintable_2[[#This Row],[Order Date]],"mmmm")</f>
        <v>November</v>
      </c>
    </row>
    <row r="948" spans="1:12" x14ac:dyDescent="0.3">
      <c r="A948" s="1">
        <v>41956</v>
      </c>
      <c r="B948" s="1">
        <v>41956</v>
      </c>
      <c r="C948" t="s">
        <v>1112</v>
      </c>
      <c r="D948" t="s">
        <v>11</v>
      </c>
      <c r="E948" t="s">
        <v>1116</v>
      </c>
      <c r="F948">
        <v>113.568</v>
      </c>
      <c r="G948">
        <v>2</v>
      </c>
      <c r="H948">
        <v>-5.6783999999999999</v>
      </c>
      <c r="I948">
        <v>0</v>
      </c>
      <c r="J948">
        <v>2014</v>
      </c>
      <c r="K948" t="s">
        <v>2209</v>
      </c>
      <c r="L948" t="str">
        <f>TEXT(maintable_2[[#This Row],[Order Date]],"mmmm")</f>
        <v>November</v>
      </c>
    </row>
    <row r="949" spans="1:12" x14ac:dyDescent="0.3">
      <c r="A949" s="1">
        <v>41956</v>
      </c>
      <c r="B949" s="1">
        <v>41956</v>
      </c>
      <c r="C949" t="s">
        <v>1112</v>
      </c>
      <c r="D949" t="s">
        <v>15</v>
      </c>
      <c r="E949" t="s">
        <v>1117</v>
      </c>
      <c r="F949">
        <v>7.92</v>
      </c>
      <c r="G949">
        <v>2</v>
      </c>
      <c r="H949">
        <v>0.69299999999999995</v>
      </c>
      <c r="I949">
        <v>0</v>
      </c>
      <c r="J949">
        <v>2014</v>
      </c>
      <c r="K949" t="s">
        <v>2209</v>
      </c>
      <c r="L949" t="str">
        <f>TEXT(maintable_2[[#This Row],[Order Date]],"mmmm")</f>
        <v>November</v>
      </c>
    </row>
    <row r="950" spans="1:12" x14ac:dyDescent="0.3">
      <c r="A950" s="1">
        <v>41956</v>
      </c>
      <c r="B950" s="1">
        <v>41956</v>
      </c>
      <c r="C950" t="s">
        <v>1112</v>
      </c>
      <c r="D950" t="s">
        <v>15</v>
      </c>
      <c r="E950" t="s">
        <v>1118</v>
      </c>
      <c r="F950">
        <v>671.98400000000004</v>
      </c>
      <c r="G950">
        <v>2</v>
      </c>
      <c r="H950">
        <v>50.398800000000001</v>
      </c>
      <c r="I950">
        <v>0</v>
      </c>
      <c r="J950">
        <v>2014</v>
      </c>
      <c r="K950" t="s">
        <v>2209</v>
      </c>
      <c r="L950" t="str">
        <f>TEXT(maintable_2[[#This Row],[Order Date]],"mmmm")</f>
        <v>November</v>
      </c>
    </row>
    <row r="951" spans="1:12" x14ac:dyDescent="0.3">
      <c r="A951" s="1">
        <v>41267</v>
      </c>
      <c r="B951" s="1">
        <v>41272</v>
      </c>
      <c r="C951" t="s">
        <v>564</v>
      </c>
      <c r="D951" t="s">
        <v>17</v>
      </c>
      <c r="E951" t="s">
        <v>458</v>
      </c>
      <c r="F951">
        <v>19.936</v>
      </c>
      <c r="G951">
        <v>4</v>
      </c>
      <c r="H951">
        <v>7.2267999999999999</v>
      </c>
      <c r="I951">
        <v>5</v>
      </c>
      <c r="J951">
        <v>2012</v>
      </c>
      <c r="K951" t="s">
        <v>2207</v>
      </c>
      <c r="L951" t="str">
        <f>TEXT(maintable_2[[#This Row],[Order Date]],"mmmm")</f>
        <v>December</v>
      </c>
    </row>
    <row r="952" spans="1:12" x14ac:dyDescent="0.3">
      <c r="A952" s="1">
        <v>41267</v>
      </c>
      <c r="B952" s="1">
        <v>41272</v>
      </c>
      <c r="C952" t="s">
        <v>564</v>
      </c>
      <c r="D952" t="s">
        <v>78</v>
      </c>
      <c r="E952" t="s">
        <v>151</v>
      </c>
      <c r="F952">
        <v>45.92</v>
      </c>
      <c r="G952">
        <v>4</v>
      </c>
      <c r="H952">
        <v>21.5824</v>
      </c>
      <c r="I952">
        <v>5</v>
      </c>
      <c r="J952">
        <v>2012</v>
      </c>
      <c r="K952" t="s">
        <v>2207</v>
      </c>
      <c r="L952" t="str">
        <f>TEXT(maintable_2[[#This Row],[Order Date]],"mmmm")</f>
        <v>December</v>
      </c>
    </row>
    <row r="953" spans="1:12" x14ac:dyDescent="0.3">
      <c r="A953" s="1">
        <v>41756</v>
      </c>
      <c r="B953" s="1">
        <v>41761</v>
      </c>
      <c r="C953" t="s">
        <v>1119</v>
      </c>
      <c r="D953" t="s">
        <v>44</v>
      </c>
      <c r="E953" t="s">
        <v>601</v>
      </c>
      <c r="F953">
        <v>20.34</v>
      </c>
      <c r="G953">
        <v>3</v>
      </c>
      <c r="H953">
        <v>9.3564000000000007</v>
      </c>
      <c r="I953">
        <v>5</v>
      </c>
      <c r="J953">
        <v>2014</v>
      </c>
      <c r="K953" t="s">
        <v>2208</v>
      </c>
      <c r="L953" t="str">
        <f>TEXT(maintable_2[[#This Row],[Order Date]],"mmmm")</f>
        <v>April</v>
      </c>
    </row>
    <row r="954" spans="1:12" x14ac:dyDescent="0.3">
      <c r="A954" s="1">
        <v>41756</v>
      </c>
      <c r="B954" s="1">
        <v>41761</v>
      </c>
      <c r="C954" t="s">
        <v>1119</v>
      </c>
      <c r="D954" t="s">
        <v>8</v>
      </c>
      <c r="E954" t="s">
        <v>1120</v>
      </c>
      <c r="F954">
        <v>39.28</v>
      </c>
      <c r="G954">
        <v>8</v>
      </c>
      <c r="H954">
        <v>19.247199999999999</v>
      </c>
      <c r="I954">
        <v>5</v>
      </c>
      <c r="J954">
        <v>2014</v>
      </c>
      <c r="K954" t="s">
        <v>2208</v>
      </c>
      <c r="L954" t="str">
        <f>TEXT(maintable_2[[#This Row],[Order Date]],"mmmm")</f>
        <v>April</v>
      </c>
    </row>
    <row r="955" spans="1:12" x14ac:dyDescent="0.3">
      <c r="A955" s="1">
        <v>41990</v>
      </c>
      <c r="B955" s="1">
        <v>41995</v>
      </c>
      <c r="C955" t="s">
        <v>1121</v>
      </c>
      <c r="D955" t="s">
        <v>71</v>
      </c>
      <c r="E955" t="s">
        <v>920</v>
      </c>
      <c r="F955">
        <v>81.567999999999998</v>
      </c>
      <c r="G955">
        <v>2</v>
      </c>
      <c r="H955">
        <v>9.1763999999999992</v>
      </c>
      <c r="I955">
        <v>5</v>
      </c>
      <c r="J955">
        <v>2014</v>
      </c>
      <c r="K955" t="s">
        <v>2207</v>
      </c>
      <c r="L955" t="str">
        <f>TEXT(maintable_2[[#This Row],[Order Date]],"mmmm")</f>
        <v>December</v>
      </c>
    </row>
    <row r="956" spans="1:12" x14ac:dyDescent="0.3">
      <c r="A956" s="1">
        <v>41990</v>
      </c>
      <c r="B956" s="1">
        <v>41995</v>
      </c>
      <c r="C956" t="s">
        <v>1121</v>
      </c>
      <c r="D956" t="s">
        <v>71</v>
      </c>
      <c r="E956" t="s">
        <v>111</v>
      </c>
      <c r="F956">
        <v>97.183999999999997</v>
      </c>
      <c r="G956">
        <v>2</v>
      </c>
      <c r="H956">
        <v>6.0739999999999998</v>
      </c>
      <c r="I956">
        <v>5</v>
      </c>
      <c r="J956">
        <v>2014</v>
      </c>
      <c r="K956" t="s">
        <v>2207</v>
      </c>
      <c r="L956" t="str">
        <f>TEXT(maintable_2[[#This Row],[Order Date]],"mmmm")</f>
        <v>December</v>
      </c>
    </row>
    <row r="957" spans="1:12" x14ac:dyDescent="0.3">
      <c r="A957" s="1">
        <v>41990</v>
      </c>
      <c r="B957" s="1">
        <v>41995</v>
      </c>
      <c r="C957" t="s">
        <v>1121</v>
      </c>
      <c r="D957" t="s">
        <v>17</v>
      </c>
      <c r="E957" t="s">
        <v>598</v>
      </c>
      <c r="F957">
        <v>24.32</v>
      </c>
      <c r="G957">
        <v>5</v>
      </c>
      <c r="H957">
        <v>8.2080000000000002</v>
      </c>
      <c r="I957">
        <v>5</v>
      </c>
      <c r="J957">
        <v>2014</v>
      </c>
      <c r="K957" t="s">
        <v>2207</v>
      </c>
      <c r="L957" t="str">
        <f>TEXT(maintable_2[[#This Row],[Order Date]],"mmmm")</f>
        <v>December</v>
      </c>
    </row>
    <row r="958" spans="1:12" x14ac:dyDescent="0.3">
      <c r="A958" s="1">
        <v>41990</v>
      </c>
      <c r="B958" s="1">
        <v>41995</v>
      </c>
      <c r="C958" t="s">
        <v>1121</v>
      </c>
      <c r="D958" t="s">
        <v>11</v>
      </c>
      <c r="E958" t="s">
        <v>1122</v>
      </c>
      <c r="F958">
        <v>18.96</v>
      </c>
      <c r="G958">
        <v>2</v>
      </c>
      <c r="H958">
        <v>7.5839999999999996</v>
      </c>
      <c r="I958">
        <v>5</v>
      </c>
      <c r="J958">
        <v>2014</v>
      </c>
      <c r="K958" t="s">
        <v>2207</v>
      </c>
      <c r="L958" t="str">
        <f>TEXT(maintable_2[[#This Row],[Order Date]],"mmmm")</f>
        <v>December</v>
      </c>
    </row>
    <row r="959" spans="1:12" x14ac:dyDescent="0.3">
      <c r="A959" s="1">
        <v>40736</v>
      </c>
      <c r="B959" s="1">
        <v>40742</v>
      </c>
      <c r="C959" t="s">
        <v>361</v>
      </c>
      <c r="D959" t="s">
        <v>71</v>
      </c>
      <c r="E959" t="s">
        <v>1123</v>
      </c>
      <c r="F959">
        <v>123.136</v>
      </c>
      <c r="G959">
        <v>4</v>
      </c>
      <c r="H959">
        <v>13.8528</v>
      </c>
      <c r="I959">
        <v>6</v>
      </c>
      <c r="J959">
        <v>2011</v>
      </c>
      <c r="K959" t="s">
        <v>2206</v>
      </c>
      <c r="L959" t="str">
        <f>TEXT(maintable_2[[#This Row],[Order Date]],"mmmm")</f>
        <v>July</v>
      </c>
    </row>
    <row r="960" spans="1:12" x14ac:dyDescent="0.3">
      <c r="A960" s="1">
        <v>40736</v>
      </c>
      <c r="B960" s="1">
        <v>40742</v>
      </c>
      <c r="C960" t="s">
        <v>361</v>
      </c>
      <c r="D960" t="s">
        <v>17</v>
      </c>
      <c r="E960" t="s">
        <v>1124</v>
      </c>
      <c r="F960">
        <v>11.263999999999999</v>
      </c>
      <c r="G960">
        <v>4</v>
      </c>
      <c r="H960">
        <v>3.8016000000000001</v>
      </c>
      <c r="I960">
        <v>6</v>
      </c>
      <c r="J960">
        <v>2011</v>
      </c>
      <c r="K960" t="s">
        <v>2206</v>
      </c>
      <c r="L960" t="str">
        <f>TEXT(maintable_2[[#This Row],[Order Date]],"mmmm")</f>
        <v>July</v>
      </c>
    </row>
    <row r="961" spans="1:12" x14ac:dyDescent="0.3">
      <c r="A961" s="1">
        <v>40883</v>
      </c>
      <c r="B961" s="1">
        <v>40888</v>
      </c>
      <c r="C961" t="s">
        <v>1125</v>
      </c>
      <c r="D961" t="s">
        <v>27</v>
      </c>
      <c r="E961" t="s">
        <v>402</v>
      </c>
      <c r="F961">
        <v>53.423999999999999</v>
      </c>
      <c r="G961">
        <v>3</v>
      </c>
      <c r="H961">
        <v>4.6745999999999999</v>
      </c>
      <c r="I961">
        <v>5</v>
      </c>
      <c r="J961">
        <v>2011</v>
      </c>
      <c r="K961" t="s">
        <v>2207</v>
      </c>
      <c r="L961" t="str">
        <f>TEXT(maintable_2[[#This Row],[Order Date]],"mmmm")</f>
        <v>December</v>
      </c>
    </row>
    <row r="962" spans="1:12" x14ac:dyDescent="0.3">
      <c r="A962" s="1">
        <v>40883</v>
      </c>
      <c r="B962" s="1">
        <v>40888</v>
      </c>
      <c r="C962" t="s">
        <v>1125</v>
      </c>
      <c r="D962" t="s">
        <v>21</v>
      </c>
      <c r="E962" t="s">
        <v>1126</v>
      </c>
      <c r="F962">
        <v>275.49</v>
      </c>
      <c r="G962">
        <v>1</v>
      </c>
      <c r="H962">
        <v>-170.8038</v>
      </c>
      <c r="I962">
        <v>5</v>
      </c>
      <c r="J962">
        <v>2011</v>
      </c>
      <c r="K962" t="s">
        <v>2207</v>
      </c>
      <c r="L962" t="str">
        <f>TEXT(maintable_2[[#This Row],[Order Date]],"mmmm")</f>
        <v>December</v>
      </c>
    </row>
    <row r="963" spans="1:12" x14ac:dyDescent="0.3">
      <c r="A963" s="1">
        <v>41326</v>
      </c>
      <c r="B963" s="1">
        <v>41331</v>
      </c>
      <c r="C963" t="s">
        <v>1127</v>
      </c>
      <c r="D963" t="s">
        <v>37</v>
      </c>
      <c r="E963" t="s">
        <v>1128</v>
      </c>
      <c r="F963">
        <v>12.99</v>
      </c>
      <c r="G963">
        <v>1</v>
      </c>
      <c r="H963">
        <v>0.77939999999999998</v>
      </c>
      <c r="I963">
        <v>5</v>
      </c>
      <c r="J963">
        <v>2013</v>
      </c>
      <c r="K963" t="s">
        <v>2210</v>
      </c>
      <c r="L963" t="str">
        <f>TEXT(maintable_2[[#This Row],[Order Date]],"mmmm")</f>
        <v>February</v>
      </c>
    </row>
    <row r="964" spans="1:12" x14ac:dyDescent="0.3">
      <c r="A964" s="1">
        <v>41326</v>
      </c>
      <c r="B964" s="1">
        <v>41331</v>
      </c>
      <c r="C964" t="s">
        <v>1127</v>
      </c>
      <c r="D964" t="s">
        <v>17</v>
      </c>
      <c r="E964" t="s">
        <v>1111</v>
      </c>
      <c r="F964">
        <v>18.559999999999999</v>
      </c>
      <c r="G964">
        <v>4</v>
      </c>
      <c r="H964">
        <v>6.4960000000000004</v>
      </c>
      <c r="I964">
        <v>5</v>
      </c>
      <c r="J964">
        <v>2013</v>
      </c>
      <c r="K964" t="s">
        <v>2210</v>
      </c>
      <c r="L964" t="str">
        <f>TEXT(maintable_2[[#This Row],[Order Date]],"mmmm")</f>
        <v>February</v>
      </c>
    </row>
    <row r="965" spans="1:12" x14ac:dyDescent="0.3">
      <c r="A965" s="1">
        <v>41326</v>
      </c>
      <c r="B965" s="1">
        <v>41331</v>
      </c>
      <c r="C965" t="s">
        <v>1127</v>
      </c>
      <c r="D965" t="s">
        <v>27</v>
      </c>
      <c r="E965" t="s">
        <v>351</v>
      </c>
      <c r="F965">
        <v>449.15</v>
      </c>
      <c r="G965">
        <v>5</v>
      </c>
      <c r="H965">
        <v>8.9830000000000005</v>
      </c>
      <c r="I965">
        <v>5</v>
      </c>
      <c r="J965">
        <v>2013</v>
      </c>
      <c r="K965" t="s">
        <v>2210</v>
      </c>
      <c r="L965" t="str">
        <f>TEXT(maintable_2[[#This Row],[Order Date]],"mmmm")</f>
        <v>February</v>
      </c>
    </row>
    <row r="966" spans="1:12" x14ac:dyDescent="0.3">
      <c r="A966" s="1">
        <v>41326</v>
      </c>
      <c r="B966" s="1">
        <v>41331</v>
      </c>
      <c r="C966" t="s">
        <v>1127</v>
      </c>
      <c r="D966" t="s">
        <v>17</v>
      </c>
      <c r="E966" t="s">
        <v>1129</v>
      </c>
      <c r="F966">
        <v>31.248000000000001</v>
      </c>
      <c r="G966">
        <v>7</v>
      </c>
      <c r="H966">
        <v>10.9368</v>
      </c>
      <c r="I966">
        <v>5</v>
      </c>
      <c r="J966">
        <v>2013</v>
      </c>
      <c r="K966" t="s">
        <v>2210</v>
      </c>
      <c r="L966" t="str">
        <f>TEXT(maintable_2[[#This Row],[Order Date]],"mmmm")</f>
        <v>February</v>
      </c>
    </row>
    <row r="967" spans="1:12" x14ac:dyDescent="0.3">
      <c r="A967" s="1">
        <v>41527</v>
      </c>
      <c r="B967" s="1">
        <v>41531</v>
      </c>
      <c r="C967" t="s">
        <v>306</v>
      </c>
      <c r="D967" t="s">
        <v>17</v>
      </c>
      <c r="E967" t="s">
        <v>1130</v>
      </c>
      <c r="F967">
        <v>55.36</v>
      </c>
      <c r="G967">
        <v>4</v>
      </c>
      <c r="H967">
        <v>18.684000000000001</v>
      </c>
      <c r="I967">
        <v>4</v>
      </c>
      <c r="J967">
        <v>2013</v>
      </c>
      <c r="K967" t="s">
        <v>2209</v>
      </c>
      <c r="L967" t="str">
        <f>TEXT(maintable_2[[#This Row],[Order Date]],"mmmm")</f>
        <v>September</v>
      </c>
    </row>
    <row r="968" spans="1:12" x14ac:dyDescent="0.3">
      <c r="A968" s="1">
        <v>40738</v>
      </c>
      <c r="B968" s="1">
        <v>40745</v>
      </c>
      <c r="C968" t="s">
        <v>203</v>
      </c>
      <c r="D968" t="s">
        <v>27</v>
      </c>
      <c r="E968" t="s">
        <v>1131</v>
      </c>
      <c r="F968">
        <v>55.92</v>
      </c>
      <c r="G968">
        <v>5</v>
      </c>
      <c r="H968">
        <v>6.2910000000000004</v>
      </c>
      <c r="I968">
        <v>7</v>
      </c>
      <c r="J968">
        <v>2011</v>
      </c>
      <c r="K968" t="s">
        <v>2206</v>
      </c>
      <c r="L968" t="str">
        <f>TEXT(maintable_2[[#This Row],[Order Date]],"mmmm")</f>
        <v>July</v>
      </c>
    </row>
    <row r="969" spans="1:12" x14ac:dyDescent="0.3">
      <c r="A969" s="1">
        <v>40840</v>
      </c>
      <c r="B969" s="1">
        <v>40845</v>
      </c>
      <c r="C969" t="s">
        <v>262</v>
      </c>
      <c r="D969" t="s">
        <v>17</v>
      </c>
      <c r="E969" t="s">
        <v>1132</v>
      </c>
      <c r="F969">
        <v>34.271999999999998</v>
      </c>
      <c r="G969">
        <v>3</v>
      </c>
      <c r="H969">
        <v>11.138400000000001</v>
      </c>
      <c r="I969">
        <v>5</v>
      </c>
      <c r="J969">
        <v>2011</v>
      </c>
      <c r="K969" t="s">
        <v>2209</v>
      </c>
      <c r="L969" t="str">
        <f>TEXT(maintable_2[[#This Row],[Order Date]],"mmmm")</f>
        <v>October</v>
      </c>
    </row>
    <row r="970" spans="1:12" x14ac:dyDescent="0.3">
      <c r="A970" s="1">
        <v>41747</v>
      </c>
      <c r="B970" s="1">
        <v>41753</v>
      </c>
      <c r="C970" t="s">
        <v>1133</v>
      </c>
      <c r="D970" t="s">
        <v>17</v>
      </c>
      <c r="E970" t="s">
        <v>1134</v>
      </c>
      <c r="F970">
        <v>12.03</v>
      </c>
      <c r="G970">
        <v>5</v>
      </c>
      <c r="H970">
        <v>-9.2230000000000008</v>
      </c>
      <c r="I970">
        <v>6</v>
      </c>
      <c r="J970">
        <v>2014</v>
      </c>
      <c r="K970" t="s">
        <v>2208</v>
      </c>
      <c r="L970" t="str">
        <f>TEXT(maintable_2[[#This Row],[Order Date]],"mmmm")</f>
        <v>April</v>
      </c>
    </row>
    <row r="971" spans="1:12" x14ac:dyDescent="0.3">
      <c r="A971" s="1">
        <v>41747</v>
      </c>
      <c r="B971" s="1">
        <v>41753</v>
      </c>
      <c r="C971" t="s">
        <v>1133</v>
      </c>
      <c r="D971" t="s">
        <v>494</v>
      </c>
      <c r="E971" t="s">
        <v>1135</v>
      </c>
      <c r="F971">
        <v>2549.9850000000001</v>
      </c>
      <c r="G971">
        <v>5</v>
      </c>
      <c r="H971">
        <v>-3399.98</v>
      </c>
      <c r="I971">
        <v>6</v>
      </c>
      <c r="J971">
        <v>2014</v>
      </c>
      <c r="K971" t="s">
        <v>2208</v>
      </c>
      <c r="L971" t="str">
        <f>TEXT(maintable_2[[#This Row],[Order Date]],"mmmm")</f>
        <v>April</v>
      </c>
    </row>
    <row r="972" spans="1:12" x14ac:dyDescent="0.3">
      <c r="A972" s="1">
        <v>41747</v>
      </c>
      <c r="B972" s="1">
        <v>41753</v>
      </c>
      <c r="C972" t="s">
        <v>1133</v>
      </c>
      <c r="D972" t="s">
        <v>17</v>
      </c>
      <c r="E972" t="s">
        <v>1136</v>
      </c>
      <c r="F972">
        <v>21.594000000000001</v>
      </c>
      <c r="G972">
        <v>2</v>
      </c>
      <c r="H972">
        <v>-15.835599999999999</v>
      </c>
      <c r="I972">
        <v>6</v>
      </c>
      <c r="J972">
        <v>2014</v>
      </c>
      <c r="K972" t="s">
        <v>2208</v>
      </c>
      <c r="L972" t="str">
        <f>TEXT(maintable_2[[#This Row],[Order Date]],"mmmm")</f>
        <v>April</v>
      </c>
    </row>
    <row r="973" spans="1:12" x14ac:dyDescent="0.3">
      <c r="A973" s="1">
        <v>41747</v>
      </c>
      <c r="B973" s="1">
        <v>41753</v>
      </c>
      <c r="C973" t="s">
        <v>1133</v>
      </c>
      <c r="D973" t="s">
        <v>17</v>
      </c>
      <c r="E973" t="s">
        <v>335</v>
      </c>
      <c r="F973">
        <v>8.9640000000000004</v>
      </c>
      <c r="G973">
        <v>6</v>
      </c>
      <c r="H973">
        <v>-6.5735999999999999</v>
      </c>
      <c r="I973">
        <v>6</v>
      </c>
      <c r="J973">
        <v>2014</v>
      </c>
      <c r="K973" t="s">
        <v>2208</v>
      </c>
      <c r="L973" t="str">
        <f>TEXT(maintable_2[[#This Row],[Order Date]],"mmmm")</f>
        <v>April</v>
      </c>
    </row>
    <row r="974" spans="1:12" x14ac:dyDescent="0.3">
      <c r="A974" s="1">
        <v>41747</v>
      </c>
      <c r="B974" s="1">
        <v>41753</v>
      </c>
      <c r="C974" t="s">
        <v>1133</v>
      </c>
      <c r="D974" t="s">
        <v>44</v>
      </c>
      <c r="E974" t="s">
        <v>300</v>
      </c>
      <c r="F974">
        <v>20.736000000000001</v>
      </c>
      <c r="G974">
        <v>4</v>
      </c>
      <c r="H974">
        <v>7.2576000000000001</v>
      </c>
      <c r="I974">
        <v>6</v>
      </c>
      <c r="J974">
        <v>2014</v>
      </c>
      <c r="K974" t="s">
        <v>2208</v>
      </c>
      <c r="L974" t="str">
        <f>TEXT(maintable_2[[#This Row],[Order Date]],"mmmm")</f>
        <v>April</v>
      </c>
    </row>
    <row r="975" spans="1:12" x14ac:dyDescent="0.3">
      <c r="A975" s="1">
        <v>41221</v>
      </c>
      <c r="B975" s="1">
        <v>41227</v>
      </c>
      <c r="C975" t="s">
        <v>210</v>
      </c>
      <c r="D975" t="s">
        <v>78</v>
      </c>
      <c r="E975" t="s">
        <v>1137</v>
      </c>
      <c r="F975">
        <v>5.04</v>
      </c>
      <c r="G975">
        <v>3</v>
      </c>
      <c r="H975">
        <v>0.2016</v>
      </c>
      <c r="I975">
        <v>6</v>
      </c>
      <c r="J975">
        <v>2012</v>
      </c>
      <c r="K975" t="s">
        <v>2209</v>
      </c>
      <c r="L975" t="str">
        <f>TEXT(maintable_2[[#This Row],[Order Date]],"mmmm")</f>
        <v>November</v>
      </c>
    </row>
    <row r="976" spans="1:12" x14ac:dyDescent="0.3">
      <c r="A976" s="1">
        <v>41221</v>
      </c>
      <c r="B976" s="1">
        <v>41227</v>
      </c>
      <c r="C976" t="s">
        <v>210</v>
      </c>
      <c r="D976" t="s">
        <v>44</v>
      </c>
      <c r="E976" t="s">
        <v>875</v>
      </c>
      <c r="F976">
        <v>92.94</v>
      </c>
      <c r="G976">
        <v>3</v>
      </c>
      <c r="H976">
        <v>41.823</v>
      </c>
      <c r="I976">
        <v>6</v>
      </c>
      <c r="J976">
        <v>2012</v>
      </c>
      <c r="K976" t="s">
        <v>2209</v>
      </c>
      <c r="L976" t="str">
        <f>TEXT(maintable_2[[#This Row],[Order Date]],"mmmm")</f>
        <v>November</v>
      </c>
    </row>
    <row r="977" spans="1:12" x14ac:dyDescent="0.3">
      <c r="A977" s="1">
        <v>41221</v>
      </c>
      <c r="B977" s="1">
        <v>41227</v>
      </c>
      <c r="C977" t="s">
        <v>210</v>
      </c>
      <c r="D977" t="s">
        <v>11</v>
      </c>
      <c r="E977" t="s">
        <v>370</v>
      </c>
      <c r="F977">
        <v>66.69</v>
      </c>
      <c r="G977">
        <v>3</v>
      </c>
      <c r="H977">
        <v>22.0077</v>
      </c>
      <c r="I977">
        <v>6</v>
      </c>
      <c r="J977">
        <v>2012</v>
      </c>
      <c r="K977" t="s">
        <v>2209</v>
      </c>
      <c r="L977" t="str">
        <f>TEXT(maintable_2[[#This Row],[Order Date]],"mmmm")</f>
        <v>November</v>
      </c>
    </row>
    <row r="978" spans="1:12" x14ac:dyDescent="0.3">
      <c r="A978" s="1">
        <v>41221</v>
      </c>
      <c r="B978" s="1">
        <v>41227</v>
      </c>
      <c r="C978" t="s">
        <v>210</v>
      </c>
      <c r="D978" t="s">
        <v>17</v>
      </c>
      <c r="E978" t="s">
        <v>603</v>
      </c>
      <c r="F978">
        <v>91.68</v>
      </c>
      <c r="G978">
        <v>5</v>
      </c>
      <c r="H978">
        <v>28.65</v>
      </c>
      <c r="I978">
        <v>6</v>
      </c>
      <c r="J978">
        <v>2012</v>
      </c>
      <c r="K978" t="s">
        <v>2209</v>
      </c>
      <c r="L978" t="str">
        <f>TEXT(maintable_2[[#This Row],[Order Date]],"mmmm")</f>
        <v>November</v>
      </c>
    </row>
    <row r="979" spans="1:12" x14ac:dyDescent="0.3">
      <c r="A979" s="1">
        <v>40779</v>
      </c>
      <c r="B979" s="1">
        <v>40779</v>
      </c>
      <c r="C979" t="s">
        <v>707</v>
      </c>
      <c r="D979" t="s">
        <v>17</v>
      </c>
      <c r="E979" t="s">
        <v>1138</v>
      </c>
      <c r="F979">
        <v>8.2880000000000003</v>
      </c>
      <c r="G979">
        <v>2</v>
      </c>
      <c r="H979">
        <v>2.6936</v>
      </c>
      <c r="I979">
        <v>0</v>
      </c>
      <c r="J979">
        <v>2011</v>
      </c>
      <c r="K979" t="s">
        <v>2206</v>
      </c>
      <c r="L979" t="str">
        <f>TEXT(maintable_2[[#This Row],[Order Date]],"mmmm")</f>
        <v>August</v>
      </c>
    </row>
    <row r="980" spans="1:12" x14ac:dyDescent="0.3">
      <c r="A980" s="1">
        <v>41358</v>
      </c>
      <c r="B980" s="1">
        <v>41362</v>
      </c>
      <c r="C980" t="s">
        <v>1139</v>
      </c>
      <c r="D980" t="s">
        <v>15</v>
      </c>
      <c r="E980" t="s">
        <v>1140</v>
      </c>
      <c r="F980">
        <v>403.16800000000001</v>
      </c>
      <c r="G980">
        <v>4</v>
      </c>
      <c r="H980">
        <v>25.198</v>
      </c>
      <c r="I980">
        <v>4</v>
      </c>
      <c r="J980">
        <v>2013</v>
      </c>
      <c r="K980" t="s">
        <v>2208</v>
      </c>
      <c r="L980" t="str">
        <f>TEXT(maintable_2[[#This Row],[Order Date]],"mmmm")</f>
        <v>March</v>
      </c>
    </row>
    <row r="981" spans="1:12" x14ac:dyDescent="0.3">
      <c r="A981" s="1">
        <v>41600</v>
      </c>
      <c r="B981" s="1">
        <v>41605</v>
      </c>
      <c r="C981" t="s">
        <v>541</v>
      </c>
      <c r="D981" t="s">
        <v>71</v>
      </c>
      <c r="E981" t="s">
        <v>821</v>
      </c>
      <c r="F981">
        <v>195.136</v>
      </c>
      <c r="G981">
        <v>4</v>
      </c>
      <c r="H981">
        <v>-12.196</v>
      </c>
      <c r="I981">
        <v>5</v>
      </c>
      <c r="J981">
        <v>2013</v>
      </c>
      <c r="K981" t="s">
        <v>2209</v>
      </c>
      <c r="L981" t="str">
        <f>TEXT(maintable_2[[#This Row],[Order Date]],"mmmm")</f>
        <v>November</v>
      </c>
    </row>
    <row r="982" spans="1:12" x14ac:dyDescent="0.3">
      <c r="A982" s="1">
        <v>41916</v>
      </c>
      <c r="B982" s="1">
        <v>41921</v>
      </c>
      <c r="C982" t="s">
        <v>1141</v>
      </c>
      <c r="D982" t="s">
        <v>21</v>
      </c>
      <c r="E982" t="s">
        <v>1142</v>
      </c>
      <c r="F982">
        <v>171.28800000000001</v>
      </c>
      <c r="G982">
        <v>3</v>
      </c>
      <c r="H982">
        <v>-6.4233000000000002</v>
      </c>
      <c r="I982">
        <v>5</v>
      </c>
      <c r="J982">
        <v>2014</v>
      </c>
      <c r="K982" t="s">
        <v>2209</v>
      </c>
      <c r="L982" t="str">
        <f>TEXT(maintable_2[[#This Row],[Order Date]],"mmmm")</f>
        <v>October</v>
      </c>
    </row>
    <row r="983" spans="1:12" x14ac:dyDescent="0.3">
      <c r="A983" s="1">
        <v>41894</v>
      </c>
      <c r="B983" s="1">
        <v>41895</v>
      </c>
      <c r="C983" t="s">
        <v>863</v>
      </c>
      <c r="D983" t="s">
        <v>44</v>
      </c>
      <c r="E983" t="s">
        <v>538</v>
      </c>
      <c r="F983">
        <v>12.96</v>
      </c>
      <c r="G983">
        <v>2</v>
      </c>
      <c r="H983">
        <v>6.2207999999999997</v>
      </c>
      <c r="I983">
        <v>1</v>
      </c>
      <c r="J983">
        <v>2014</v>
      </c>
      <c r="K983" t="s">
        <v>2209</v>
      </c>
      <c r="L983" t="str">
        <f>TEXT(maintable_2[[#This Row],[Order Date]],"mmmm")</f>
        <v>September</v>
      </c>
    </row>
    <row r="984" spans="1:12" x14ac:dyDescent="0.3">
      <c r="A984" s="1">
        <v>41894</v>
      </c>
      <c r="B984" s="1">
        <v>41895</v>
      </c>
      <c r="C984" t="s">
        <v>863</v>
      </c>
      <c r="D984" t="s">
        <v>86</v>
      </c>
      <c r="E984" t="s">
        <v>1143</v>
      </c>
      <c r="F984">
        <v>22.18</v>
      </c>
      <c r="G984">
        <v>2</v>
      </c>
      <c r="H984">
        <v>10.8682</v>
      </c>
      <c r="I984">
        <v>1</v>
      </c>
      <c r="J984">
        <v>2014</v>
      </c>
      <c r="K984" t="s">
        <v>2209</v>
      </c>
      <c r="L984" t="str">
        <f>TEXT(maintable_2[[#This Row],[Order Date]],"mmmm")</f>
        <v>September</v>
      </c>
    </row>
    <row r="985" spans="1:12" x14ac:dyDescent="0.3">
      <c r="A985" s="1">
        <v>41894</v>
      </c>
      <c r="B985" s="1">
        <v>41895</v>
      </c>
      <c r="C985" t="s">
        <v>863</v>
      </c>
      <c r="D985" t="s">
        <v>71</v>
      </c>
      <c r="E985" t="s">
        <v>1144</v>
      </c>
      <c r="F985">
        <v>2054.2719999999999</v>
      </c>
      <c r="G985">
        <v>8</v>
      </c>
      <c r="H985">
        <v>256.78399999999999</v>
      </c>
      <c r="I985">
        <v>1</v>
      </c>
      <c r="J985">
        <v>2014</v>
      </c>
      <c r="K985" t="s">
        <v>2209</v>
      </c>
      <c r="L985" t="str">
        <f>TEXT(maintable_2[[#This Row],[Order Date]],"mmmm")</f>
        <v>September</v>
      </c>
    </row>
    <row r="986" spans="1:12" x14ac:dyDescent="0.3">
      <c r="A986" s="1">
        <v>40816</v>
      </c>
      <c r="B986" s="1">
        <v>40820</v>
      </c>
      <c r="C986" t="s">
        <v>161</v>
      </c>
      <c r="D986" t="s">
        <v>17</v>
      </c>
      <c r="E986" t="s">
        <v>18</v>
      </c>
      <c r="F986">
        <v>43.176000000000002</v>
      </c>
      <c r="G986">
        <v>7</v>
      </c>
      <c r="H986">
        <v>13.4925</v>
      </c>
      <c r="I986">
        <v>4</v>
      </c>
      <c r="J986">
        <v>2011</v>
      </c>
      <c r="K986" t="s">
        <v>2209</v>
      </c>
      <c r="L986" t="str">
        <f>TEXT(maintable_2[[#This Row],[Order Date]],"mmmm")</f>
        <v>September</v>
      </c>
    </row>
    <row r="987" spans="1:12" x14ac:dyDescent="0.3">
      <c r="A987" s="1">
        <v>41919</v>
      </c>
      <c r="B987" s="1">
        <v>41924</v>
      </c>
      <c r="C987" t="s">
        <v>357</v>
      </c>
      <c r="D987" t="s">
        <v>11</v>
      </c>
      <c r="E987" t="s">
        <v>1145</v>
      </c>
      <c r="F987">
        <v>41.96</v>
      </c>
      <c r="G987">
        <v>2</v>
      </c>
      <c r="H987">
        <v>2.9371999999999998</v>
      </c>
      <c r="I987">
        <v>5</v>
      </c>
      <c r="J987">
        <v>2014</v>
      </c>
      <c r="K987" t="s">
        <v>2209</v>
      </c>
      <c r="L987" t="str">
        <f>TEXT(maintable_2[[#This Row],[Order Date]],"mmmm")</f>
        <v>October</v>
      </c>
    </row>
    <row r="988" spans="1:12" x14ac:dyDescent="0.3">
      <c r="A988" s="1">
        <v>41919</v>
      </c>
      <c r="B988" s="1">
        <v>41924</v>
      </c>
      <c r="C988" t="s">
        <v>357</v>
      </c>
      <c r="D988" t="s">
        <v>19</v>
      </c>
      <c r="E988" t="s">
        <v>1146</v>
      </c>
      <c r="F988">
        <v>227.84</v>
      </c>
      <c r="G988">
        <v>4</v>
      </c>
      <c r="H988">
        <v>66.073599999999999</v>
      </c>
      <c r="I988">
        <v>5</v>
      </c>
      <c r="J988">
        <v>2014</v>
      </c>
      <c r="K988" t="s">
        <v>2209</v>
      </c>
      <c r="L988" t="str">
        <f>TEXT(maintable_2[[#This Row],[Order Date]],"mmmm")</f>
        <v>October</v>
      </c>
    </row>
    <row r="989" spans="1:12" x14ac:dyDescent="0.3">
      <c r="A989" s="1">
        <v>41919</v>
      </c>
      <c r="B989" s="1">
        <v>41924</v>
      </c>
      <c r="C989" t="s">
        <v>357</v>
      </c>
      <c r="D989" t="s">
        <v>44</v>
      </c>
      <c r="E989" t="s">
        <v>834</v>
      </c>
      <c r="F989">
        <v>37.94</v>
      </c>
      <c r="G989">
        <v>2</v>
      </c>
      <c r="H989">
        <v>18.211200000000002</v>
      </c>
      <c r="I989">
        <v>5</v>
      </c>
      <c r="J989">
        <v>2014</v>
      </c>
      <c r="K989" t="s">
        <v>2209</v>
      </c>
      <c r="L989" t="str">
        <f>TEXT(maintable_2[[#This Row],[Order Date]],"mmmm")</f>
        <v>October</v>
      </c>
    </row>
    <row r="990" spans="1:12" x14ac:dyDescent="0.3">
      <c r="A990" s="1">
        <v>41932</v>
      </c>
      <c r="B990" s="1">
        <v>41937</v>
      </c>
      <c r="C990" t="s">
        <v>694</v>
      </c>
      <c r="D990" t="s">
        <v>86</v>
      </c>
      <c r="E990" t="s">
        <v>1147</v>
      </c>
      <c r="F990">
        <v>8.9600000000000009</v>
      </c>
      <c r="G990">
        <v>2</v>
      </c>
      <c r="H990">
        <v>4.3007999999999997</v>
      </c>
      <c r="I990">
        <v>5</v>
      </c>
      <c r="J990">
        <v>2014</v>
      </c>
      <c r="K990" t="s">
        <v>2209</v>
      </c>
      <c r="L990" t="str">
        <f>TEXT(maintable_2[[#This Row],[Order Date]],"mmmm")</f>
        <v>October</v>
      </c>
    </row>
    <row r="991" spans="1:12" x14ac:dyDescent="0.3">
      <c r="A991" s="1">
        <v>41932</v>
      </c>
      <c r="B991" s="1">
        <v>41937</v>
      </c>
      <c r="C991" t="s">
        <v>694</v>
      </c>
      <c r="D991" t="s">
        <v>8</v>
      </c>
      <c r="E991" t="s">
        <v>659</v>
      </c>
      <c r="F991">
        <v>31.5</v>
      </c>
      <c r="G991">
        <v>10</v>
      </c>
      <c r="H991">
        <v>15.12</v>
      </c>
      <c r="I991">
        <v>5</v>
      </c>
      <c r="J991">
        <v>2014</v>
      </c>
      <c r="K991" t="s">
        <v>2209</v>
      </c>
      <c r="L991" t="str">
        <f>TEXT(maintable_2[[#This Row],[Order Date]],"mmmm")</f>
        <v>October</v>
      </c>
    </row>
    <row r="992" spans="1:12" x14ac:dyDescent="0.3">
      <c r="A992" s="1">
        <v>41932</v>
      </c>
      <c r="B992" s="1">
        <v>41937</v>
      </c>
      <c r="C992" t="s">
        <v>694</v>
      </c>
      <c r="D992" t="s">
        <v>11</v>
      </c>
      <c r="E992" t="s">
        <v>1148</v>
      </c>
      <c r="F992">
        <v>30.56</v>
      </c>
      <c r="G992">
        <v>2</v>
      </c>
      <c r="H992">
        <v>10.3904</v>
      </c>
      <c r="I992">
        <v>5</v>
      </c>
      <c r="J992">
        <v>2014</v>
      </c>
      <c r="K992" t="s">
        <v>2209</v>
      </c>
      <c r="L992" t="str">
        <f>TEXT(maintable_2[[#This Row],[Order Date]],"mmmm")</f>
        <v>October</v>
      </c>
    </row>
    <row r="993" spans="1:12" x14ac:dyDescent="0.3">
      <c r="A993" s="1">
        <v>41932</v>
      </c>
      <c r="B993" s="1">
        <v>41937</v>
      </c>
      <c r="C993" t="s">
        <v>694</v>
      </c>
      <c r="D993" t="s">
        <v>21</v>
      </c>
      <c r="E993" t="s">
        <v>1149</v>
      </c>
      <c r="F993">
        <v>24.367999999999999</v>
      </c>
      <c r="G993">
        <v>2</v>
      </c>
      <c r="H993">
        <v>-3.3506</v>
      </c>
      <c r="I993">
        <v>5</v>
      </c>
      <c r="J993">
        <v>2014</v>
      </c>
      <c r="K993" t="s">
        <v>2209</v>
      </c>
      <c r="L993" t="str">
        <f>TEXT(maintable_2[[#This Row],[Order Date]],"mmmm")</f>
        <v>October</v>
      </c>
    </row>
    <row r="994" spans="1:12" x14ac:dyDescent="0.3">
      <c r="A994" s="1">
        <v>41712</v>
      </c>
      <c r="B994" s="1">
        <v>41717</v>
      </c>
      <c r="C994" t="s">
        <v>1150</v>
      </c>
      <c r="D994" t="s">
        <v>27</v>
      </c>
      <c r="E994" t="s">
        <v>1151</v>
      </c>
      <c r="F994">
        <v>90.8</v>
      </c>
      <c r="G994">
        <v>8</v>
      </c>
      <c r="H994">
        <v>25.423999999999999</v>
      </c>
      <c r="I994">
        <v>5</v>
      </c>
      <c r="J994">
        <v>2014</v>
      </c>
      <c r="K994" t="s">
        <v>2208</v>
      </c>
      <c r="L994" t="str">
        <f>TEXT(maintable_2[[#This Row],[Order Date]],"mmmm")</f>
        <v>March</v>
      </c>
    </row>
    <row r="995" spans="1:12" x14ac:dyDescent="0.3">
      <c r="A995" s="1">
        <v>41712</v>
      </c>
      <c r="B995" s="1">
        <v>41717</v>
      </c>
      <c r="C995" t="s">
        <v>1150</v>
      </c>
      <c r="D995" t="s">
        <v>15</v>
      </c>
      <c r="E995" t="s">
        <v>1152</v>
      </c>
      <c r="F995">
        <v>140.73599999999999</v>
      </c>
      <c r="G995">
        <v>8</v>
      </c>
      <c r="H995">
        <v>49.257599999999996</v>
      </c>
      <c r="I995">
        <v>5</v>
      </c>
      <c r="J995">
        <v>2014</v>
      </c>
      <c r="K995" t="s">
        <v>2208</v>
      </c>
      <c r="L995" t="str">
        <f>TEXT(maintable_2[[#This Row],[Order Date]],"mmmm")</f>
        <v>March</v>
      </c>
    </row>
    <row r="996" spans="1:12" x14ac:dyDescent="0.3">
      <c r="A996" s="1">
        <v>41712</v>
      </c>
      <c r="B996" s="1">
        <v>41717</v>
      </c>
      <c r="C996" t="s">
        <v>1150</v>
      </c>
      <c r="D996" t="s">
        <v>37</v>
      </c>
      <c r="E996" t="s">
        <v>1153</v>
      </c>
      <c r="F996">
        <v>214.95</v>
      </c>
      <c r="G996">
        <v>5</v>
      </c>
      <c r="H996">
        <v>88.129499999999993</v>
      </c>
      <c r="I996">
        <v>5</v>
      </c>
      <c r="J996">
        <v>2014</v>
      </c>
      <c r="K996" t="s">
        <v>2208</v>
      </c>
      <c r="L996" t="str">
        <f>TEXT(maintable_2[[#This Row],[Order Date]],"mmmm")</f>
        <v>March</v>
      </c>
    </row>
    <row r="997" spans="1:12" x14ac:dyDescent="0.3">
      <c r="A997" s="1">
        <v>41712</v>
      </c>
      <c r="B997" s="1">
        <v>41717</v>
      </c>
      <c r="C997" t="s">
        <v>1150</v>
      </c>
      <c r="D997" t="s">
        <v>44</v>
      </c>
      <c r="E997" t="s">
        <v>1154</v>
      </c>
      <c r="F997">
        <v>45.36</v>
      </c>
      <c r="G997">
        <v>7</v>
      </c>
      <c r="H997">
        <v>21.7728</v>
      </c>
      <c r="I997">
        <v>5</v>
      </c>
      <c r="J997">
        <v>2014</v>
      </c>
      <c r="K997" t="s">
        <v>2208</v>
      </c>
      <c r="L997" t="str">
        <f>TEXT(maintable_2[[#This Row],[Order Date]],"mmmm")</f>
        <v>March</v>
      </c>
    </row>
    <row r="998" spans="1:12" x14ac:dyDescent="0.3">
      <c r="A998" s="1">
        <v>41712</v>
      </c>
      <c r="B998" s="1">
        <v>41717</v>
      </c>
      <c r="C998" t="s">
        <v>1150</v>
      </c>
      <c r="D998" t="s">
        <v>44</v>
      </c>
      <c r="E998" t="s">
        <v>1038</v>
      </c>
      <c r="F998">
        <v>288.24</v>
      </c>
      <c r="G998">
        <v>6</v>
      </c>
      <c r="H998">
        <v>138.3552</v>
      </c>
      <c r="I998">
        <v>5</v>
      </c>
      <c r="J998">
        <v>2014</v>
      </c>
      <c r="K998" t="s">
        <v>2208</v>
      </c>
      <c r="L998" t="str">
        <f>TEXT(maintable_2[[#This Row],[Order Date]],"mmmm")</f>
        <v>March</v>
      </c>
    </row>
    <row r="999" spans="1:12" x14ac:dyDescent="0.3">
      <c r="A999" s="1">
        <v>41277</v>
      </c>
      <c r="B999" s="1">
        <v>41279</v>
      </c>
      <c r="C999" t="s">
        <v>302</v>
      </c>
      <c r="D999" t="s">
        <v>27</v>
      </c>
      <c r="E999" t="s">
        <v>1155</v>
      </c>
      <c r="F999">
        <v>114.46</v>
      </c>
      <c r="G999">
        <v>2</v>
      </c>
      <c r="H999">
        <v>28.614999999999998</v>
      </c>
      <c r="I999">
        <v>2</v>
      </c>
      <c r="J999">
        <v>2013</v>
      </c>
      <c r="K999" t="s">
        <v>2210</v>
      </c>
      <c r="L999" t="str">
        <f>TEXT(maintable_2[[#This Row],[Order Date]],"mmmm")</f>
        <v>January</v>
      </c>
    </row>
    <row r="1000" spans="1:12" x14ac:dyDescent="0.3">
      <c r="A1000" s="1">
        <v>41185</v>
      </c>
      <c r="B1000" s="1">
        <v>41190</v>
      </c>
      <c r="C1000" t="s">
        <v>116</v>
      </c>
      <c r="D1000" t="s">
        <v>196</v>
      </c>
      <c r="E1000" t="s">
        <v>811</v>
      </c>
      <c r="F1000">
        <v>120.666</v>
      </c>
      <c r="G1000">
        <v>2</v>
      </c>
      <c r="H1000">
        <v>18.454799999999999</v>
      </c>
      <c r="I1000">
        <v>5</v>
      </c>
      <c r="J1000">
        <v>2012</v>
      </c>
      <c r="K1000" t="s">
        <v>2209</v>
      </c>
      <c r="L1000" t="str">
        <f>TEXT(maintable_2[[#This Row],[Order Date]],"mmmm")</f>
        <v>October</v>
      </c>
    </row>
    <row r="1001" spans="1:12" x14ac:dyDescent="0.3">
      <c r="A1001" s="1">
        <v>40684</v>
      </c>
      <c r="B1001" s="1">
        <v>40688</v>
      </c>
      <c r="C1001" t="s">
        <v>510</v>
      </c>
      <c r="D1001" t="s">
        <v>13</v>
      </c>
      <c r="E1001" t="s">
        <v>636</v>
      </c>
      <c r="F1001">
        <v>31.84</v>
      </c>
      <c r="G1001">
        <v>8</v>
      </c>
      <c r="H1001">
        <v>10.507199999999999</v>
      </c>
      <c r="I1001">
        <v>4</v>
      </c>
      <c r="J1001">
        <v>2011</v>
      </c>
      <c r="K1001" t="s">
        <v>2208</v>
      </c>
      <c r="L1001" t="str">
        <f>TEXT(maintable_2[[#This Row],[Order Date]],"mmmm")</f>
        <v>May</v>
      </c>
    </row>
    <row r="1002" spans="1:12" x14ac:dyDescent="0.3">
      <c r="A1002" s="1">
        <v>41887</v>
      </c>
      <c r="B1002" s="1">
        <v>41888</v>
      </c>
      <c r="C1002" t="s">
        <v>1156</v>
      </c>
      <c r="D1002" t="s">
        <v>44</v>
      </c>
      <c r="E1002" t="s">
        <v>508</v>
      </c>
      <c r="F1002">
        <v>12.96</v>
      </c>
      <c r="G1002">
        <v>2</v>
      </c>
      <c r="H1002">
        <v>6.2207999999999997</v>
      </c>
      <c r="I1002">
        <v>1</v>
      </c>
      <c r="J1002">
        <v>2014</v>
      </c>
      <c r="K1002" t="s">
        <v>2209</v>
      </c>
      <c r="L1002" t="str">
        <f>TEXT(maintable_2[[#This Row],[Order Date]],"mmmm")</f>
        <v>September</v>
      </c>
    </row>
    <row r="1003" spans="1:12" x14ac:dyDescent="0.3">
      <c r="A1003" s="1">
        <v>41887</v>
      </c>
      <c r="B1003" s="1">
        <v>41888</v>
      </c>
      <c r="C1003" t="s">
        <v>1156</v>
      </c>
      <c r="D1003" t="s">
        <v>15</v>
      </c>
      <c r="E1003" t="s">
        <v>1157</v>
      </c>
      <c r="F1003">
        <v>43.176000000000002</v>
      </c>
      <c r="G1003">
        <v>3</v>
      </c>
      <c r="H1003">
        <v>15.111599999999999</v>
      </c>
      <c r="I1003">
        <v>1</v>
      </c>
      <c r="J1003">
        <v>2014</v>
      </c>
      <c r="K1003" t="s">
        <v>2209</v>
      </c>
      <c r="L1003" t="str">
        <f>TEXT(maintable_2[[#This Row],[Order Date]],"mmmm")</f>
        <v>September</v>
      </c>
    </row>
    <row r="1004" spans="1:12" x14ac:dyDescent="0.3">
      <c r="A1004" s="1">
        <v>41510</v>
      </c>
      <c r="B1004" s="1">
        <v>41517</v>
      </c>
      <c r="C1004" t="s">
        <v>1158</v>
      </c>
      <c r="D1004" t="s">
        <v>494</v>
      </c>
      <c r="E1004" t="s">
        <v>1159</v>
      </c>
      <c r="F1004">
        <v>837.6</v>
      </c>
      <c r="G1004">
        <v>3</v>
      </c>
      <c r="H1004">
        <v>62.82</v>
      </c>
      <c r="I1004">
        <v>7</v>
      </c>
      <c r="J1004">
        <v>2013</v>
      </c>
      <c r="K1004" t="s">
        <v>2206</v>
      </c>
      <c r="L1004" t="str">
        <f>TEXT(maintable_2[[#This Row],[Order Date]],"mmmm")</f>
        <v>August</v>
      </c>
    </row>
    <row r="1005" spans="1:12" x14ac:dyDescent="0.3">
      <c r="A1005" s="1">
        <v>41510</v>
      </c>
      <c r="B1005" s="1">
        <v>41517</v>
      </c>
      <c r="C1005" t="s">
        <v>1158</v>
      </c>
      <c r="D1005" t="s">
        <v>86</v>
      </c>
      <c r="E1005" t="s">
        <v>1160</v>
      </c>
      <c r="F1005">
        <v>135.9</v>
      </c>
      <c r="G1005">
        <v>5</v>
      </c>
      <c r="H1005">
        <v>63.872999999999998</v>
      </c>
      <c r="I1005">
        <v>7</v>
      </c>
      <c r="J1005">
        <v>2013</v>
      </c>
      <c r="K1005" t="s">
        <v>2206</v>
      </c>
      <c r="L1005" t="str">
        <f>TEXT(maintable_2[[#This Row],[Order Date]],"mmmm")</f>
        <v>August</v>
      </c>
    </row>
    <row r="1006" spans="1:12" x14ac:dyDescent="0.3">
      <c r="A1006" s="1">
        <v>41510</v>
      </c>
      <c r="B1006" s="1">
        <v>41517</v>
      </c>
      <c r="C1006" t="s">
        <v>1158</v>
      </c>
      <c r="D1006" t="s">
        <v>44</v>
      </c>
      <c r="E1006" t="s">
        <v>1114</v>
      </c>
      <c r="F1006">
        <v>34.68</v>
      </c>
      <c r="G1006">
        <v>6</v>
      </c>
      <c r="H1006">
        <v>16.993200000000002</v>
      </c>
      <c r="I1006">
        <v>7</v>
      </c>
      <c r="J1006">
        <v>2013</v>
      </c>
      <c r="K1006" t="s">
        <v>2206</v>
      </c>
      <c r="L1006" t="str">
        <f>TEXT(maintable_2[[#This Row],[Order Date]],"mmmm")</f>
        <v>August</v>
      </c>
    </row>
    <row r="1007" spans="1:12" x14ac:dyDescent="0.3">
      <c r="A1007" s="1">
        <v>41510</v>
      </c>
      <c r="B1007" s="1">
        <v>41517</v>
      </c>
      <c r="C1007" t="s">
        <v>1158</v>
      </c>
      <c r="D1007" t="s">
        <v>71</v>
      </c>
      <c r="E1007" t="s">
        <v>1161</v>
      </c>
      <c r="F1007">
        <v>532.70399999999995</v>
      </c>
      <c r="G1007">
        <v>6</v>
      </c>
      <c r="H1007">
        <v>-39.952800000000003</v>
      </c>
      <c r="I1007">
        <v>7</v>
      </c>
      <c r="J1007">
        <v>2013</v>
      </c>
      <c r="K1007" t="s">
        <v>2206</v>
      </c>
      <c r="L1007" t="str">
        <f>TEXT(maintable_2[[#This Row],[Order Date]],"mmmm")</f>
        <v>August</v>
      </c>
    </row>
    <row r="1008" spans="1:12" x14ac:dyDescent="0.3">
      <c r="A1008" s="1">
        <v>41510</v>
      </c>
      <c r="B1008" s="1">
        <v>41517</v>
      </c>
      <c r="C1008" t="s">
        <v>1158</v>
      </c>
      <c r="D1008" t="s">
        <v>19</v>
      </c>
      <c r="E1008" t="s">
        <v>900</v>
      </c>
      <c r="F1008">
        <v>43.1</v>
      </c>
      <c r="G1008">
        <v>5</v>
      </c>
      <c r="H1008">
        <v>11.206</v>
      </c>
      <c r="I1008">
        <v>7</v>
      </c>
      <c r="J1008">
        <v>2013</v>
      </c>
      <c r="K1008" t="s">
        <v>2206</v>
      </c>
      <c r="L1008" t="str">
        <f>TEXT(maintable_2[[#This Row],[Order Date]],"mmmm")</f>
        <v>August</v>
      </c>
    </row>
    <row r="1009" spans="1:12" x14ac:dyDescent="0.3">
      <c r="A1009" s="1">
        <v>41510</v>
      </c>
      <c r="B1009" s="1">
        <v>41517</v>
      </c>
      <c r="C1009" t="s">
        <v>1158</v>
      </c>
      <c r="D1009" t="s">
        <v>81</v>
      </c>
      <c r="E1009" t="s">
        <v>1162</v>
      </c>
      <c r="F1009">
        <v>15.88</v>
      </c>
      <c r="G1009">
        <v>4</v>
      </c>
      <c r="H1009">
        <v>0.1588</v>
      </c>
      <c r="I1009">
        <v>7</v>
      </c>
      <c r="J1009">
        <v>2013</v>
      </c>
      <c r="K1009" t="s">
        <v>2206</v>
      </c>
      <c r="L1009" t="str">
        <f>TEXT(maintable_2[[#This Row],[Order Date]],"mmmm")</f>
        <v>August</v>
      </c>
    </row>
    <row r="1010" spans="1:12" x14ac:dyDescent="0.3">
      <c r="A1010" s="1">
        <v>40893</v>
      </c>
      <c r="B1010" s="1">
        <v>40894</v>
      </c>
      <c r="C1010" t="s">
        <v>1163</v>
      </c>
      <c r="D1010" t="s">
        <v>11</v>
      </c>
      <c r="E1010" t="s">
        <v>370</v>
      </c>
      <c r="F1010">
        <v>44.46</v>
      </c>
      <c r="G1010">
        <v>2</v>
      </c>
      <c r="H1010">
        <v>14.671799999999999</v>
      </c>
      <c r="I1010">
        <v>1</v>
      </c>
      <c r="J1010">
        <v>2011</v>
      </c>
      <c r="K1010" t="s">
        <v>2207</v>
      </c>
      <c r="L1010" t="str">
        <f>TEXT(maintable_2[[#This Row],[Order Date]],"mmmm")</f>
        <v>December</v>
      </c>
    </row>
    <row r="1011" spans="1:12" x14ac:dyDescent="0.3">
      <c r="A1011" s="1">
        <v>40893</v>
      </c>
      <c r="B1011" s="1">
        <v>40894</v>
      </c>
      <c r="C1011" t="s">
        <v>1163</v>
      </c>
      <c r="D1011" t="s">
        <v>71</v>
      </c>
      <c r="E1011" t="s">
        <v>240</v>
      </c>
      <c r="F1011">
        <v>241.56800000000001</v>
      </c>
      <c r="G1011">
        <v>2</v>
      </c>
      <c r="H1011">
        <v>18.117599999999999</v>
      </c>
      <c r="I1011">
        <v>1</v>
      </c>
      <c r="J1011">
        <v>2011</v>
      </c>
      <c r="K1011" t="s">
        <v>2207</v>
      </c>
      <c r="L1011" t="str">
        <f>TEXT(maintable_2[[#This Row],[Order Date]],"mmmm")</f>
        <v>December</v>
      </c>
    </row>
    <row r="1012" spans="1:12" x14ac:dyDescent="0.3">
      <c r="A1012" s="1">
        <v>40893</v>
      </c>
      <c r="B1012" s="1">
        <v>40894</v>
      </c>
      <c r="C1012" t="s">
        <v>1163</v>
      </c>
      <c r="D1012" t="s">
        <v>37</v>
      </c>
      <c r="E1012" t="s">
        <v>327</v>
      </c>
      <c r="F1012">
        <v>395</v>
      </c>
      <c r="G1012">
        <v>5</v>
      </c>
      <c r="H1012">
        <v>39.5</v>
      </c>
      <c r="I1012">
        <v>1</v>
      </c>
      <c r="J1012">
        <v>2011</v>
      </c>
      <c r="K1012" t="s">
        <v>2207</v>
      </c>
      <c r="L1012" t="str">
        <f>TEXT(maintable_2[[#This Row],[Order Date]],"mmmm")</f>
        <v>December</v>
      </c>
    </row>
    <row r="1013" spans="1:12" x14ac:dyDescent="0.3">
      <c r="A1013" s="1">
        <v>40893</v>
      </c>
      <c r="B1013" s="1">
        <v>40894</v>
      </c>
      <c r="C1013" t="s">
        <v>1163</v>
      </c>
      <c r="D1013" t="s">
        <v>15</v>
      </c>
      <c r="E1013" t="s">
        <v>294</v>
      </c>
      <c r="F1013">
        <v>627.16800000000001</v>
      </c>
      <c r="G1013">
        <v>4</v>
      </c>
      <c r="H1013">
        <v>70.556399999999996</v>
      </c>
      <c r="I1013">
        <v>1</v>
      </c>
      <c r="J1013">
        <v>2011</v>
      </c>
      <c r="K1013" t="s">
        <v>2207</v>
      </c>
      <c r="L1013" t="str">
        <f>TEXT(maintable_2[[#This Row],[Order Date]],"mmmm")</f>
        <v>December</v>
      </c>
    </row>
    <row r="1014" spans="1:12" x14ac:dyDescent="0.3">
      <c r="A1014" s="1">
        <v>41682</v>
      </c>
      <c r="B1014" s="1">
        <v>41684</v>
      </c>
      <c r="C1014" t="s">
        <v>1164</v>
      </c>
      <c r="D1014" t="s">
        <v>71</v>
      </c>
      <c r="E1014" t="s">
        <v>1165</v>
      </c>
      <c r="F1014">
        <v>963.13599999999997</v>
      </c>
      <c r="G1014">
        <v>4</v>
      </c>
      <c r="H1014">
        <v>108.3528</v>
      </c>
      <c r="I1014">
        <v>2</v>
      </c>
      <c r="J1014">
        <v>2014</v>
      </c>
      <c r="K1014" t="s">
        <v>2210</v>
      </c>
      <c r="L1014" t="str">
        <f>TEXT(maintable_2[[#This Row],[Order Date]],"mmmm")</f>
        <v>February</v>
      </c>
    </row>
    <row r="1015" spans="1:12" x14ac:dyDescent="0.3">
      <c r="A1015" s="1">
        <v>41682</v>
      </c>
      <c r="B1015" s="1">
        <v>41684</v>
      </c>
      <c r="C1015" t="s">
        <v>1164</v>
      </c>
      <c r="D1015" t="s">
        <v>15</v>
      </c>
      <c r="E1015" t="s">
        <v>420</v>
      </c>
      <c r="F1015">
        <v>88.775999999999996</v>
      </c>
      <c r="G1015">
        <v>3</v>
      </c>
      <c r="H1015">
        <v>7.7679</v>
      </c>
      <c r="I1015">
        <v>2</v>
      </c>
      <c r="J1015">
        <v>2014</v>
      </c>
      <c r="K1015" t="s">
        <v>2210</v>
      </c>
      <c r="L1015" t="str">
        <f>TEXT(maintable_2[[#This Row],[Order Date]],"mmmm")</f>
        <v>February</v>
      </c>
    </row>
    <row r="1016" spans="1:12" x14ac:dyDescent="0.3">
      <c r="A1016" s="1">
        <v>40724</v>
      </c>
      <c r="B1016" s="1">
        <v>40727</v>
      </c>
      <c r="C1016" t="s">
        <v>324</v>
      </c>
      <c r="D1016" t="s">
        <v>13</v>
      </c>
      <c r="E1016" t="s">
        <v>1166</v>
      </c>
      <c r="F1016">
        <v>32.4</v>
      </c>
      <c r="G1016">
        <v>5</v>
      </c>
      <c r="H1016">
        <v>10.368</v>
      </c>
      <c r="I1016">
        <v>3</v>
      </c>
      <c r="J1016">
        <v>2011</v>
      </c>
      <c r="K1016" t="s">
        <v>2206</v>
      </c>
      <c r="L1016" t="str">
        <f>TEXT(maintable_2[[#This Row],[Order Date]],"mmmm")</f>
        <v>June</v>
      </c>
    </row>
    <row r="1017" spans="1:12" x14ac:dyDescent="0.3">
      <c r="A1017" s="1">
        <v>40897</v>
      </c>
      <c r="B1017" s="1">
        <v>40902</v>
      </c>
      <c r="C1017" t="s">
        <v>188</v>
      </c>
      <c r="D1017" t="s">
        <v>8</v>
      </c>
      <c r="E1017" t="s">
        <v>1167</v>
      </c>
      <c r="F1017">
        <v>31.05</v>
      </c>
      <c r="G1017">
        <v>3</v>
      </c>
      <c r="H1017">
        <v>14.904</v>
      </c>
      <c r="I1017">
        <v>5</v>
      </c>
      <c r="J1017">
        <v>2011</v>
      </c>
      <c r="K1017" t="s">
        <v>2207</v>
      </c>
      <c r="L1017" t="str">
        <f>TEXT(maintable_2[[#This Row],[Order Date]],"mmmm")</f>
        <v>December</v>
      </c>
    </row>
    <row r="1018" spans="1:12" x14ac:dyDescent="0.3">
      <c r="A1018" s="1">
        <v>40758</v>
      </c>
      <c r="B1018" s="1">
        <v>40760</v>
      </c>
      <c r="C1018" t="s">
        <v>1168</v>
      </c>
      <c r="D1018" t="s">
        <v>44</v>
      </c>
      <c r="E1018" t="s">
        <v>1169</v>
      </c>
      <c r="F1018">
        <v>93.024000000000001</v>
      </c>
      <c r="G1018">
        <v>3</v>
      </c>
      <c r="H1018">
        <v>33.721200000000003</v>
      </c>
      <c r="I1018">
        <v>2</v>
      </c>
      <c r="J1018">
        <v>2011</v>
      </c>
      <c r="K1018" t="s">
        <v>2206</v>
      </c>
      <c r="L1018" t="str">
        <f>TEXT(maintable_2[[#This Row],[Order Date]],"mmmm")</f>
        <v>August</v>
      </c>
    </row>
    <row r="1019" spans="1:12" x14ac:dyDescent="0.3">
      <c r="A1019" s="1">
        <v>40807</v>
      </c>
      <c r="B1019" s="1">
        <v>40811</v>
      </c>
      <c r="C1019" t="s">
        <v>1052</v>
      </c>
      <c r="D1019" t="s">
        <v>86</v>
      </c>
      <c r="E1019" t="s">
        <v>105</v>
      </c>
      <c r="F1019">
        <v>15.56</v>
      </c>
      <c r="G1019">
        <v>2</v>
      </c>
      <c r="H1019">
        <v>7.3132000000000001</v>
      </c>
      <c r="I1019">
        <v>4</v>
      </c>
      <c r="J1019">
        <v>2011</v>
      </c>
      <c r="K1019" t="s">
        <v>2209</v>
      </c>
      <c r="L1019" t="str">
        <f>TEXT(maintable_2[[#This Row],[Order Date]],"mmmm")</f>
        <v>September</v>
      </c>
    </row>
    <row r="1020" spans="1:12" x14ac:dyDescent="0.3">
      <c r="A1020" s="1">
        <v>40807</v>
      </c>
      <c r="B1020" s="1">
        <v>40811</v>
      </c>
      <c r="C1020" t="s">
        <v>1052</v>
      </c>
      <c r="D1020" t="s">
        <v>86</v>
      </c>
      <c r="E1020" t="s">
        <v>1170</v>
      </c>
      <c r="F1020">
        <v>78.349999999999994</v>
      </c>
      <c r="G1020">
        <v>5</v>
      </c>
      <c r="H1020">
        <v>36.8245</v>
      </c>
      <c r="I1020">
        <v>4</v>
      </c>
      <c r="J1020">
        <v>2011</v>
      </c>
      <c r="K1020" t="s">
        <v>2209</v>
      </c>
      <c r="L1020" t="str">
        <f>TEXT(maintable_2[[#This Row],[Order Date]],"mmmm")</f>
        <v>September</v>
      </c>
    </row>
    <row r="1021" spans="1:12" x14ac:dyDescent="0.3">
      <c r="A1021" s="1">
        <v>40807</v>
      </c>
      <c r="B1021" s="1">
        <v>40811</v>
      </c>
      <c r="C1021" t="s">
        <v>1052</v>
      </c>
      <c r="D1021" t="s">
        <v>13</v>
      </c>
      <c r="E1021" t="s">
        <v>1171</v>
      </c>
      <c r="F1021">
        <v>59.52</v>
      </c>
      <c r="G1021">
        <v>3</v>
      </c>
      <c r="H1021">
        <v>15.475199999999999</v>
      </c>
      <c r="I1021">
        <v>4</v>
      </c>
      <c r="J1021">
        <v>2011</v>
      </c>
      <c r="K1021" t="s">
        <v>2209</v>
      </c>
      <c r="L1021" t="str">
        <f>TEXT(maintable_2[[#This Row],[Order Date]],"mmmm")</f>
        <v>September</v>
      </c>
    </row>
    <row r="1022" spans="1:12" x14ac:dyDescent="0.3">
      <c r="A1022" s="1">
        <v>40807</v>
      </c>
      <c r="B1022" s="1">
        <v>40811</v>
      </c>
      <c r="C1022" t="s">
        <v>1052</v>
      </c>
      <c r="D1022" t="s">
        <v>44</v>
      </c>
      <c r="E1022" t="s">
        <v>1172</v>
      </c>
      <c r="F1022">
        <v>38.520000000000003</v>
      </c>
      <c r="G1022">
        <v>9</v>
      </c>
      <c r="H1022">
        <v>17.334</v>
      </c>
      <c r="I1022">
        <v>4</v>
      </c>
      <c r="J1022">
        <v>2011</v>
      </c>
      <c r="K1022" t="s">
        <v>2209</v>
      </c>
      <c r="L1022" t="str">
        <f>TEXT(maintable_2[[#This Row],[Order Date]],"mmmm")</f>
        <v>September</v>
      </c>
    </row>
    <row r="1023" spans="1:12" x14ac:dyDescent="0.3">
      <c r="A1023" s="1">
        <v>40807</v>
      </c>
      <c r="B1023" s="1">
        <v>40811</v>
      </c>
      <c r="C1023" t="s">
        <v>1052</v>
      </c>
      <c r="D1023" t="s">
        <v>15</v>
      </c>
      <c r="E1023" t="s">
        <v>1173</v>
      </c>
      <c r="F1023">
        <v>239.98400000000001</v>
      </c>
      <c r="G1023">
        <v>2</v>
      </c>
      <c r="H1023">
        <v>23.9984</v>
      </c>
      <c r="I1023">
        <v>4</v>
      </c>
      <c r="J1023">
        <v>2011</v>
      </c>
      <c r="K1023" t="s">
        <v>2209</v>
      </c>
      <c r="L1023" t="str">
        <f>TEXT(maintable_2[[#This Row],[Order Date]],"mmmm")</f>
        <v>September</v>
      </c>
    </row>
    <row r="1024" spans="1:12" x14ac:dyDescent="0.3">
      <c r="A1024" s="1">
        <v>40807</v>
      </c>
      <c r="B1024" s="1">
        <v>40811</v>
      </c>
      <c r="C1024" t="s">
        <v>1052</v>
      </c>
      <c r="D1024" t="s">
        <v>44</v>
      </c>
      <c r="E1024" t="s">
        <v>1032</v>
      </c>
      <c r="F1024">
        <v>19.350000000000001</v>
      </c>
      <c r="G1024">
        <v>3</v>
      </c>
      <c r="H1024">
        <v>9.4815000000000005</v>
      </c>
      <c r="I1024">
        <v>4</v>
      </c>
      <c r="J1024">
        <v>2011</v>
      </c>
      <c r="K1024" t="s">
        <v>2209</v>
      </c>
      <c r="L1024" t="str">
        <f>TEXT(maintable_2[[#This Row],[Order Date]],"mmmm")</f>
        <v>September</v>
      </c>
    </row>
    <row r="1025" spans="1:12" x14ac:dyDescent="0.3">
      <c r="A1025" s="1">
        <v>41906</v>
      </c>
      <c r="B1025" s="1">
        <v>41912</v>
      </c>
      <c r="C1025" t="s">
        <v>491</v>
      </c>
      <c r="D1025" t="s">
        <v>196</v>
      </c>
      <c r="E1025" t="s">
        <v>1174</v>
      </c>
      <c r="F1025">
        <v>180.58799999999999</v>
      </c>
      <c r="G1025">
        <v>2</v>
      </c>
      <c r="H1025">
        <v>-240.78399999999999</v>
      </c>
      <c r="I1025">
        <v>6</v>
      </c>
      <c r="J1025">
        <v>2014</v>
      </c>
      <c r="K1025" t="s">
        <v>2209</v>
      </c>
      <c r="L1025" t="str">
        <f>TEXT(maintable_2[[#This Row],[Order Date]],"mmmm")</f>
        <v>September</v>
      </c>
    </row>
    <row r="1026" spans="1:12" x14ac:dyDescent="0.3">
      <c r="A1026" s="1">
        <v>41906</v>
      </c>
      <c r="B1026" s="1">
        <v>41912</v>
      </c>
      <c r="C1026" t="s">
        <v>491</v>
      </c>
      <c r="D1026" t="s">
        <v>37</v>
      </c>
      <c r="E1026" t="s">
        <v>665</v>
      </c>
      <c r="F1026">
        <v>47.984000000000002</v>
      </c>
      <c r="G1026">
        <v>2</v>
      </c>
      <c r="H1026">
        <v>0.5998</v>
      </c>
      <c r="I1026">
        <v>6</v>
      </c>
      <c r="J1026">
        <v>2014</v>
      </c>
      <c r="K1026" t="s">
        <v>2209</v>
      </c>
      <c r="L1026" t="str">
        <f>TEXT(maintable_2[[#This Row],[Order Date]],"mmmm")</f>
        <v>September</v>
      </c>
    </row>
    <row r="1027" spans="1:12" x14ac:dyDescent="0.3">
      <c r="A1027" s="1">
        <v>41933</v>
      </c>
      <c r="B1027" s="1">
        <v>41935</v>
      </c>
      <c r="C1027" t="s">
        <v>1175</v>
      </c>
      <c r="D1027" t="s">
        <v>8</v>
      </c>
      <c r="E1027" t="s">
        <v>1176</v>
      </c>
      <c r="F1027">
        <v>3.75</v>
      </c>
      <c r="G1027">
        <v>1</v>
      </c>
      <c r="H1027">
        <v>1.8</v>
      </c>
      <c r="I1027">
        <v>2</v>
      </c>
      <c r="J1027">
        <v>2014</v>
      </c>
      <c r="K1027" t="s">
        <v>2209</v>
      </c>
      <c r="L1027" t="str">
        <f>TEXT(maintable_2[[#This Row],[Order Date]],"mmmm")</f>
        <v>October</v>
      </c>
    </row>
    <row r="1028" spans="1:12" x14ac:dyDescent="0.3">
      <c r="A1028" s="1">
        <v>41933</v>
      </c>
      <c r="B1028" s="1">
        <v>41935</v>
      </c>
      <c r="C1028" t="s">
        <v>1175</v>
      </c>
      <c r="D1028" t="s">
        <v>17</v>
      </c>
      <c r="E1028" t="s">
        <v>1177</v>
      </c>
      <c r="F1028">
        <v>20.928000000000001</v>
      </c>
      <c r="G1028">
        <v>4</v>
      </c>
      <c r="H1028">
        <v>7.5864000000000003</v>
      </c>
      <c r="I1028">
        <v>2</v>
      </c>
      <c r="J1028">
        <v>2014</v>
      </c>
      <c r="K1028" t="s">
        <v>2209</v>
      </c>
      <c r="L1028" t="str">
        <f>TEXT(maintable_2[[#This Row],[Order Date]],"mmmm")</f>
        <v>October</v>
      </c>
    </row>
    <row r="1029" spans="1:12" x14ac:dyDescent="0.3">
      <c r="A1029" s="1">
        <v>41100</v>
      </c>
      <c r="B1029" s="1">
        <v>41100</v>
      </c>
      <c r="C1029" t="s">
        <v>35</v>
      </c>
      <c r="D1029" t="s">
        <v>17</v>
      </c>
      <c r="E1029" t="s">
        <v>1178</v>
      </c>
      <c r="F1029">
        <v>3.3660000000000001</v>
      </c>
      <c r="G1029">
        <v>3</v>
      </c>
      <c r="H1029">
        <v>-2.2440000000000002</v>
      </c>
      <c r="I1029">
        <v>0</v>
      </c>
      <c r="J1029">
        <v>2012</v>
      </c>
      <c r="K1029" t="s">
        <v>2206</v>
      </c>
      <c r="L1029" t="str">
        <f>TEXT(maintable_2[[#This Row],[Order Date]],"mmmm")</f>
        <v>July</v>
      </c>
    </row>
    <row r="1030" spans="1:12" x14ac:dyDescent="0.3">
      <c r="A1030" s="1">
        <v>40857</v>
      </c>
      <c r="B1030" s="1">
        <v>40863</v>
      </c>
      <c r="C1030" t="s">
        <v>104</v>
      </c>
      <c r="D1030" t="s">
        <v>15</v>
      </c>
      <c r="E1030" t="s">
        <v>313</v>
      </c>
      <c r="F1030">
        <v>601.53599999999994</v>
      </c>
      <c r="G1030">
        <v>8</v>
      </c>
      <c r="H1030">
        <v>60.153599999999997</v>
      </c>
      <c r="I1030">
        <v>6</v>
      </c>
      <c r="J1030">
        <v>2011</v>
      </c>
      <c r="K1030" t="s">
        <v>2209</v>
      </c>
      <c r="L1030" t="str">
        <f>TEXT(maintable_2[[#This Row],[Order Date]],"mmmm")</f>
        <v>November</v>
      </c>
    </row>
    <row r="1031" spans="1:12" x14ac:dyDescent="0.3">
      <c r="A1031" s="1">
        <v>40857</v>
      </c>
      <c r="B1031" s="1">
        <v>40863</v>
      </c>
      <c r="C1031" t="s">
        <v>104</v>
      </c>
      <c r="D1031" t="s">
        <v>37</v>
      </c>
      <c r="E1031" t="s">
        <v>1179</v>
      </c>
      <c r="F1031">
        <v>10.99</v>
      </c>
      <c r="G1031">
        <v>1</v>
      </c>
      <c r="H1031">
        <v>4.2861000000000002</v>
      </c>
      <c r="I1031">
        <v>6</v>
      </c>
      <c r="J1031">
        <v>2011</v>
      </c>
      <c r="K1031" t="s">
        <v>2209</v>
      </c>
      <c r="L1031" t="str">
        <f>TEXT(maintable_2[[#This Row],[Order Date]],"mmmm")</f>
        <v>November</v>
      </c>
    </row>
    <row r="1032" spans="1:12" x14ac:dyDescent="0.3">
      <c r="A1032" s="1">
        <v>40857</v>
      </c>
      <c r="B1032" s="1">
        <v>40863</v>
      </c>
      <c r="C1032" t="s">
        <v>104</v>
      </c>
      <c r="D1032" t="s">
        <v>11</v>
      </c>
      <c r="E1032" t="s">
        <v>46</v>
      </c>
      <c r="F1032">
        <v>39.880000000000003</v>
      </c>
      <c r="G1032">
        <v>2</v>
      </c>
      <c r="H1032">
        <v>11.166399999999999</v>
      </c>
      <c r="I1032">
        <v>6</v>
      </c>
      <c r="J1032">
        <v>2011</v>
      </c>
      <c r="K1032" t="s">
        <v>2209</v>
      </c>
      <c r="L1032" t="str">
        <f>TEXT(maintable_2[[#This Row],[Order Date]],"mmmm")</f>
        <v>November</v>
      </c>
    </row>
    <row r="1033" spans="1:12" x14ac:dyDescent="0.3">
      <c r="A1033" s="1">
        <v>40857</v>
      </c>
      <c r="B1033" s="1">
        <v>40863</v>
      </c>
      <c r="C1033" t="s">
        <v>104</v>
      </c>
      <c r="D1033" t="s">
        <v>44</v>
      </c>
      <c r="E1033" t="s">
        <v>1180</v>
      </c>
      <c r="F1033">
        <v>62.24</v>
      </c>
      <c r="G1033">
        <v>8</v>
      </c>
      <c r="H1033">
        <v>28.007999999999999</v>
      </c>
      <c r="I1033">
        <v>6</v>
      </c>
      <c r="J1033">
        <v>2011</v>
      </c>
      <c r="K1033" t="s">
        <v>2209</v>
      </c>
      <c r="L1033" t="str">
        <f>TEXT(maintable_2[[#This Row],[Order Date]],"mmmm")</f>
        <v>November</v>
      </c>
    </row>
    <row r="1034" spans="1:12" x14ac:dyDescent="0.3">
      <c r="A1034" s="1">
        <v>40857</v>
      </c>
      <c r="B1034" s="1">
        <v>40863</v>
      </c>
      <c r="C1034" t="s">
        <v>104</v>
      </c>
      <c r="D1034" t="s">
        <v>11</v>
      </c>
      <c r="E1034" t="s">
        <v>1181</v>
      </c>
      <c r="F1034">
        <v>53.2</v>
      </c>
      <c r="G1034">
        <v>5</v>
      </c>
      <c r="H1034">
        <v>14.896000000000001</v>
      </c>
      <c r="I1034">
        <v>6</v>
      </c>
      <c r="J1034">
        <v>2011</v>
      </c>
      <c r="K1034" t="s">
        <v>2209</v>
      </c>
      <c r="L1034" t="str">
        <f>TEXT(maintable_2[[#This Row],[Order Date]],"mmmm")</f>
        <v>November</v>
      </c>
    </row>
    <row r="1035" spans="1:12" x14ac:dyDescent="0.3">
      <c r="A1035" s="1">
        <v>40857</v>
      </c>
      <c r="B1035" s="1">
        <v>40863</v>
      </c>
      <c r="C1035" t="s">
        <v>104</v>
      </c>
      <c r="D1035" t="s">
        <v>8</v>
      </c>
      <c r="E1035" t="s">
        <v>1182</v>
      </c>
      <c r="F1035">
        <v>39.840000000000003</v>
      </c>
      <c r="G1035">
        <v>8</v>
      </c>
      <c r="H1035">
        <v>18.3264</v>
      </c>
      <c r="I1035">
        <v>6</v>
      </c>
      <c r="J1035">
        <v>2011</v>
      </c>
      <c r="K1035" t="s">
        <v>2209</v>
      </c>
      <c r="L1035" t="str">
        <f>TEXT(maintable_2[[#This Row],[Order Date]],"mmmm")</f>
        <v>November</v>
      </c>
    </row>
    <row r="1036" spans="1:12" x14ac:dyDescent="0.3">
      <c r="A1036" s="1">
        <v>41283</v>
      </c>
      <c r="B1036" s="1">
        <v>41289</v>
      </c>
      <c r="C1036" t="s">
        <v>933</v>
      </c>
      <c r="D1036" t="s">
        <v>37</v>
      </c>
      <c r="E1036" t="s">
        <v>1183</v>
      </c>
      <c r="F1036">
        <v>349.95</v>
      </c>
      <c r="G1036">
        <v>5</v>
      </c>
      <c r="H1036">
        <v>118.983</v>
      </c>
      <c r="I1036">
        <v>6</v>
      </c>
      <c r="J1036">
        <v>2013</v>
      </c>
      <c r="K1036" t="s">
        <v>2210</v>
      </c>
      <c r="L1036" t="str">
        <f>TEXT(maintable_2[[#This Row],[Order Date]],"mmmm")</f>
        <v>January</v>
      </c>
    </row>
    <row r="1037" spans="1:12" x14ac:dyDescent="0.3">
      <c r="A1037" s="1">
        <v>41283</v>
      </c>
      <c r="B1037" s="1">
        <v>41289</v>
      </c>
      <c r="C1037" t="s">
        <v>933</v>
      </c>
      <c r="D1037" t="s">
        <v>15</v>
      </c>
      <c r="E1037" t="s">
        <v>49</v>
      </c>
      <c r="F1037">
        <v>377.928</v>
      </c>
      <c r="G1037">
        <v>9</v>
      </c>
      <c r="H1037">
        <v>141.72300000000001</v>
      </c>
      <c r="I1037">
        <v>6</v>
      </c>
      <c r="J1037">
        <v>2013</v>
      </c>
      <c r="K1037" t="s">
        <v>2210</v>
      </c>
      <c r="L1037" t="str">
        <f>TEXT(maintable_2[[#This Row],[Order Date]],"mmmm")</f>
        <v>January</v>
      </c>
    </row>
    <row r="1038" spans="1:12" x14ac:dyDescent="0.3">
      <c r="A1038" s="1">
        <v>41829</v>
      </c>
      <c r="B1038" s="1">
        <v>41831</v>
      </c>
      <c r="C1038" t="s">
        <v>443</v>
      </c>
      <c r="D1038" t="s">
        <v>8</v>
      </c>
      <c r="E1038" t="s">
        <v>1184</v>
      </c>
      <c r="F1038">
        <v>75.180000000000007</v>
      </c>
      <c r="G1038">
        <v>6</v>
      </c>
      <c r="H1038">
        <v>35.334600000000002</v>
      </c>
      <c r="I1038">
        <v>2</v>
      </c>
      <c r="J1038">
        <v>2014</v>
      </c>
      <c r="K1038" t="s">
        <v>2206</v>
      </c>
      <c r="L1038" t="str">
        <f>TEXT(maintable_2[[#This Row],[Order Date]],"mmmm")</f>
        <v>July</v>
      </c>
    </row>
    <row r="1039" spans="1:12" x14ac:dyDescent="0.3">
      <c r="A1039" s="1">
        <v>40676</v>
      </c>
      <c r="B1039" s="1">
        <v>40680</v>
      </c>
      <c r="C1039" t="s">
        <v>476</v>
      </c>
      <c r="D1039" t="s">
        <v>37</v>
      </c>
      <c r="E1039" t="s">
        <v>824</v>
      </c>
      <c r="F1039">
        <v>149.97</v>
      </c>
      <c r="G1039">
        <v>3</v>
      </c>
      <c r="H1039">
        <v>52.4895</v>
      </c>
      <c r="I1039">
        <v>4</v>
      </c>
      <c r="J1039">
        <v>2011</v>
      </c>
      <c r="K1039" t="s">
        <v>2208</v>
      </c>
      <c r="L1039" t="str">
        <f>TEXT(maintable_2[[#This Row],[Order Date]],"mmmm")</f>
        <v>May</v>
      </c>
    </row>
    <row r="1040" spans="1:12" x14ac:dyDescent="0.3">
      <c r="A1040" s="1">
        <v>40818</v>
      </c>
      <c r="B1040" s="1">
        <v>40821</v>
      </c>
      <c r="C1040" t="s">
        <v>264</v>
      </c>
      <c r="D1040" t="s">
        <v>44</v>
      </c>
      <c r="E1040" t="s">
        <v>1185</v>
      </c>
      <c r="F1040">
        <v>9.4079999999999995</v>
      </c>
      <c r="G1040">
        <v>2</v>
      </c>
      <c r="H1040">
        <v>3.4104000000000001</v>
      </c>
      <c r="I1040">
        <v>3</v>
      </c>
      <c r="J1040">
        <v>2011</v>
      </c>
      <c r="K1040" t="s">
        <v>2209</v>
      </c>
      <c r="L1040" t="str">
        <f>TEXT(maintable_2[[#This Row],[Order Date]],"mmmm")</f>
        <v>October</v>
      </c>
    </row>
    <row r="1041" spans="1:12" x14ac:dyDescent="0.3">
      <c r="A1041" s="1">
        <v>40818</v>
      </c>
      <c r="B1041" s="1">
        <v>40821</v>
      </c>
      <c r="C1041" t="s">
        <v>264</v>
      </c>
      <c r="D1041" t="s">
        <v>78</v>
      </c>
      <c r="E1041" t="s">
        <v>105</v>
      </c>
      <c r="F1041">
        <v>4.6719999999999997</v>
      </c>
      <c r="G1041">
        <v>2</v>
      </c>
      <c r="H1041">
        <v>1.46</v>
      </c>
      <c r="I1041">
        <v>3</v>
      </c>
      <c r="J1041">
        <v>2011</v>
      </c>
      <c r="K1041" t="s">
        <v>2209</v>
      </c>
      <c r="L1041" t="str">
        <f>TEXT(maintable_2[[#This Row],[Order Date]],"mmmm")</f>
        <v>October</v>
      </c>
    </row>
    <row r="1042" spans="1:12" x14ac:dyDescent="0.3">
      <c r="A1042" s="1">
        <v>40818</v>
      </c>
      <c r="B1042" s="1">
        <v>40821</v>
      </c>
      <c r="C1042" t="s">
        <v>264</v>
      </c>
      <c r="D1042" t="s">
        <v>15</v>
      </c>
      <c r="E1042" t="s">
        <v>1186</v>
      </c>
      <c r="F1042">
        <v>318.39999999999998</v>
      </c>
      <c r="G1042">
        <v>2</v>
      </c>
      <c r="H1042">
        <v>107.46</v>
      </c>
      <c r="I1042">
        <v>3</v>
      </c>
      <c r="J1042">
        <v>2011</v>
      </c>
      <c r="K1042" t="s">
        <v>2209</v>
      </c>
      <c r="L1042" t="str">
        <f>TEXT(maintable_2[[#This Row],[Order Date]],"mmmm")</f>
        <v>October</v>
      </c>
    </row>
    <row r="1043" spans="1:12" x14ac:dyDescent="0.3">
      <c r="A1043" s="1">
        <v>40818</v>
      </c>
      <c r="B1043" s="1">
        <v>40821</v>
      </c>
      <c r="C1043" t="s">
        <v>264</v>
      </c>
      <c r="D1043" t="s">
        <v>86</v>
      </c>
      <c r="E1043" t="s">
        <v>1187</v>
      </c>
      <c r="F1043">
        <v>12.768000000000001</v>
      </c>
      <c r="G1043">
        <v>6</v>
      </c>
      <c r="H1043">
        <v>4.6284000000000001</v>
      </c>
      <c r="I1043">
        <v>3</v>
      </c>
      <c r="J1043">
        <v>2011</v>
      </c>
      <c r="K1043" t="s">
        <v>2209</v>
      </c>
      <c r="L1043" t="str">
        <f>TEXT(maintable_2[[#This Row],[Order Date]],"mmmm")</f>
        <v>October</v>
      </c>
    </row>
    <row r="1044" spans="1:12" x14ac:dyDescent="0.3">
      <c r="A1044" s="1">
        <v>40818</v>
      </c>
      <c r="B1044" s="1">
        <v>40821</v>
      </c>
      <c r="C1044" t="s">
        <v>264</v>
      </c>
      <c r="D1044" t="s">
        <v>81</v>
      </c>
      <c r="E1044" t="s">
        <v>1188</v>
      </c>
      <c r="F1044">
        <v>15.36</v>
      </c>
      <c r="G1044">
        <v>2</v>
      </c>
      <c r="H1044">
        <v>-3.2639999999999998</v>
      </c>
      <c r="I1044">
        <v>3</v>
      </c>
      <c r="J1044">
        <v>2011</v>
      </c>
      <c r="K1044" t="s">
        <v>2209</v>
      </c>
      <c r="L1044" t="str">
        <f>TEXT(maintable_2[[#This Row],[Order Date]],"mmmm")</f>
        <v>October</v>
      </c>
    </row>
    <row r="1045" spans="1:12" x14ac:dyDescent="0.3">
      <c r="A1045" s="1">
        <v>40818</v>
      </c>
      <c r="B1045" s="1">
        <v>40821</v>
      </c>
      <c r="C1045" t="s">
        <v>264</v>
      </c>
      <c r="D1045" t="s">
        <v>15</v>
      </c>
      <c r="E1045" t="s">
        <v>1065</v>
      </c>
      <c r="F1045">
        <v>230.376</v>
      </c>
      <c r="G1045">
        <v>3</v>
      </c>
      <c r="H1045">
        <v>20.157900000000001</v>
      </c>
      <c r="I1045">
        <v>3</v>
      </c>
      <c r="J1045">
        <v>2011</v>
      </c>
      <c r="K1045" t="s">
        <v>2209</v>
      </c>
      <c r="L1045" t="str">
        <f>TEXT(maintable_2[[#This Row],[Order Date]],"mmmm")</f>
        <v>October</v>
      </c>
    </row>
    <row r="1046" spans="1:12" x14ac:dyDescent="0.3">
      <c r="A1046" s="1">
        <v>40818</v>
      </c>
      <c r="B1046" s="1">
        <v>40821</v>
      </c>
      <c r="C1046" t="s">
        <v>264</v>
      </c>
      <c r="D1046" t="s">
        <v>37</v>
      </c>
      <c r="E1046" t="s">
        <v>727</v>
      </c>
      <c r="F1046">
        <v>7.16</v>
      </c>
      <c r="G1046">
        <v>1</v>
      </c>
      <c r="H1046">
        <v>-8.9499999999999996E-2</v>
      </c>
      <c r="I1046">
        <v>3</v>
      </c>
      <c r="J1046">
        <v>2011</v>
      </c>
      <c r="K1046" t="s">
        <v>2209</v>
      </c>
      <c r="L1046" t="str">
        <f>TEXT(maintable_2[[#This Row],[Order Date]],"mmmm")</f>
        <v>October</v>
      </c>
    </row>
    <row r="1047" spans="1:12" x14ac:dyDescent="0.3">
      <c r="A1047" s="1">
        <v>41389</v>
      </c>
      <c r="B1047" s="1">
        <v>41392</v>
      </c>
      <c r="C1047" t="s">
        <v>1189</v>
      </c>
      <c r="D1047" t="s">
        <v>17</v>
      </c>
      <c r="E1047" t="s">
        <v>335</v>
      </c>
      <c r="F1047">
        <v>3.984</v>
      </c>
      <c r="G1047">
        <v>1</v>
      </c>
      <c r="H1047">
        <v>1.3944000000000001</v>
      </c>
      <c r="I1047">
        <v>3</v>
      </c>
      <c r="J1047">
        <v>2013</v>
      </c>
      <c r="K1047" t="s">
        <v>2208</v>
      </c>
      <c r="L1047" t="str">
        <f>TEXT(maintable_2[[#This Row],[Order Date]],"mmmm")</f>
        <v>April</v>
      </c>
    </row>
    <row r="1048" spans="1:12" x14ac:dyDescent="0.3">
      <c r="A1048" s="1">
        <v>41984</v>
      </c>
      <c r="B1048" s="1">
        <v>41986</v>
      </c>
      <c r="C1048" t="s">
        <v>152</v>
      </c>
      <c r="D1048" t="s">
        <v>37</v>
      </c>
      <c r="E1048" t="s">
        <v>1190</v>
      </c>
      <c r="F1048">
        <v>49.08</v>
      </c>
      <c r="G1048">
        <v>3</v>
      </c>
      <c r="H1048">
        <v>4.9080000000000004</v>
      </c>
      <c r="I1048">
        <v>2</v>
      </c>
      <c r="J1048">
        <v>2014</v>
      </c>
      <c r="K1048" t="s">
        <v>2207</v>
      </c>
      <c r="L1048" t="str">
        <f>TEXT(maintable_2[[#This Row],[Order Date]],"mmmm")</f>
        <v>December</v>
      </c>
    </row>
    <row r="1049" spans="1:12" x14ac:dyDescent="0.3">
      <c r="A1049" s="1">
        <v>41984</v>
      </c>
      <c r="B1049" s="1">
        <v>41986</v>
      </c>
      <c r="C1049" t="s">
        <v>152</v>
      </c>
      <c r="D1049" t="s">
        <v>27</v>
      </c>
      <c r="E1049" t="s">
        <v>1191</v>
      </c>
      <c r="F1049">
        <v>324.89999999999998</v>
      </c>
      <c r="G1049">
        <v>5</v>
      </c>
      <c r="H1049">
        <v>38.988</v>
      </c>
      <c r="I1049">
        <v>2</v>
      </c>
      <c r="J1049">
        <v>2014</v>
      </c>
      <c r="K1049" t="s">
        <v>2207</v>
      </c>
      <c r="L1049" t="str">
        <f>TEXT(maintable_2[[#This Row],[Order Date]],"mmmm")</f>
        <v>December</v>
      </c>
    </row>
    <row r="1050" spans="1:12" x14ac:dyDescent="0.3">
      <c r="A1050" s="1">
        <v>41984</v>
      </c>
      <c r="B1050" s="1">
        <v>41986</v>
      </c>
      <c r="C1050" t="s">
        <v>152</v>
      </c>
      <c r="D1050" t="s">
        <v>13</v>
      </c>
      <c r="E1050" t="s">
        <v>1192</v>
      </c>
      <c r="F1050">
        <v>18.239999999999998</v>
      </c>
      <c r="G1050">
        <v>3</v>
      </c>
      <c r="H1050">
        <v>5.2896000000000001</v>
      </c>
      <c r="I1050">
        <v>2</v>
      </c>
      <c r="J1050">
        <v>2014</v>
      </c>
      <c r="K1050" t="s">
        <v>2207</v>
      </c>
      <c r="L1050" t="str">
        <f>TEXT(maintable_2[[#This Row],[Order Date]],"mmmm")</f>
        <v>December</v>
      </c>
    </row>
    <row r="1051" spans="1:12" x14ac:dyDescent="0.3">
      <c r="A1051" s="1">
        <v>41535</v>
      </c>
      <c r="B1051" s="1">
        <v>41539</v>
      </c>
      <c r="C1051" t="s">
        <v>1193</v>
      </c>
      <c r="D1051" t="s">
        <v>71</v>
      </c>
      <c r="E1051" t="s">
        <v>1115</v>
      </c>
      <c r="F1051">
        <v>113.88800000000001</v>
      </c>
      <c r="G1051">
        <v>2</v>
      </c>
      <c r="H1051">
        <v>9.9651999999999994</v>
      </c>
      <c r="I1051">
        <v>4</v>
      </c>
      <c r="J1051">
        <v>2013</v>
      </c>
      <c r="K1051" t="s">
        <v>2209</v>
      </c>
      <c r="L1051" t="str">
        <f>TEXT(maintable_2[[#This Row],[Order Date]],"mmmm")</f>
        <v>September</v>
      </c>
    </row>
    <row r="1052" spans="1:12" x14ac:dyDescent="0.3">
      <c r="A1052" s="1">
        <v>41535</v>
      </c>
      <c r="B1052" s="1">
        <v>41539</v>
      </c>
      <c r="C1052" t="s">
        <v>1193</v>
      </c>
      <c r="D1052" t="s">
        <v>15</v>
      </c>
      <c r="E1052" t="s">
        <v>1194</v>
      </c>
      <c r="F1052">
        <v>105.584</v>
      </c>
      <c r="G1052">
        <v>2</v>
      </c>
      <c r="H1052">
        <v>7.9188000000000001</v>
      </c>
      <c r="I1052">
        <v>4</v>
      </c>
      <c r="J1052">
        <v>2013</v>
      </c>
      <c r="K1052" t="s">
        <v>2209</v>
      </c>
      <c r="L1052" t="str">
        <f>TEXT(maintable_2[[#This Row],[Order Date]],"mmmm")</f>
        <v>September</v>
      </c>
    </row>
    <row r="1053" spans="1:12" x14ac:dyDescent="0.3">
      <c r="A1053" s="1">
        <v>41464</v>
      </c>
      <c r="B1053" s="1">
        <v>41470</v>
      </c>
      <c r="C1053" t="s">
        <v>1195</v>
      </c>
      <c r="D1053" t="s">
        <v>15</v>
      </c>
      <c r="E1053" t="s">
        <v>371</v>
      </c>
      <c r="F1053">
        <v>107.98399999999999</v>
      </c>
      <c r="G1053">
        <v>1</v>
      </c>
      <c r="H1053">
        <v>9.4486000000000008</v>
      </c>
      <c r="I1053">
        <v>6</v>
      </c>
      <c r="J1053">
        <v>2013</v>
      </c>
      <c r="K1053" t="s">
        <v>2206</v>
      </c>
      <c r="L1053" t="str">
        <f>TEXT(maintable_2[[#This Row],[Order Date]],"mmmm")</f>
        <v>July</v>
      </c>
    </row>
    <row r="1054" spans="1:12" x14ac:dyDescent="0.3">
      <c r="A1054" s="1">
        <v>41464</v>
      </c>
      <c r="B1054" s="1">
        <v>41470</v>
      </c>
      <c r="C1054" t="s">
        <v>1195</v>
      </c>
      <c r="D1054" t="s">
        <v>17</v>
      </c>
      <c r="E1054" t="s">
        <v>820</v>
      </c>
      <c r="F1054">
        <v>19.295999999999999</v>
      </c>
      <c r="G1054">
        <v>3</v>
      </c>
      <c r="H1054">
        <v>6.03</v>
      </c>
      <c r="I1054">
        <v>6</v>
      </c>
      <c r="J1054">
        <v>2013</v>
      </c>
      <c r="K1054" t="s">
        <v>2206</v>
      </c>
      <c r="L1054" t="str">
        <f>TEXT(maintable_2[[#This Row],[Order Date]],"mmmm")</f>
        <v>July</v>
      </c>
    </row>
    <row r="1055" spans="1:12" x14ac:dyDescent="0.3">
      <c r="A1055" s="1">
        <v>40864</v>
      </c>
      <c r="B1055" s="1">
        <v>40866</v>
      </c>
      <c r="C1055" t="s">
        <v>1196</v>
      </c>
      <c r="D1055" t="s">
        <v>37</v>
      </c>
      <c r="E1055" t="s">
        <v>569</v>
      </c>
      <c r="F1055">
        <v>99.98</v>
      </c>
      <c r="G1055">
        <v>2</v>
      </c>
      <c r="H1055">
        <v>7.9984000000000002</v>
      </c>
      <c r="I1055">
        <v>2</v>
      </c>
      <c r="J1055">
        <v>2011</v>
      </c>
      <c r="K1055" t="s">
        <v>2209</v>
      </c>
      <c r="L1055" t="str">
        <f>TEXT(maintable_2[[#This Row],[Order Date]],"mmmm")</f>
        <v>November</v>
      </c>
    </row>
    <row r="1056" spans="1:12" x14ac:dyDescent="0.3">
      <c r="A1056" s="1">
        <v>40864</v>
      </c>
      <c r="B1056" s="1">
        <v>40866</v>
      </c>
      <c r="C1056" t="s">
        <v>1196</v>
      </c>
      <c r="D1056" t="s">
        <v>44</v>
      </c>
      <c r="E1056" t="s">
        <v>1197</v>
      </c>
      <c r="F1056">
        <v>733.95</v>
      </c>
      <c r="G1056">
        <v>7</v>
      </c>
      <c r="H1056">
        <v>352.29599999999999</v>
      </c>
      <c r="I1056">
        <v>2</v>
      </c>
      <c r="J1056">
        <v>2011</v>
      </c>
      <c r="K1056" t="s">
        <v>2209</v>
      </c>
      <c r="L1056" t="str">
        <f>TEXT(maintable_2[[#This Row],[Order Date]],"mmmm")</f>
        <v>November</v>
      </c>
    </row>
    <row r="1057" spans="1:12" x14ac:dyDescent="0.3">
      <c r="A1057" s="1">
        <v>40864</v>
      </c>
      <c r="B1057" s="1">
        <v>40866</v>
      </c>
      <c r="C1057" t="s">
        <v>1196</v>
      </c>
      <c r="D1057" t="s">
        <v>19</v>
      </c>
      <c r="E1057" t="s">
        <v>1198</v>
      </c>
      <c r="F1057">
        <v>241.44</v>
      </c>
      <c r="G1057">
        <v>3</v>
      </c>
      <c r="H1057">
        <v>72.432000000000002</v>
      </c>
      <c r="I1057">
        <v>2</v>
      </c>
      <c r="J1057">
        <v>2011</v>
      </c>
      <c r="K1057" t="s">
        <v>2209</v>
      </c>
      <c r="L1057" t="str">
        <f>TEXT(maintable_2[[#This Row],[Order Date]],"mmmm")</f>
        <v>November</v>
      </c>
    </row>
    <row r="1058" spans="1:12" x14ac:dyDescent="0.3">
      <c r="A1058" s="1">
        <v>41270</v>
      </c>
      <c r="B1058" s="1">
        <v>41272</v>
      </c>
      <c r="C1058" t="s">
        <v>1064</v>
      </c>
      <c r="D1058" t="s">
        <v>37</v>
      </c>
      <c r="E1058" t="s">
        <v>1060</v>
      </c>
      <c r="F1058">
        <v>7.92</v>
      </c>
      <c r="G1058">
        <v>8</v>
      </c>
      <c r="H1058">
        <v>3.4847999999999999</v>
      </c>
      <c r="I1058">
        <v>2</v>
      </c>
      <c r="J1058">
        <v>2012</v>
      </c>
      <c r="K1058" t="s">
        <v>2207</v>
      </c>
      <c r="L1058" t="str">
        <f>TEXT(maintable_2[[#This Row],[Order Date]],"mmmm")</f>
        <v>December</v>
      </c>
    </row>
    <row r="1059" spans="1:12" x14ac:dyDescent="0.3">
      <c r="A1059" s="1">
        <v>40948</v>
      </c>
      <c r="B1059" s="1">
        <v>40955</v>
      </c>
      <c r="C1059" t="s">
        <v>1199</v>
      </c>
      <c r="D1059" t="s">
        <v>71</v>
      </c>
      <c r="E1059" t="s">
        <v>920</v>
      </c>
      <c r="F1059">
        <v>203.92</v>
      </c>
      <c r="G1059">
        <v>5</v>
      </c>
      <c r="H1059">
        <v>22.940999999999999</v>
      </c>
      <c r="I1059">
        <v>7</v>
      </c>
      <c r="J1059">
        <v>2012</v>
      </c>
      <c r="K1059" t="s">
        <v>2210</v>
      </c>
      <c r="L1059" t="str">
        <f>TEXT(maintable_2[[#This Row],[Order Date]],"mmmm")</f>
        <v>February</v>
      </c>
    </row>
    <row r="1060" spans="1:12" x14ac:dyDescent="0.3">
      <c r="A1060" s="1">
        <v>41768</v>
      </c>
      <c r="B1060" s="1">
        <v>41772</v>
      </c>
      <c r="C1060" t="s">
        <v>1200</v>
      </c>
      <c r="D1060" t="s">
        <v>163</v>
      </c>
      <c r="E1060" t="s">
        <v>1201</v>
      </c>
      <c r="F1060">
        <v>3359.9520000000002</v>
      </c>
      <c r="G1060">
        <v>6</v>
      </c>
      <c r="H1060">
        <v>1049.9849999999999</v>
      </c>
      <c r="I1060">
        <v>4</v>
      </c>
      <c r="J1060">
        <v>2014</v>
      </c>
      <c r="K1060" t="s">
        <v>2208</v>
      </c>
      <c r="L1060" t="str">
        <f>TEXT(maintable_2[[#This Row],[Order Date]],"mmmm")</f>
        <v>May</v>
      </c>
    </row>
    <row r="1061" spans="1:12" x14ac:dyDescent="0.3">
      <c r="A1061" s="1">
        <v>41256</v>
      </c>
      <c r="B1061" s="1">
        <v>41258</v>
      </c>
      <c r="C1061" t="s">
        <v>1202</v>
      </c>
      <c r="D1061" t="s">
        <v>15</v>
      </c>
      <c r="E1061" t="s">
        <v>1203</v>
      </c>
      <c r="F1061">
        <v>494.37599999999998</v>
      </c>
      <c r="G1061">
        <v>3</v>
      </c>
      <c r="H1061">
        <v>49.437600000000003</v>
      </c>
      <c r="I1061">
        <v>2</v>
      </c>
      <c r="J1061">
        <v>2012</v>
      </c>
      <c r="K1061" t="s">
        <v>2207</v>
      </c>
      <c r="L1061" t="str">
        <f>TEXT(maintable_2[[#This Row],[Order Date]],"mmmm")</f>
        <v>December</v>
      </c>
    </row>
    <row r="1062" spans="1:12" x14ac:dyDescent="0.3">
      <c r="A1062" s="1">
        <v>41256</v>
      </c>
      <c r="B1062" s="1">
        <v>41258</v>
      </c>
      <c r="C1062" t="s">
        <v>1202</v>
      </c>
      <c r="D1062" t="s">
        <v>17</v>
      </c>
      <c r="E1062" t="s">
        <v>672</v>
      </c>
      <c r="F1062">
        <v>29.2</v>
      </c>
      <c r="G1062">
        <v>5</v>
      </c>
      <c r="H1062">
        <v>9.8550000000000004</v>
      </c>
      <c r="I1062">
        <v>2</v>
      </c>
      <c r="J1062">
        <v>2012</v>
      </c>
      <c r="K1062" t="s">
        <v>2207</v>
      </c>
      <c r="L1062" t="str">
        <f>TEXT(maintable_2[[#This Row],[Order Date]],"mmmm")</f>
        <v>December</v>
      </c>
    </row>
    <row r="1063" spans="1:12" x14ac:dyDescent="0.3">
      <c r="A1063" s="1">
        <v>41256</v>
      </c>
      <c r="B1063" s="1">
        <v>41258</v>
      </c>
      <c r="C1063" t="s">
        <v>1202</v>
      </c>
      <c r="D1063" t="s">
        <v>37</v>
      </c>
      <c r="E1063" t="s">
        <v>62</v>
      </c>
      <c r="F1063">
        <v>248.85</v>
      </c>
      <c r="G1063">
        <v>5</v>
      </c>
      <c r="H1063">
        <v>27.3735</v>
      </c>
      <c r="I1063">
        <v>2</v>
      </c>
      <c r="J1063">
        <v>2012</v>
      </c>
      <c r="K1063" t="s">
        <v>2207</v>
      </c>
      <c r="L1063" t="str">
        <f>TEXT(maintable_2[[#This Row],[Order Date]],"mmmm")</f>
        <v>December</v>
      </c>
    </row>
    <row r="1064" spans="1:12" x14ac:dyDescent="0.3">
      <c r="A1064" s="1">
        <v>41256</v>
      </c>
      <c r="B1064" s="1">
        <v>41258</v>
      </c>
      <c r="C1064" t="s">
        <v>1202</v>
      </c>
      <c r="D1064" t="s">
        <v>37</v>
      </c>
      <c r="E1064" t="s">
        <v>1204</v>
      </c>
      <c r="F1064">
        <v>36.24</v>
      </c>
      <c r="G1064">
        <v>1</v>
      </c>
      <c r="H1064">
        <v>15.220800000000001</v>
      </c>
      <c r="I1064">
        <v>2</v>
      </c>
      <c r="J1064">
        <v>2012</v>
      </c>
      <c r="K1064" t="s">
        <v>2207</v>
      </c>
      <c r="L1064" t="str">
        <f>TEXT(maintable_2[[#This Row],[Order Date]],"mmmm")</f>
        <v>December</v>
      </c>
    </row>
    <row r="1065" spans="1:12" x14ac:dyDescent="0.3">
      <c r="A1065" s="1">
        <v>40903</v>
      </c>
      <c r="B1065" s="1">
        <v>40907</v>
      </c>
      <c r="C1065" t="s">
        <v>836</v>
      </c>
      <c r="D1065" t="s">
        <v>81</v>
      </c>
      <c r="E1065" t="s">
        <v>1162</v>
      </c>
      <c r="F1065">
        <v>11.91</v>
      </c>
      <c r="G1065">
        <v>3</v>
      </c>
      <c r="H1065">
        <v>0.1191</v>
      </c>
      <c r="I1065">
        <v>4</v>
      </c>
      <c r="J1065">
        <v>2011</v>
      </c>
      <c r="K1065" t="s">
        <v>2207</v>
      </c>
      <c r="L1065" t="str">
        <f>TEXT(maintable_2[[#This Row],[Order Date]],"mmmm")</f>
        <v>December</v>
      </c>
    </row>
    <row r="1066" spans="1:12" x14ac:dyDescent="0.3">
      <c r="A1066" s="1">
        <v>40903</v>
      </c>
      <c r="B1066" s="1">
        <v>40907</v>
      </c>
      <c r="C1066" t="s">
        <v>836</v>
      </c>
      <c r="D1066" t="s">
        <v>11</v>
      </c>
      <c r="E1066" t="s">
        <v>1092</v>
      </c>
      <c r="F1066">
        <v>3.48</v>
      </c>
      <c r="G1066">
        <v>2</v>
      </c>
      <c r="H1066">
        <v>1.1135999999999999</v>
      </c>
      <c r="I1066">
        <v>4</v>
      </c>
      <c r="J1066">
        <v>2011</v>
      </c>
      <c r="K1066" t="s">
        <v>2207</v>
      </c>
      <c r="L1066" t="str">
        <f>TEXT(maintable_2[[#This Row],[Order Date]],"mmmm")</f>
        <v>December</v>
      </c>
    </row>
    <row r="1067" spans="1:12" x14ac:dyDescent="0.3">
      <c r="A1067" s="1">
        <v>41052</v>
      </c>
      <c r="B1067" s="1">
        <v>41059</v>
      </c>
      <c r="C1067" t="s">
        <v>33</v>
      </c>
      <c r="D1067" t="s">
        <v>17</v>
      </c>
      <c r="E1067" t="s">
        <v>567</v>
      </c>
      <c r="F1067">
        <v>19.193999999999999</v>
      </c>
      <c r="G1067">
        <v>7</v>
      </c>
      <c r="H1067">
        <v>-12.795999999999999</v>
      </c>
      <c r="I1067">
        <v>7</v>
      </c>
      <c r="J1067">
        <v>2012</v>
      </c>
      <c r="K1067" t="s">
        <v>2208</v>
      </c>
      <c r="L1067" t="str">
        <f>TEXT(maintable_2[[#This Row],[Order Date]],"mmmm")</f>
        <v>May</v>
      </c>
    </row>
    <row r="1068" spans="1:12" x14ac:dyDescent="0.3">
      <c r="A1068" s="1">
        <v>41052</v>
      </c>
      <c r="B1068" s="1">
        <v>41059</v>
      </c>
      <c r="C1068" t="s">
        <v>33</v>
      </c>
      <c r="D1068" t="s">
        <v>19</v>
      </c>
      <c r="E1068" t="s">
        <v>303</v>
      </c>
      <c r="F1068">
        <v>121.792</v>
      </c>
      <c r="G1068">
        <v>4</v>
      </c>
      <c r="H1068">
        <v>13.701599999999999</v>
      </c>
      <c r="I1068">
        <v>7</v>
      </c>
      <c r="J1068">
        <v>2012</v>
      </c>
      <c r="K1068" t="s">
        <v>2208</v>
      </c>
      <c r="L1068" t="str">
        <f>TEXT(maintable_2[[#This Row],[Order Date]],"mmmm")</f>
        <v>May</v>
      </c>
    </row>
    <row r="1069" spans="1:12" x14ac:dyDescent="0.3">
      <c r="A1069" s="1">
        <v>41960</v>
      </c>
      <c r="B1069" s="1">
        <v>41960</v>
      </c>
      <c r="C1069" t="s">
        <v>1205</v>
      </c>
      <c r="D1069" t="s">
        <v>494</v>
      </c>
      <c r="E1069" t="s">
        <v>1040</v>
      </c>
      <c r="F1069">
        <v>1919.9760000000001</v>
      </c>
      <c r="G1069">
        <v>3</v>
      </c>
      <c r="H1069">
        <v>215.9973</v>
      </c>
      <c r="I1069">
        <v>0</v>
      </c>
      <c r="J1069">
        <v>2014</v>
      </c>
      <c r="K1069" t="s">
        <v>2209</v>
      </c>
      <c r="L1069" t="str">
        <f>TEXT(maintable_2[[#This Row],[Order Date]],"mmmm")</f>
        <v>November</v>
      </c>
    </row>
    <row r="1070" spans="1:12" x14ac:dyDescent="0.3">
      <c r="A1070" s="1">
        <v>40813</v>
      </c>
      <c r="B1070" s="1">
        <v>40817</v>
      </c>
      <c r="C1070" t="s">
        <v>702</v>
      </c>
      <c r="D1070" t="s">
        <v>71</v>
      </c>
      <c r="E1070" t="s">
        <v>240</v>
      </c>
      <c r="F1070">
        <v>603.91999999999996</v>
      </c>
      <c r="G1070">
        <v>5</v>
      </c>
      <c r="H1070">
        <v>45.293999999999997</v>
      </c>
      <c r="I1070">
        <v>4</v>
      </c>
      <c r="J1070">
        <v>2011</v>
      </c>
      <c r="K1070" t="s">
        <v>2209</v>
      </c>
      <c r="L1070" t="str">
        <f>TEXT(maintable_2[[#This Row],[Order Date]],"mmmm")</f>
        <v>September</v>
      </c>
    </row>
    <row r="1071" spans="1:12" x14ac:dyDescent="0.3">
      <c r="A1071" s="1">
        <v>40813</v>
      </c>
      <c r="B1071" s="1">
        <v>40817</v>
      </c>
      <c r="C1071" t="s">
        <v>702</v>
      </c>
      <c r="D1071" t="s">
        <v>44</v>
      </c>
      <c r="E1071" t="s">
        <v>737</v>
      </c>
      <c r="F1071">
        <v>81.98</v>
      </c>
      <c r="G1071">
        <v>2</v>
      </c>
      <c r="H1071">
        <v>40.170200000000001</v>
      </c>
      <c r="I1071">
        <v>4</v>
      </c>
      <c r="J1071">
        <v>2011</v>
      </c>
      <c r="K1071" t="s">
        <v>2209</v>
      </c>
      <c r="L1071" t="str">
        <f>TEXT(maintable_2[[#This Row],[Order Date]],"mmmm")</f>
        <v>September</v>
      </c>
    </row>
    <row r="1072" spans="1:12" x14ac:dyDescent="0.3">
      <c r="A1072" s="1">
        <v>41163</v>
      </c>
      <c r="B1072" s="1">
        <v>41167</v>
      </c>
      <c r="C1072" t="s">
        <v>716</v>
      </c>
      <c r="D1072" t="s">
        <v>13</v>
      </c>
      <c r="E1072" t="s">
        <v>1206</v>
      </c>
      <c r="F1072">
        <v>181.35</v>
      </c>
      <c r="G1072">
        <v>9</v>
      </c>
      <c r="H1072">
        <v>48.964500000000001</v>
      </c>
      <c r="I1072">
        <v>4</v>
      </c>
      <c r="J1072">
        <v>2012</v>
      </c>
      <c r="K1072" t="s">
        <v>2209</v>
      </c>
      <c r="L1072" t="str">
        <f>TEXT(maintable_2[[#This Row],[Order Date]],"mmmm")</f>
        <v>September</v>
      </c>
    </row>
    <row r="1073" spans="1:12" x14ac:dyDescent="0.3">
      <c r="A1073" s="1">
        <v>41163</v>
      </c>
      <c r="B1073" s="1">
        <v>41167</v>
      </c>
      <c r="C1073" t="s">
        <v>716</v>
      </c>
      <c r="D1073" t="s">
        <v>8</v>
      </c>
      <c r="E1073" t="s">
        <v>1207</v>
      </c>
      <c r="F1073">
        <v>8.64</v>
      </c>
      <c r="G1073">
        <v>3</v>
      </c>
      <c r="H1073">
        <v>4.2336</v>
      </c>
      <c r="I1073">
        <v>4</v>
      </c>
      <c r="J1073">
        <v>2012</v>
      </c>
      <c r="K1073" t="s">
        <v>2209</v>
      </c>
      <c r="L1073" t="str">
        <f>TEXT(maintable_2[[#This Row],[Order Date]],"mmmm")</f>
        <v>September</v>
      </c>
    </row>
    <row r="1074" spans="1:12" x14ac:dyDescent="0.3">
      <c r="A1074" s="1">
        <v>41873</v>
      </c>
      <c r="B1074" s="1">
        <v>41874</v>
      </c>
      <c r="C1074" t="s">
        <v>1208</v>
      </c>
      <c r="D1074" t="s">
        <v>13</v>
      </c>
      <c r="E1074" t="s">
        <v>1209</v>
      </c>
      <c r="F1074">
        <v>17.12</v>
      </c>
      <c r="G1074">
        <v>4</v>
      </c>
      <c r="H1074">
        <v>4.9648000000000003</v>
      </c>
      <c r="I1074">
        <v>1</v>
      </c>
      <c r="J1074">
        <v>2014</v>
      </c>
      <c r="K1074" t="s">
        <v>2206</v>
      </c>
      <c r="L1074" t="str">
        <f>TEXT(maintable_2[[#This Row],[Order Date]],"mmmm")</f>
        <v>August</v>
      </c>
    </row>
    <row r="1075" spans="1:12" x14ac:dyDescent="0.3">
      <c r="A1075" s="1">
        <v>41873</v>
      </c>
      <c r="B1075" s="1">
        <v>41874</v>
      </c>
      <c r="C1075" t="s">
        <v>1208</v>
      </c>
      <c r="D1075" t="s">
        <v>15</v>
      </c>
      <c r="E1075" t="s">
        <v>1210</v>
      </c>
      <c r="F1075">
        <v>431.96800000000002</v>
      </c>
      <c r="G1075">
        <v>4</v>
      </c>
      <c r="H1075">
        <v>37.797199999999997</v>
      </c>
      <c r="I1075">
        <v>1</v>
      </c>
      <c r="J1075">
        <v>2014</v>
      </c>
      <c r="K1075" t="s">
        <v>2206</v>
      </c>
      <c r="L1075" t="str">
        <f>TEXT(maintable_2[[#This Row],[Order Date]],"mmmm")</f>
        <v>August</v>
      </c>
    </row>
    <row r="1076" spans="1:12" x14ac:dyDescent="0.3">
      <c r="A1076" s="1">
        <v>41873</v>
      </c>
      <c r="B1076" s="1">
        <v>41874</v>
      </c>
      <c r="C1076" t="s">
        <v>1208</v>
      </c>
      <c r="D1076" t="s">
        <v>11</v>
      </c>
      <c r="E1076" t="s">
        <v>1211</v>
      </c>
      <c r="F1076">
        <v>129.91999999999999</v>
      </c>
      <c r="G1076">
        <v>4</v>
      </c>
      <c r="H1076">
        <v>10.393599999999999</v>
      </c>
      <c r="I1076">
        <v>1</v>
      </c>
      <c r="J1076">
        <v>2014</v>
      </c>
      <c r="K1076" t="s">
        <v>2206</v>
      </c>
      <c r="L1076" t="str">
        <f>TEXT(maintable_2[[#This Row],[Order Date]],"mmmm")</f>
        <v>August</v>
      </c>
    </row>
    <row r="1077" spans="1:12" x14ac:dyDescent="0.3">
      <c r="A1077" s="1">
        <v>41873</v>
      </c>
      <c r="B1077" s="1">
        <v>41874</v>
      </c>
      <c r="C1077" t="s">
        <v>1208</v>
      </c>
      <c r="D1077" t="s">
        <v>21</v>
      </c>
      <c r="E1077" t="s">
        <v>22</v>
      </c>
      <c r="F1077">
        <v>568.72799999999995</v>
      </c>
      <c r="G1077">
        <v>3</v>
      </c>
      <c r="H1077">
        <v>28.436399999999999</v>
      </c>
      <c r="I1077">
        <v>1</v>
      </c>
      <c r="J1077">
        <v>2014</v>
      </c>
      <c r="K1077" t="s">
        <v>2206</v>
      </c>
      <c r="L1077" t="str">
        <f>TEXT(maintable_2[[#This Row],[Order Date]],"mmmm")</f>
        <v>August</v>
      </c>
    </row>
    <row r="1078" spans="1:12" x14ac:dyDescent="0.3">
      <c r="A1078" s="1">
        <v>41873</v>
      </c>
      <c r="B1078" s="1">
        <v>41874</v>
      </c>
      <c r="C1078" t="s">
        <v>1208</v>
      </c>
      <c r="D1078" t="s">
        <v>17</v>
      </c>
      <c r="E1078" t="s">
        <v>1212</v>
      </c>
      <c r="F1078">
        <v>117.14400000000001</v>
      </c>
      <c r="G1078">
        <v>9</v>
      </c>
      <c r="H1078">
        <v>42.464700000000001</v>
      </c>
      <c r="I1078">
        <v>1</v>
      </c>
      <c r="J1078">
        <v>2014</v>
      </c>
      <c r="K1078" t="s">
        <v>2206</v>
      </c>
      <c r="L1078" t="str">
        <f>TEXT(maintable_2[[#This Row],[Order Date]],"mmmm")</f>
        <v>August</v>
      </c>
    </row>
    <row r="1079" spans="1:12" x14ac:dyDescent="0.3">
      <c r="A1079" s="1">
        <v>41873</v>
      </c>
      <c r="B1079" s="1">
        <v>41874</v>
      </c>
      <c r="C1079" t="s">
        <v>1208</v>
      </c>
      <c r="D1079" t="s">
        <v>19</v>
      </c>
      <c r="E1079" t="s">
        <v>1213</v>
      </c>
      <c r="F1079">
        <v>203.52</v>
      </c>
      <c r="G1079">
        <v>3</v>
      </c>
      <c r="H1079">
        <v>54.950400000000002</v>
      </c>
      <c r="I1079">
        <v>1</v>
      </c>
      <c r="J1079">
        <v>2014</v>
      </c>
      <c r="K1079" t="s">
        <v>2206</v>
      </c>
      <c r="L1079" t="str">
        <f>TEXT(maintable_2[[#This Row],[Order Date]],"mmmm")</f>
        <v>August</v>
      </c>
    </row>
    <row r="1080" spans="1:12" x14ac:dyDescent="0.3">
      <c r="A1080" s="1">
        <v>41873</v>
      </c>
      <c r="B1080" s="1">
        <v>41874</v>
      </c>
      <c r="C1080" t="s">
        <v>1208</v>
      </c>
      <c r="D1080" t="s">
        <v>8</v>
      </c>
      <c r="E1080" t="s">
        <v>1214</v>
      </c>
      <c r="F1080">
        <v>51.75</v>
      </c>
      <c r="G1080">
        <v>5</v>
      </c>
      <c r="H1080">
        <v>24.84</v>
      </c>
      <c r="I1080">
        <v>1</v>
      </c>
      <c r="J1080">
        <v>2014</v>
      </c>
      <c r="K1080" t="s">
        <v>2206</v>
      </c>
      <c r="L1080" t="str">
        <f>TEXT(maintable_2[[#This Row],[Order Date]],"mmmm")</f>
        <v>August</v>
      </c>
    </row>
    <row r="1081" spans="1:12" x14ac:dyDescent="0.3">
      <c r="A1081" s="1">
        <v>41134</v>
      </c>
      <c r="B1081" s="1">
        <v>41141</v>
      </c>
      <c r="C1081" t="s">
        <v>1215</v>
      </c>
      <c r="D1081" t="s">
        <v>13</v>
      </c>
      <c r="E1081" t="s">
        <v>1216</v>
      </c>
      <c r="F1081">
        <v>50.8</v>
      </c>
      <c r="G1081">
        <v>5</v>
      </c>
      <c r="H1081">
        <v>13.208</v>
      </c>
      <c r="I1081">
        <v>7</v>
      </c>
      <c r="J1081">
        <v>2012</v>
      </c>
      <c r="K1081" t="s">
        <v>2206</v>
      </c>
      <c r="L1081" t="str">
        <f>TEXT(maintable_2[[#This Row],[Order Date]],"mmmm")</f>
        <v>August</v>
      </c>
    </row>
    <row r="1082" spans="1:12" x14ac:dyDescent="0.3">
      <c r="A1082" s="1">
        <v>41504</v>
      </c>
      <c r="B1082" s="1">
        <v>41508</v>
      </c>
      <c r="C1082" t="s">
        <v>486</v>
      </c>
      <c r="D1082" t="s">
        <v>17</v>
      </c>
      <c r="E1082" t="s">
        <v>657</v>
      </c>
      <c r="F1082">
        <v>15.712</v>
      </c>
      <c r="G1082">
        <v>4</v>
      </c>
      <c r="H1082">
        <v>5.6955999999999998</v>
      </c>
      <c r="I1082">
        <v>4</v>
      </c>
      <c r="J1082">
        <v>2013</v>
      </c>
      <c r="K1082" t="s">
        <v>2206</v>
      </c>
      <c r="L1082" t="str">
        <f>TEXT(maintable_2[[#This Row],[Order Date]],"mmmm")</f>
        <v>August</v>
      </c>
    </row>
    <row r="1083" spans="1:12" x14ac:dyDescent="0.3">
      <c r="A1083" s="1">
        <v>40809</v>
      </c>
      <c r="B1083" s="1">
        <v>40814</v>
      </c>
      <c r="C1083" t="s">
        <v>1217</v>
      </c>
      <c r="D1083" t="s">
        <v>196</v>
      </c>
      <c r="E1083" t="s">
        <v>1218</v>
      </c>
      <c r="F1083">
        <v>435.99900000000002</v>
      </c>
      <c r="G1083">
        <v>3</v>
      </c>
      <c r="H1083">
        <v>20.517600000000002</v>
      </c>
      <c r="I1083">
        <v>5</v>
      </c>
      <c r="J1083">
        <v>2011</v>
      </c>
      <c r="K1083" t="s">
        <v>2209</v>
      </c>
      <c r="L1083" t="str">
        <f>TEXT(maintable_2[[#This Row],[Order Date]],"mmmm")</f>
        <v>September</v>
      </c>
    </row>
    <row r="1084" spans="1:12" x14ac:dyDescent="0.3">
      <c r="A1084" s="1">
        <v>40809</v>
      </c>
      <c r="B1084" s="1">
        <v>40814</v>
      </c>
      <c r="C1084" t="s">
        <v>1217</v>
      </c>
      <c r="D1084" t="s">
        <v>15</v>
      </c>
      <c r="E1084" t="s">
        <v>49</v>
      </c>
      <c r="F1084">
        <v>83.983999999999995</v>
      </c>
      <c r="G1084">
        <v>2</v>
      </c>
      <c r="H1084">
        <v>31.494</v>
      </c>
      <c r="I1084">
        <v>5</v>
      </c>
      <c r="J1084">
        <v>2011</v>
      </c>
      <c r="K1084" t="s">
        <v>2209</v>
      </c>
      <c r="L1084" t="str">
        <f>TEXT(maintable_2[[#This Row],[Order Date]],"mmmm")</f>
        <v>September</v>
      </c>
    </row>
    <row r="1085" spans="1:12" x14ac:dyDescent="0.3">
      <c r="A1085" s="1">
        <v>40575</v>
      </c>
      <c r="B1085" s="1">
        <v>40577</v>
      </c>
      <c r="C1085" t="s">
        <v>1219</v>
      </c>
      <c r="D1085" t="s">
        <v>196</v>
      </c>
      <c r="E1085" t="s">
        <v>1220</v>
      </c>
      <c r="F1085">
        <v>290.666</v>
      </c>
      <c r="G1085">
        <v>2</v>
      </c>
      <c r="H1085">
        <v>3.4196</v>
      </c>
      <c r="I1085">
        <v>2</v>
      </c>
      <c r="J1085">
        <v>2011</v>
      </c>
      <c r="K1085" t="s">
        <v>2210</v>
      </c>
      <c r="L1085" t="str">
        <f>TEXT(maintable_2[[#This Row],[Order Date]],"mmmm")</f>
        <v>February</v>
      </c>
    </row>
    <row r="1086" spans="1:12" x14ac:dyDescent="0.3">
      <c r="A1086" s="1">
        <v>41234</v>
      </c>
      <c r="B1086" s="1">
        <v>41238</v>
      </c>
      <c r="C1086" t="s">
        <v>686</v>
      </c>
      <c r="D1086" t="s">
        <v>196</v>
      </c>
      <c r="E1086" t="s">
        <v>1221</v>
      </c>
      <c r="F1086">
        <v>141.96</v>
      </c>
      <c r="G1086">
        <v>2</v>
      </c>
      <c r="H1086">
        <v>41.168399999999998</v>
      </c>
      <c r="I1086">
        <v>4</v>
      </c>
      <c r="J1086">
        <v>2012</v>
      </c>
      <c r="K1086" t="s">
        <v>2209</v>
      </c>
      <c r="L1086" t="str">
        <f>TEXT(maintable_2[[#This Row],[Order Date]],"mmmm")</f>
        <v>November</v>
      </c>
    </row>
    <row r="1087" spans="1:12" x14ac:dyDescent="0.3">
      <c r="A1087" s="1">
        <v>41234</v>
      </c>
      <c r="B1087" s="1">
        <v>41238</v>
      </c>
      <c r="C1087" t="s">
        <v>686</v>
      </c>
      <c r="D1087" t="s">
        <v>17</v>
      </c>
      <c r="E1087" t="s">
        <v>182</v>
      </c>
      <c r="F1087">
        <v>66.048000000000002</v>
      </c>
      <c r="G1087">
        <v>4</v>
      </c>
      <c r="H1087">
        <v>23.116800000000001</v>
      </c>
      <c r="I1087">
        <v>4</v>
      </c>
      <c r="J1087">
        <v>2012</v>
      </c>
      <c r="K1087" t="s">
        <v>2209</v>
      </c>
      <c r="L1087" t="str">
        <f>TEXT(maintable_2[[#This Row],[Order Date]],"mmmm")</f>
        <v>November</v>
      </c>
    </row>
    <row r="1088" spans="1:12" x14ac:dyDescent="0.3">
      <c r="A1088" s="1">
        <v>41906</v>
      </c>
      <c r="B1088" s="1">
        <v>41913</v>
      </c>
      <c r="C1088" t="s">
        <v>116</v>
      </c>
      <c r="D1088" t="s">
        <v>17</v>
      </c>
      <c r="E1088" t="s">
        <v>1222</v>
      </c>
      <c r="F1088">
        <v>25.824000000000002</v>
      </c>
      <c r="G1088">
        <v>6</v>
      </c>
      <c r="H1088">
        <v>9.0383999999999993</v>
      </c>
      <c r="I1088">
        <v>7</v>
      </c>
      <c r="J1088">
        <v>2014</v>
      </c>
      <c r="K1088" t="s">
        <v>2209</v>
      </c>
      <c r="L1088" t="str">
        <f>TEXT(maintable_2[[#This Row],[Order Date]],"mmmm")</f>
        <v>September</v>
      </c>
    </row>
    <row r="1089" spans="1:12" x14ac:dyDescent="0.3">
      <c r="A1089" s="1">
        <v>41906</v>
      </c>
      <c r="B1089" s="1">
        <v>41913</v>
      </c>
      <c r="C1089" t="s">
        <v>116</v>
      </c>
      <c r="D1089" t="s">
        <v>19</v>
      </c>
      <c r="E1089" t="s">
        <v>1198</v>
      </c>
      <c r="F1089">
        <v>160.96</v>
      </c>
      <c r="G1089">
        <v>2</v>
      </c>
      <c r="H1089">
        <v>48.287999999999997</v>
      </c>
      <c r="I1089">
        <v>7</v>
      </c>
      <c r="J1089">
        <v>2014</v>
      </c>
      <c r="K1089" t="s">
        <v>2209</v>
      </c>
      <c r="L1089" t="str">
        <f>TEXT(maintable_2[[#This Row],[Order Date]],"mmmm")</f>
        <v>September</v>
      </c>
    </row>
    <row r="1090" spans="1:12" x14ac:dyDescent="0.3">
      <c r="A1090" s="1">
        <v>40764</v>
      </c>
      <c r="B1090" s="1">
        <v>40768</v>
      </c>
      <c r="C1090" t="s">
        <v>1223</v>
      </c>
      <c r="D1090" t="s">
        <v>15</v>
      </c>
      <c r="E1090" t="s">
        <v>1224</v>
      </c>
      <c r="F1090">
        <v>1091.1679999999999</v>
      </c>
      <c r="G1090">
        <v>4</v>
      </c>
      <c r="H1090">
        <v>68.197999999999993</v>
      </c>
      <c r="I1090">
        <v>4</v>
      </c>
      <c r="J1090">
        <v>2011</v>
      </c>
      <c r="K1090" t="s">
        <v>2206</v>
      </c>
      <c r="L1090" t="str">
        <f>TEXT(maintable_2[[#This Row],[Order Date]],"mmmm")</f>
        <v>August</v>
      </c>
    </row>
    <row r="1091" spans="1:12" x14ac:dyDescent="0.3">
      <c r="A1091" s="1">
        <v>40764</v>
      </c>
      <c r="B1091" s="1">
        <v>40768</v>
      </c>
      <c r="C1091" t="s">
        <v>1223</v>
      </c>
      <c r="D1091" t="s">
        <v>15</v>
      </c>
      <c r="E1091" t="s">
        <v>689</v>
      </c>
      <c r="F1091">
        <v>219.16800000000001</v>
      </c>
      <c r="G1091">
        <v>2</v>
      </c>
      <c r="H1091">
        <v>-43.833599999999997</v>
      </c>
      <c r="I1091">
        <v>4</v>
      </c>
      <c r="J1091">
        <v>2011</v>
      </c>
      <c r="K1091" t="s">
        <v>2206</v>
      </c>
      <c r="L1091" t="str">
        <f>TEXT(maintable_2[[#This Row],[Order Date]],"mmmm")</f>
        <v>August</v>
      </c>
    </row>
    <row r="1092" spans="1:12" x14ac:dyDescent="0.3">
      <c r="A1092" s="1">
        <v>41199</v>
      </c>
      <c r="B1092" s="1">
        <v>41199</v>
      </c>
      <c r="C1092" t="s">
        <v>1225</v>
      </c>
      <c r="D1092" t="s">
        <v>27</v>
      </c>
      <c r="E1092" t="s">
        <v>40</v>
      </c>
      <c r="F1092">
        <v>77.88</v>
      </c>
      <c r="G1092">
        <v>2</v>
      </c>
      <c r="H1092">
        <v>3.8940000000000001</v>
      </c>
      <c r="I1092">
        <v>0</v>
      </c>
      <c r="J1092">
        <v>2012</v>
      </c>
      <c r="K1092" t="s">
        <v>2209</v>
      </c>
      <c r="L1092" t="str">
        <f>TEXT(maintable_2[[#This Row],[Order Date]],"mmmm")</f>
        <v>October</v>
      </c>
    </row>
    <row r="1093" spans="1:12" x14ac:dyDescent="0.3">
      <c r="A1093" s="1">
        <v>41538</v>
      </c>
      <c r="B1093" s="1">
        <v>41542</v>
      </c>
      <c r="C1093" t="s">
        <v>983</v>
      </c>
      <c r="D1093" t="s">
        <v>44</v>
      </c>
      <c r="E1093" t="s">
        <v>1226</v>
      </c>
      <c r="F1093">
        <v>65.790000000000006</v>
      </c>
      <c r="G1093">
        <v>9</v>
      </c>
      <c r="H1093">
        <v>30.263400000000001</v>
      </c>
      <c r="I1093">
        <v>4</v>
      </c>
      <c r="J1093">
        <v>2013</v>
      </c>
      <c r="K1093" t="s">
        <v>2209</v>
      </c>
      <c r="L1093" t="str">
        <f>TEXT(maintable_2[[#This Row],[Order Date]],"mmmm")</f>
        <v>September</v>
      </c>
    </row>
    <row r="1094" spans="1:12" x14ac:dyDescent="0.3">
      <c r="A1094" s="1">
        <v>41538</v>
      </c>
      <c r="B1094" s="1">
        <v>41542</v>
      </c>
      <c r="C1094" t="s">
        <v>983</v>
      </c>
      <c r="D1094" t="s">
        <v>17</v>
      </c>
      <c r="E1094" t="s">
        <v>25</v>
      </c>
      <c r="F1094">
        <v>271.98399999999998</v>
      </c>
      <c r="G1094">
        <v>2</v>
      </c>
      <c r="H1094">
        <v>88.394800000000004</v>
      </c>
      <c r="I1094">
        <v>4</v>
      </c>
      <c r="J1094">
        <v>2013</v>
      </c>
      <c r="K1094" t="s">
        <v>2209</v>
      </c>
      <c r="L1094" t="str">
        <f>TEXT(maintable_2[[#This Row],[Order Date]],"mmmm")</f>
        <v>September</v>
      </c>
    </row>
    <row r="1095" spans="1:12" x14ac:dyDescent="0.3">
      <c r="A1095" s="1">
        <v>41538</v>
      </c>
      <c r="B1095" s="1">
        <v>41542</v>
      </c>
      <c r="C1095" t="s">
        <v>983</v>
      </c>
      <c r="D1095" t="s">
        <v>13</v>
      </c>
      <c r="E1095" t="s">
        <v>85</v>
      </c>
      <c r="F1095">
        <v>11.76</v>
      </c>
      <c r="G1095">
        <v>4</v>
      </c>
      <c r="H1095">
        <v>3.1751999999999998</v>
      </c>
      <c r="I1095">
        <v>4</v>
      </c>
      <c r="J1095">
        <v>2013</v>
      </c>
      <c r="K1095" t="s">
        <v>2209</v>
      </c>
      <c r="L1095" t="str">
        <f>TEXT(maintable_2[[#This Row],[Order Date]],"mmmm")</f>
        <v>September</v>
      </c>
    </row>
    <row r="1096" spans="1:12" x14ac:dyDescent="0.3">
      <c r="A1096" s="1">
        <v>41538</v>
      </c>
      <c r="B1096" s="1">
        <v>41542</v>
      </c>
      <c r="C1096" t="s">
        <v>983</v>
      </c>
      <c r="D1096" t="s">
        <v>44</v>
      </c>
      <c r="E1096" t="s">
        <v>1227</v>
      </c>
      <c r="F1096">
        <v>77.52</v>
      </c>
      <c r="G1096">
        <v>2</v>
      </c>
      <c r="H1096">
        <v>37.9848</v>
      </c>
      <c r="I1096">
        <v>4</v>
      </c>
      <c r="J1096">
        <v>2013</v>
      </c>
      <c r="K1096" t="s">
        <v>2209</v>
      </c>
      <c r="L1096" t="str">
        <f>TEXT(maintable_2[[#This Row],[Order Date]],"mmmm")</f>
        <v>September</v>
      </c>
    </row>
    <row r="1097" spans="1:12" x14ac:dyDescent="0.3">
      <c r="A1097" s="1">
        <v>41538</v>
      </c>
      <c r="B1097" s="1">
        <v>41542</v>
      </c>
      <c r="C1097" t="s">
        <v>983</v>
      </c>
      <c r="D1097" t="s">
        <v>17</v>
      </c>
      <c r="E1097" t="s">
        <v>1082</v>
      </c>
      <c r="F1097">
        <v>48.64</v>
      </c>
      <c r="G1097">
        <v>2</v>
      </c>
      <c r="H1097">
        <v>15.808</v>
      </c>
      <c r="I1097">
        <v>4</v>
      </c>
      <c r="J1097">
        <v>2013</v>
      </c>
      <c r="K1097" t="s">
        <v>2209</v>
      </c>
      <c r="L1097" t="str">
        <f>TEXT(maintable_2[[#This Row],[Order Date]],"mmmm")</f>
        <v>September</v>
      </c>
    </row>
    <row r="1098" spans="1:12" x14ac:dyDescent="0.3">
      <c r="A1098" s="1">
        <v>41026</v>
      </c>
      <c r="B1098" s="1">
        <v>41031</v>
      </c>
      <c r="C1098" t="s">
        <v>1228</v>
      </c>
      <c r="D1098" t="s">
        <v>19</v>
      </c>
      <c r="E1098" t="s">
        <v>549</v>
      </c>
      <c r="F1098">
        <v>43.56</v>
      </c>
      <c r="G1098">
        <v>5</v>
      </c>
      <c r="H1098">
        <v>3.2669999999999999</v>
      </c>
      <c r="I1098">
        <v>5</v>
      </c>
      <c r="J1098">
        <v>2012</v>
      </c>
      <c r="K1098" t="s">
        <v>2208</v>
      </c>
      <c r="L1098" t="str">
        <f>TEXT(maintable_2[[#This Row],[Order Date]],"mmmm")</f>
        <v>April</v>
      </c>
    </row>
    <row r="1099" spans="1:12" x14ac:dyDescent="0.3">
      <c r="A1099" s="1">
        <v>41026</v>
      </c>
      <c r="B1099" s="1">
        <v>41031</v>
      </c>
      <c r="C1099" t="s">
        <v>1228</v>
      </c>
      <c r="D1099" t="s">
        <v>81</v>
      </c>
      <c r="E1099" t="s">
        <v>290</v>
      </c>
      <c r="F1099">
        <v>5.84</v>
      </c>
      <c r="G1099">
        <v>2</v>
      </c>
      <c r="H1099">
        <v>0.73</v>
      </c>
      <c r="I1099">
        <v>5</v>
      </c>
      <c r="J1099">
        <v>2012</v>
      </c>
      <c r="K1099" t="s">
        <v>2208</v>
      </c>
      <c r="L1099" t="str">
        <f>TEXT(maintable_2[[#This Row],[Order Date]],"mmmm")</f>
        <v>April</v>
      </c>
    </row>
    <row r="1100" spans="1:12" x14ac:dyDescent="0.3">
      <c r="A1100" s="1">
        <v>41423</v>
      </c>
      <c r="B1100" s="1">
        <v>41429</v>
      </c>
      <c r="C1100" t="s">
        <v>361</v>
      </c>
      <c r="D1100" t="s">
        <v>19</v>
      </c>
      <c r="E1100" t="s">
        <v>1229</v>
      </c>
      <c r="F1100">
        <v>262.24</v>
      </c>
      <c r="G1100">
        <v>2</v>
      </c>
      <c r="H1100">
        <v>78.671999999999997</v>
      </c>
      <c r="I1100">
        <v>6</v>
      </c>
      <c r="J1100">
        <v>2013</v>
      </c>
      <c r="K1100" t="s">
        <v>2208</v>
      </c>
      <c r="L1100" t="str">
        <f>TEXT(maintable_2[[#This Row],[Order Date]],"mmmm")</f>
        <v>May</v>
      </c>
    </row>
    <row r="1101" spans="1:12" x14ac:dyDescent="0.3">
      <c r="A1101" s="1">
        <v>41423</v>
      </c>
      <c r="B1101" s="1">
        <v>41429</v>
      </c>
      <c r="C1101" t="s">
        <v>361</v>
      </c>
      <c r="D1101" t="s">
        <v>44</v>
      </c>
      <c r="E1101" t="s">
        <v>1230</v>
      </c>
      <c r="F1101">
        <v>182.72</v>
      </c>
      <c r="G1101">
        <v>8</v>
      </c>
      <c r="H1101">
        <v>84.051199999999994</v>
      </c>
      <c r="I1101">
        <v>6</v>
      </c>
      <c r="J1101">
        <v>2013</v>
      </c>
      <c r="K1101" t="s">
        <v>2208</v>
      </c>
      <c r="L1101" t="str">
        <f>TEXT(maintable_2[[#This Row],[Order Date]],"mmmm")</f>
        <v>May</v>
      </c>
    </row>
    <row r="1102" spans="1:12" x14ac:dyDescent="0.3">
      <c r="A1102" s="1">
        <v>41423</v>
      </c>
      <c r="B1102" s="1">
        <v>41429</v>
      </c>
      <c r="C1102" t="s">
        <v>361</v>
      </c>
      <c r="D1102" t="s">
        <v>37</v>
      </c>
      <c r="E1102" t="s">
        <v>1231</v>
      </c>
      <c r="F1102">
        <v>131.6</v>
      </c>
      <c r="G1102">
        <v>7</v>
      </c>
      <c r="H1102">
        <v>7.8959999999999999</v>
      </c>
      <c r="I1102">
        <v>6</v>
      </c>
      <c r="J1102">
        <v>2013</v>
      </c>
      <c r="K1102" t="s">
        <v>2208</v>
      </c>
      <c r="L1102" t="str">
        <f>TEXT(maintable_2[[#This Row],[Order Date]],"mmmm")</f>
        <v>May</v>
      </c>
    </row>
    <row r="1103" spans="1:12" x14ac:dyDescent="0.3">
      <c r="A1103" s="1">
        <v>41423</v>
      </c>
      <c r="B1103" s="1">
        <v>41429</v>
      </c>
      <c r="C1103" t="s">
        <v>361</v>
      </c>
      <c r="D1103" t="s">
        <v>17</v>
      </c>
      <c r="E1103" t="s">
        <v>32</v>
      </c>
      <c r="F1103">
        <v>22.72</v>
      </c>
      <c r="G1103">
        <v>4</v>
      </c>
      <c r="H1103">
        <v>7.3840000000000003</v>
      </c>
      <c r="I1103">
        <v>6</v>
      </c>
      <c r="J1103">
        <v>2013</v>
      </c>
      <c r="K1103" t="s">
        <v>2208</v>
      </c>
      <c r="L1103" t="str">
        <f>TEXT(maintable_2[[#This Row],[Order Date]],"mmmm")</f>
        <v>May</v>
      </c>
    </row>
    <row r="1104" spans="1:12" x14ac:dyDescent="0.3">
      <c r="A1104" s="1">
        <v>41423</v>
      </c>
      <c r="B1104" s="1">
        <v>41429</v>
      </c>
      <c r="C1104" t="s">
        <v>361</v>
      </c>
      <c r="D1104" t="s">
        <v>494</v>
      </c>
      <c r="E1104" t="s">
        <v>1159</v>
      </c>
      <c r="F1104">
        <v>558.4</v>
      </c>
      <c r="G1104">
        <v>2</v>
      </c>
      <c r="H1104">
        <v>41.88</v>
      </c>
      <c r="I1104">
        <v>6</v>
      </c>
      <c r="J1104">
        <v>2013</v>
      </c>
      <c r="K1104" t="s">
        <v>2208</v>
      </c>
      <c r="L1104" t="str">
        <f>TEXT(maintable_2[[#This Row],[Order Date]],"mmmm")</f>
        <v>May</v>
      </c>
    </row>
    <row r="1105" spans="1:12" x14ac:dyDescent="0.3">
      <c r="A1105" s="1">
        <v>41982</v>
      </c>
      <c r="B1105" s="1">
        <v>41983</v>
      </c>
      <c r="C1105" t="s">
        <v>1232</v>
      </c>
      <c r="D1105" t="s">
        <v>27</v>
      </c>
      <c r="E1105" t="s">
        <v>1233</v>
      </c>
      <c r="F1105">
        <v>29.79</v>
      </c>
      <c r="G1105">
        <v>3</v>
      </c>
      <c r="H1105">
        <v>8.6390999999999991</v>
      </c>
      <c r="I1105">
        <v>1</v>
      </c>
      <c r="J1105">
        <v>2014</v>
      </c>
      <c r="K1105" t="s">
        <v>2207</v>
      </c>
      <c r="L1105" t="str">
        <f>TEXT(maintable_2[[#This Row],[Order Date]],"mmmm")</f>
        <v>December</v>
      </c>
    </row>
    <row r="1106" spans="1:12" x14ac:dyDescent="0.3">
      <c r="A1106" s="1">
        <v>41982</v>
      </c>
      <c r="B1106" s="1">
        <v>41983</v>
      </c>
      <c r="C1106" t="s">
        <v>1232</v>
      </c>
      <c r="D1106" t="s">
        <v>11</v>
      </c>
      <c r="E1106" t="s">
        <v>1234</v>
      </c>
      <c r="F1106">
        <v>128.9</v>
      </c>
      <c r="G1106">
        <v>2</v>
      </c>
      <c r="H1106">
        <v>15.468</v>
      </c>
      <c r="I1106">
        <v>1</v>
      </c>
      <c r="J1106">
        <v>2014</v>
      </c>
      <c r="K1106" t="s">
        <v>2207</v>
      </c>
      <c r="L1106" t="str">
        <f>TEXT(maintable_2[[#This Row],[Order Date]],"mmmm")</f>
        <v>December</v>
      </c>
    </row>
    <row r="1107" spans="1:12" x14ac:dyDescent="0.3">
      <c r="A1107" s="1">
        <v>41982</v>
      </c>
      <c r="B1107" s="1">
        <v>41983</v>
      </c>
      <c r="C1107" t="s">
        <v>1232</v>
      </c>
      <c r="D1107" t="s">
        <v>44</v>
      </c>
      <c r="E1107" t="s">
        <v>1235</v>
      </c>
      <c r="F1107">
        <v>60.12</v>
      </c>
      <c r="G1107">
        <v>9</v>
      </c>
      <c r="H1107">
        <v>28.857600000000001</v>
      </c>
      <c r="I1107">
        <v>1</v>
      </c>
      <c r="J1107">
        <v>2014</v>
      </c>
      <c r="K1107" t="s">
        <v>2207</v>
      </c>
      <c r="L1107" t="str">
        <f>TEXT(maintable_2[[#This Row],[Order Date]],"mmmm")</f>
        <v>December</v>
      </c>
    </row>
    <row r="1108" spans="1:12" x14ac:dyDescent="0.3">
      <c r="A1108" s="1">
        <v>41979</v>
      </c>
      <c r="B1108" s="1">
        <v>41983</v>
      </c>
      <c r="C1108" t="s">
        <v>328</v>
      </c>
      <c r="D1108" t="s">
        <v>17</v>
      </c>
      <c r="E1108" t="s">
        <v>1236</v>
      </c>
      <c r="F1108">
        <v>24.815999999999999</v>
      </c>
      <c r="G1108">
        <v>3</v>
      </c>
      <c r="H1108">
        <v>8.3754000000000008</v>
      </c>
      <c r="I1108">
        <v>4</v>
      </c>
      <c r="J1108">
        <v>2014</v>
      </c>
      <c r="K1108" t="s">
        <v>2207</v>
      </c>
      <c r="L1108" t="str">
        <f>TEXT(maintable_2[[#This Row],[Order Date]],"mmmm")</f>
        <v>December</v>
      </c>
    </row>
    <row r="1109" spans="1:12" x14ac:dyDescent="0.3">
      <c r="A1109" s="1">
        <v>41979</v>
      </c>
      <c r="B1109" s="1">
        <v>41983</v>
      </c>
      <c r="C1109" t="s">
        <v>328</v>
      </c>
      <c r="D1109" t="s">
        <v>17</v>
      </c>
      <c r="E1109" t="s">
        <v>883</v>
      </c>
      <c r="F1109">
        <v>14.976000000000001</v>
      </c>
      <c r="G1109">
        <v>6</v>
      </c>
      <c r="H1109">
        <v>5.4287999999999998</v>
      </c>
      <c r="I1109">
        <v>4</v>
      </c>
      <c r="J1109">
        <v>2014</v>
      </c>
      <c r="K1109" t="s">
        <v>2207</v>
      </c>
      <c r="L1109" t="str">
        <f>TEXT(maintable_2[[#This Row],[Order Date]],"mmmm")</f>
        <v>December</v>
      </c>
    </row>
    <row r="1110" spans="1:12" x14ac:dyDescent="0.3">
      <c r="A1110" s="1">
        <v>41242</v>
      </c>
      <c r="B1110" s="1">
        <v>41243</v>
      </c>
      <c r="C1110" t="s">
        <v>1237</v>
      </c>
      <c r="D1110" t="s">
        <v>17</v>
      </c>
      <c r="E1110" t="s">
        <v>43</v>
      </c>
      <c r="F1110">
        <v>4.3040000000000003</v>
      </c>
      <c r="G1110">
        <v>1</v>
      </c>
      <c r="H1110">
        <v>1.5602</v>
      </c>
      <c r="I1110">
        <v>1</v>
      </c>
      <c r="J1110">
        <v>2012</v>
      </c>
      <c r="K1110" t="s">
        <v>2209</v>
      </c>
      <c r="L1110" t="str">
        <f>TEXT(maintable_2[[#This Row],[Order Date]],"mmmm")</f>
        <v>November</v>
      </c>
    </row>
    <row r="1111" spans="1:12" x14ac:dyDescent="0.3">
      <c r="A1111" s="1">
        <v>41555</v>
      </c>
      <c r="B1111" s="1">
        <v>41561</v>
      </c>
      <c r="C1111" t="s">
        <v>1238</v>
      </c>
      <c r="D1111" t="s">
        <v>17</v>
      </c>
      <c r="E1111" t="s">
        <v>1239</v>
      </c>
      <c r="F1111">
        <v>27.263999999999999</v>
      </c>
      <c r="G1111">
        <v>2</v>
      </c>
      <c r="H1111">
        <v>8.8607999999999993</v>
      </c>
      <c r="I1111">
        <v>6</v>
      </c>
      <c r="J1111">
        <v>2013</v>
      </c>
      <c r="K1111" t="s">
        <v>2209</v>
      </c>
      <c r="L1111" t="str">
        <f>TEXT(maintable_2[[#This Row],[Order Date]],"mmmm")</f>
        <v>October</v>
      </c>
    </row>
    <row r="1112" spans="1:12" x14ac:dyDescent="0.3">
      <c r="A1112" s="1">
        <v>40794</v>
      </c>
      <c r="B1112" s="1">
        <v>40800</v>
      </c>
      <c r="C1112" t="s">
        <v>1240</v>
      </c>
      <c r="D1112" t="s">
        <v>19</v>
      </c>
      <c r="E1112" t="s">
        <v>1241</v>
      </c>
      <c r="F1112">
        <v>56.65</v>
      </c>
      <c r="G1112">
        <v>5</v>
      </c>
      <c r="H1112">
        <v>24.359500000000001</v>
      </c>
      <c r="I1112">
        <v>6</v>
      </c>
      <c r="J1112">
        <v>2011</v>
      </c>
      <c r="K1112" t="s">
        <v>2209</v>
      </c>
      <c r="L1112" t="str">
        <f>TEXT(maintable_2[[#This Row],[Order Date]],"mmmm")</f>
        <v>September</v>
      </c>
    </row>
    <row r="1113" spans="1:12" x14ac:dyDescent="0.3">
      <c r="A1113" s="1">
        <v>40794</v>
      </c>
      <c r="B1113" s="1">
        <v>40800</v>
      </c>
      <c r="C1113" t="s">
        <v>1240</v>
      </c>
      <c r="D1113" t="s">
        <v>27</v>
      </c>
      <c r="E1113" t="s">
        <v>1242</v>
      </c>
      <c r="F1113">
        <v>14.97</v>
      </c>
      <c r="G1113">
        <v>1</v>
      </c>
      <c r="H1113">
        <v>4.1916000000000002</v>
      </c>
      <c r="I1113">
        <v>6</v>
      </c>
      <c r="J1113">
        <v>2011</v>
      </c>
      <c r="K1113" t="s">
        <v>2209</v>
      </c>
      <c r="L1113" t="str">
        <f>TEXT(maintable_2[[#This Row],[Order Date]],"mmmm")</f>
        <v>September</v>
      </c>
    </row>
    <row r="1114" spans="1:12" x14ac:dyDescent="0.3">
      <c r="A1114" s="1">
        <v>40794</v>
      </c>
      <c r="B1114" s="1">
        <v>40800</v>
      </c>
      <c r="C1114" t="s">
        <v>1240</v>
      </c>
      <c r="D1114" t="s">
        <v>78</v>
      </c>
      <c r="E1114" t="s">
        <v>79</v>
      </c>
      <c r="F1114">
        <v>4.0199999999999996</v>
      </c>
      <c r="G1114">
        <v>2</v>
      </c>
      <c r="H1114">
        <v>1.9698</v>
      </c>
      <c r="I1114">
        <v>6</v>
      </c>
      <c r="J1114">
        <v>2011</v>
      </c>
      <c r="K1114" t="s">
        <v>2209</v>
      </c>
      <c r="L1114" t="str">
        <f>TEXT(maintable_2[[#This Row],[Order Date]],"mmmm")</f>
        <v>September</v>
      </c>
    </row>
    <row r="1115" spans="1:12" x14ac:dyDescent="0.3">
      <c r="A1115" s="1">
        <v>41610</v>
      </c>
      <c r="B1115" s="1">
        <v>41614</v>
      </c>
      <c r="C1115" t="s">
        <v>1243</v>
      </c>
      <c r="D1115" t="s">
        <v>11</v>
      </c>
      <c r="E1115" t="s">
        <v>561</v>
      </c>
      <c r="F1115">
        <v>16.739999999999998</v>
      </c>
      <c r="G1115">
        <v>2</v>
      </c>
      <c r="H1115">
        <v>4.3524000000000003</v>
      </c>
      <c r="I1115">
        <v>4</v>
      </c>
      <c r="J1115">
        <v>2013</v>
      </c>
      <c r="K1115" t="s">
        <v>2207</v>
      </c>
      <c r="L1115" t="str">
        <f>TEXT(maintable_2[[#This Row],[Order Date]],"mmmm")</f>
        <v>December</v>
      </c>
    </row>
    <row r="1116" spans="1:12" x14ac:dyDescent="0.3">
      <c r="A1116" s="1">
        <v>40786</v>
      </c>
      <c r="B1116" s="1">
        <v>40791</v>
      </c>
      <c r="C1116" t="s">
        <v>1244</v>
      </c>
      <c r="D1116" t="s">
        <v>37</v>
      </c>
      <c r="E1116" t="s">
        <v>1245</v>
      </c>
      <c r="F1116">
        <v>92.52</v>
      </c>
      <c r="G1116">
        <v>9</v>
      </c>
      <c r="H1116">
        <v>18.504000000000001</v>
      </c>
      <c r="I1116">
        <v>5</v>
      </c>
      <c r="J1116">
        <v>2011</v>
      </c>
      <c r="K1116" t="s">
        <v>2206</v>
      </c>
      <c r="L1116" t="str">
        <f>TEXT(maintable_2[[#This Row],[Order Date]],"mmmm")</f>
        <v>August</v>
      </c>
    </row>
    <row r="1117" spans="1:12" x14ac:dyDescent="0.3">
      <c r="A1117" s="1">
        <v>41617</v>
      </c>
      <c r="B1117" s="1">
        <v>41623</v>
      </c>
      <c r="C1117" t="s">
        <v>744</v>
      </c>
      <c r="D1117" t="s">
        <v>13</v>
      </c>
      <c r="E1117" t="s">
        <v>30</v>
      </c>
      <c r="F1117">
        <v>8.56</v>
      </c>
      <c r="G1117">
        <v>2</v>
      </c>
      <c r="H1117">
        <v>2.4824000000000002</v>
      </c>
      <c r="I1117">
        <v>6</v>
      </c>
      <c r="J1117">
        <v>2013</v>
      </c>
      <c r="K1117" t="s">
        <v>2207</v>
      </c>
      <c r="L1117" t="str">
        <f>TEXT(maintable_2[[#This Row],[Order Date]],"mmmm")</f>
        <v>December</v>
      </c>
    </row>
    <row r="1118" spans="1:12" x14ac:dyDescent="0.3">
      <c r="A1118" s="1">
        <v>41617</v>
      </c>
      <c r="B1118" s="1">
        <v>41623</v>
      </c>
      <c r="C1118" t="s">
        <v>744</v>
      </c>
      <c r="D1118" t="s">
        <v>44</v>
      </c>
      <c r="E1118" t="s">
        <v>1246</v>
      </c>
      <c r="F1118">
        <v>45.36</v>
      </c>
      <c r="G1118">
        <v>7</v>
      </c>
      <c r="H1118">
        <v>21.7728</v>
      </c>
      <c r="I1118">
        <v>6</v>
      </c>
      <c r="J1118">
        <v>2013</v>
      </c>
      <c r="K1118" t="s">
        <v>2207</v>
      </c>
      <c r="L1118" t="str">
        <f>TEXT(maintable_2[[#This Row],[Order Date]],"mmmm")</f>
        <v>December</v>
      </c>
    </row>
    <row r="1119" spans="1:12" x14ac:dyDescent="0.3">
      <c r="A1119" s="1">
        <v>41617</v>
      </c>
      <c r="B1119" s="1">
        <v>41623</v>
      </c>
      <c r="C1119" t="s">
        <v>744</v>
      </c>
      <c r="D1119" t="s">
        <v>21</v>
      </c>
      <c r="E1119" t="s">
        <v>825</v>
      </c>
      <c r="F1119">
        <v>1421.664</v>
      </c>
      <c r="G1119">
        <v>6</v>
      </c>
      <c r="H1119">
        <v>-195.47880000000001</v>
      </c>
      <c r="I1119">
        <v>6</v>
      </c>
      <c r="J1119">
        <v>2013</v>
      </c>
      <c r="K1119" t="s">
        <v>2207</v>
      </c>
      <c r="L1119" t="str">
        <f>TEXT(maintable_2[[#This Row],[Order Date]],"mmmm")</f>
        <v>December</v>
      </c>
    </row>
    <row r="1120" spans="1:12" x14ac:dyDescent="0.3">
      <c r="A1120" s="1">
        <v>41495</v>
      </c>
      <c r="B1120" s="1">
        <v>41502</v>
      </c>
      <c r="C1120" t="s">
        <v>1247</v>
      </c>
      <c r="D1120" t="s">
        <v>21</v>
      </c>
      <c r="E1120" t="s">
        <v>1248</v>
      </c>
      <c r="F1120">
        <v>513.024</v>
      </c>
      <c r="G1120">
        <v>2</v>
      </c>
      <c r="H1120">
        <v>12.8256</v>
      </c>
      <c r="I1120">
        <v>7</v>
      </c>
      <c r="J1120">
        <v>2013</v>
      </c>
      <c r="K1120" t="s">
        <v>2206</v>
      </c>
      <c r="L1120" t="str">
        <f>TEXT(maintable_2[[#This Row],[Order Date]],"mmmm")</f>
        <v>August</v>
      </c>
    </row>
    <row r="1121" spans="1:12" x14ac:dyDescent="0.3">
      <c r="A1121" s="1">
        <v>41495</v>
      </c>
      <c r="B1121" s="1">
        <v>41502</v>
      </c>
      <c r="C1121" t="s">
        <v>1247</v>
      </c>
      <c r="D1121" t="s">
        <v>19</v>
      </c>
      <c r="E1121" t="s">
        <v>542</v>
      </c>
      <c r="F1121">
        <v>487.92</v>
      </c>
      <c r="G1121">
        <v>6</v>
      </c>
      <c r="H1121">
        <v>136.61760000000001</v>
      </c>
      <c r="I1121">
        <v>7</v>
      </c>
      <c r="J1121">
        <v>2013</v>
      </c>
      <c r="K1121" t="s">
        <v>2206</v>
      </c>
      <c r="L1121" t="str">
        <f>TEXT(maintable_2[[#This Row],[Order Date]],"mmmm")</f>
        <v>August</v>
      </c>
    </row>
    <row r="1122" spans="1:12" x14ac:dyDescent="0.3">
      <c r="A1122" s="1">
        <v>41495</v>
      </c>
      <c r="B1122" s="1">
        <v>41502</v>
      </c>
      <c r="C1122" t="s">
        <v>1247</v>
      </c>
      <c r="D1122" t="s">
        <v>17</v>
      </c>
      <c r="E1122" t="s">
        <v>877</v>
      </c>
      <c r="F1122">
        <v>15.24</v>
      </c>
      <c r="G1122">
        <v>5</v>
      </c>
      <c r="H1122">
        <v>5.3339999999999996</v>
      </c>
      <c r="I1122">
        <v>7</v>
      </c>
      <c r="J1122">
        <v>2013</v>
      </c>
      <c r="K1122" t="s">
        <v>2206</v>
      </c>
      <c r="L1122" t="str">
        <f>TEXT(maintable_2[[#This Row],[Order Date]],"mmmm")</f>
        <v>August</v>
      </c>
    </row>
    <row r="1123" spans="1:12" x14ac:dyDescent="0.3">
      <c r="A1123" s="1">
        <v>41009</v>
      </c>
      <c r="B1123" s="1">
        <v>41014</v>
      </c>
      <c r="C1123" t="s">
        <v>1249</v>
      </c>
      <c r="D1123" t="s">
        <v>17</v>
      </c>
      <c r="E1123" t="s">
        <v>1134</v>
      </c>
      <c r="F1123">
        <v>12.832000000000001</v>
      </c>
      <c r="G1123">
        <v>2</v>
      </c>
      <c r="H1123">
        <v>4.3308</v>
      </c>
      <c r="I1123">
        <v>5</v>
      </c>
      <c r="J1123">
        <v>2012</v>
      </c>
      <c r="K1123" t="s">
        <v>2208</v>
      </c>
      <c r="L1123" t="str">
        <f>TEXT(maintable_2[[#This Row],[Order Date]],"mmmm")</f>
        <v>April</v>
      </c>
    </row>
    <row r="1124" spans="1:12" x14ac:dyDescent="0.3">
      <c r="A1124" s="1">
        <v>41523</v>
      </c>
      <c r="B1124" s="1">
        <v>41528</v>
      </c>
      <c r="C1124" t="s">
        <v>675</v>
      </c>
      <c r="D1124" t="s">
        <v>37</v>
      </c>
      <c r="E1124" t="s">
        <v>1250</v>
      </c>
      <c r="F1124">
        <v>116</v>
      </c>
      <c r="G1124">
        <v>8</v>
      </c>
      <c r="H1124">
        <v>29</v>
      </c>
      <c r="I1124">
        <v>5</v>
      </c>
      <c r="J1124">
        <v>2013</v>
      </c>
      <c r="K1124" t="s">
        <v>2209</v>
      </c>
      <c r="L1124" t="str">
        <f>TEXT(maintable_2[[#This Row],[Order Date]],"mmmm")</f>
        <v>September</v>
      </c>
    </row>
    <row r="1125" spans="1:12" x14ac:dyDescent="0.3">
      <c r="A1125" s="1">
        <v>41450</v>
      </c>
      <c r="B1125" s="1">
        <v>41455</v>
      </c>
      <c r="C1125" t="s">
        <v>266</v>
      </c>
      <c r="D1125" t="s">
        <v>15</v>
      </c>
      <c r="E1125" t="s">
        <v>1251</v>
      </c>
      <c r="F1125">
        <v>38.24</v>
      </c>
      <c r="G1125">
        <v>4</v>
      </c>
      <c r="H1125">
        <v>-9.56</v>
      </c>
      <c r="I1125">
        <v>5</v>
      </c>
      <c r="J1125">
        <v>2013</v>
      </c>
      <c r="K1125" t="s">
        <v>2206</v>
      </c>
      <c r="L1125" t="str">
        <f>TEXT(maintable_2[[#This Row],[Order Date]],"mmmm")</f>
        <v>June</v>
      </c>
    </row>
    <row r="1126" spans="1:12" x14ac:dyDescent="0.3">
      <c r="A1126" s="1">
        <v>40651</v>
      </c>
      <c r="B1126" s="1">
        <v>40656</v>
      </c>
      <c r="C1126" t="s">
        <v>320</v>
      </c>
      <c r="D1126" t="s">
        <v>494</v>
      </c>
      <c r="E1126" t="s">
        <v>1252</v>
      </c>
      <c r="F1126">
        <v>287.96800000000002</v>
      </c>
      <c r="G1126">
        <v>4</v>
      </c>
      <c r="H1126">
        <v>97.1892</v>
      </c>
      <c r="I1126">
        <v>5</v>
      </c>
      <c r="J1126">
        <v>2011</v>
      </c>
      <c r="K1126" t="s">
        <v>2208</v>
      </c>
      <c r="L1126" t="str">
        <f>TEXT(maintable_2[[#This Row],[Order Date]],"mmmm")</f>
        <v>April</v>
      </c>
    </row>
    <row r="1127" spans="1:12" x14ac:dyDescent="0.3">
      <c r="A1127" s="1">
        <v>40651</v>
      </c>
      <c r="B1127" s="1">
        <v>40656</v>
      </c>
      <c r="C1127" t="s">
        <v>320</v>
      </c>
      <c r="D1127" t="s">
        <v>13</v>
      </c>
      <c r="E1127" t="s">
        <v>924</v>
      </c>
      <c r="F1127">
        <v>13.12</v>
      </c>
      <c r="G1127">
        <v>4</v>
      </c>
      <c r="H1127">
        <v>3.8048000000000002</v>
      </c>
      <c r="I1127">
        <v>5</v>
      </c>
      <c r="J1127">
        <v>2011</v>
      </c>
      <c r="K1127" t="s">
        <v>2208</v>
      </c>
      <c r="L1127" t="str">
        <f>TEXT(maintable_2[[#This Row],[Order Date]],"mmmm")</f>
        <v>April</v>
      </c>
    </row>
    <row r="1128" spans="1:12" x14ac:dyDescent="0.3">
      <c r="A1128" s="1">
        <v>40651</v>
      </c>
      <c r="B1128" s="1">
        <v>40656</v>
      </c>
      <c r="C1128" t="s">
        <v>320</v>
      </c>
      <c r="D1128" t="s">
        <v>13</v>
      </c>
      <c r="E1128" t="s">
        <v>1253</v>
      </c>
      <c r="F1128">
        <v>10.75</v>
      </c>
      <c r="G1128">
        <v>5</v>
      </c>
      <c r="H1128">
        <v>3.5474999999999999</v>
      </c>
      <c r="I1128">
        <v>5</v>
      </c>
      <c r="J1128">
        <v>2011</v>
      </c>
      <c r="K1128" t="s">
        <v>2208</v>
      </c>
      <c r="L1128" t="str">
        <f>TEXT(maintable_2[[#This Row],[Order Date]],"mmmm")</f>
        <v>April</v>
      </c>
    </row>
    <row r="1129" spans="1:12" x14ac:dyDescent="0.3">
      <c r="A1129" s="1">
        <v>40651</v>
      </c>
      <c r="B1129" s="1">
        <v>40656</v>
      </c>
      <c r="C1129" t="s">
        <v>320</v>
      </c>
      <c r="D1129" t="s">
        <v>78</v>
      </c>
      <c r="E1129" t="s">
        <v>1254</v>
      </c>
      <c r="F1129">
        <v>11.62</v>
      </c>
      <c r="G1129">
        <v>2</v>
      </c>
      <c r="H1129">
        <v>3.6021999999999998</v>
      </c>
      <c r="I1129">
        <v>5</v>
      </c>
      <c r="J1129">
        <v>2011</v>
      </c>
      <c r="K1129" t="s">
        <v>2208</v>
      </c>
      <c r="L1129" t="str">
        <f>TEXT(maintable_2[[#This Row],[Order Date]],"mmmm")</f>
        <v>April</v>
      </c>
    </row>
    <row r="1130" spans="1:12" x14ac:dyDescent="0.3">
      <c r="A1130" s="1">
        <v>40625</v>
      </c>
      <c r="B1130" s="1">
        <v>40628</v>
      </c>
      <c r="C1130" t="s">
        <v>1255</v>
      </c>
      <c r="D1130" t="s">
        <v>27</v>
      </c>
      <c r="E1130" t="s">
        <v>321</v>
      </c>
      <c r="F1130">
        <v>330.4</v>
      </c>
      <c r="G1130">
        <v>2</v>
      </c>
      <c r="H1130">
        <v>85.903999999999996</v>
      </c>
      <c r="I1130">
        <v>3</v>
      </c>
      <c r="J1130">
        <v>2011</v>
      </c>
      <c r="K1130" t="s">
        <v>2208</v>
      </c>
      <c r="L1130" t="str">
        <f>TEXT(maintable_2[[#This Row],[Order Date]],"mmmm")</f>
        <v>March</v>
      </c>
    </row>
    <row r="1131" spans="1:12" x14ac:dyDescent="0.3">
      <c r="A1131" s="1">
        <v>40625</v>
      </c>
      <c r="B1131" s="1">
        <v>40628</v>
      </c>
      <c r="C1131" t="s">
        <v>1255</v>
      </c>
      <c r="D1131" t="s">
        <v>15</v>
      </c>
      <c r="E1131" t="s">
        <v>1256</v>
      </c>
      <c r="F1131">
        <v>604.75199999999995</v>
      </c>
      <c r="G1131">
        <v>6</v>
      </c>
      <c r="H1131">
        <v>37.796999999999997</v>
      </c>
      <c r="I1131">
        <v>3</v>
      </c>
      <c r="J1131">
        <v>2011</v>
      </c>
      <c r="K1131" t="s">
        <v>2208</v>
      </c>
      <c r="L1131" t="str">
        <f>TEXT(maintable_2[[#This Row],[Order Date]],"mmmm")</f>
        <v>March</v>
      </c>
    </row>
    <row r="1132" spans="1:12" x14ac:dyDescent="0.3">
      <c r="A1132" s="1">
        <v>41975</v>
      </c>
      <c r="B1132" s="1">
        <v>41979</v>
      </c>
      <c r="C1132" t="s">
        <v>171</v>
      </c>
      <c r="D1132" t="s">
        <v>44</v>
      </c>
      <c r="E1132" t="s">
        <v>1257</v>
      </c>
      <c r="F1132">
        <v>45.36</v>
      </c>
      <c r="G1132">
        <v>7</v>
      </c>
      <c r="H1132">
        <v>21.7728</v>
      </c>
      <c r="I1132">
        <v>4</v>
      </c>
      <c r="J1132">
        <v>2014</v>
      </c>
      <c r="K1132" t="s">
        <v>2207</v>
      </c>
      <c r="L1132" t="str">
        <f>TEXT(maintable_2[[#This Row],[Order Date]],"mmmm")</f>
        <v>December</v>
      </c>
    </row>
    <row r="1133" spans="1:12" x14ac:dyDescent="0.3">
      <c r="A1133" s="1">
        <v>41975</v>
      </c>
      <c r="B1133" s="1">
        <v>41979</v>
      </c>
      <c r="C1133" t="s">
        <v>171</v>
      </c>
      <c r="D1133" t="s">
        <v>17</v>
      </c>
      <c r="E1133" t="s">
        <v>1258</v>
      </c>
      <c r="F1133">
        <v>10.128</v>
      </c>
      <c r="G1133">
        <v>2</v>
      </c>
      <c r="H1133">
        <v>3.6714000000000002</v>
      </c>
      <c r="I1133">
        <v>4</v>
      </c>
      <c r="J1133">
        <v>2014</v>
      </c>
      <c r="K1133" t="s">
        <v>2207</v>
      </c>
      <c r="L1133" t="str">
        <f>TEXT(maintable_2[[#This Row],[Order Date]],"mmmm")</f>
        <v>December</v>
      </c>
    </row>
    <row r="1134" spans="1:12" x14ac:dyDescent="0.3">
      <c r="A1134" s="1">
        <v>41951</v>
      </c>
      <c r="B1134" s="1">
        <v>41956</v>
      </c>
      <c r="C1134" t="s">
        <v>1259</v>
      </c>
      <c r="D1134" t="s">
        <v>17</v>
      </c>
      <c r="E1134" t="s">
        <v>896</v>
      </c>
      <c r="F1134">
        <v>21.792000000000002</v>
      </c>
      <c r="G1134">
        <v>4</v>
      </c>
      <c r="H1134">
        <v>7.6272000000000002</v>
      </c>
      <c r="I1134">
        <v>5</v>
      </c>
      <c r="J1134">
        <v>2014</v>
      </c>
      <c r="K1134" t="s">
        <v>2209</v>
      </c>
      <c r="L1134" t="str">
        <f>TEXT(maintable_2[[#This Row],[Order Date]],"mmmm")</f>
        <v>November</v>
      </c>
    </row>
    <row r="1135" spans="1:12" x14ac:dyDescent="0.3">
      <c r="A1135" s="1">
        <v>41951</v>
      </c>
      <c r="B1135" s="1">
        <v>41956</v>
      </c>
      <c r="C1135" t="s">
        <v>1259</v>
      </c>
      <c r="D1135" t="s">
        <v>37</v>
      </c>
      <c r="E1135" t="s">
        <v>1260</v>
      </c>
      <c r="F1135">
        <v>439.8</v>
      </c>
      <c r="G1135">
        <v>4</v>
      </c>
      <c r="H1135">
        <v>145.13399999999999</v>
      </c>
      <c r="I1135">
        <v>5</v>
      </c>
      <c r="J1135">
        <v>2014</v>
      </c>
      <c r="K1135" t="s">
        <v>2209</v>
      </c>
      <c r="L1135" t="str">
        <f>TEXT(maintable_2[[#This Row],[Order Date]],"mmmm")</f>
        <v>November</v>
      </c>
    </row>
    <row r="1136" spans="1:12" x14ac:dyDescent="0.3">
      <c r="A1136" s="1">
        <v>41459</v>
      </c>
      <c r="B1136" s="1">
        <v>41462</v>
      </c>
      <c r="C1136" t="s">
        <v>1261</v>
      </c>
      <c r="D1136" t="s">
        <v>44</v>
      </c>
      <c r="E1136" t="s">
        <v>1262</v>
      </c>
      <c r="F1136">
        <v>12.96</v>
      </c>
      <c r="G1136">
        <v>2</v>
      </c>
      <c r="H1136">
        <v>6.2207999999999997</v>
      </c>
      <c r="I1136">
        <v>3</v>
      </c>
      <c r="J1136">
        <v>2013</v>
      </c>
      <c r="K1136" t="s">
        <v>2206</v>
      </c>
      <c r="L1136" t="str">
        <f>TEXT(maintable_2[[#This Row],[Order Date]],"mmmm")</f>
        <v>July</v>
      </c>
    </row>
    <row r="1137" spans="1:12" x14ac:dyDescent="0.3">
      <c r="A1137" s="1">
        <v>41459</v>
      </c>
      <c r="B1137" s="1">
        <v>41462</v>
      </c>
      <c r="C1137" t="s">
        <v>1261</v>
      </c>
      <c r="D1137" t="s">
        <v>78</v>
      </c>
      <c r="E1137" t="s">
        <v>1263</v>
      </c>
      <c r="F1137">
        <v>3.96</v>
      </c>
      <c r="G1137">
        <v>2</v>
      </c>
      <c r="H1137">
        <v>7.9200000000000007E-2</v>
      </c>
      <c r="I1137">
        <v>3</v>
      </c>
      <c r="J1137">
        <v>2013</v>
      </c>
      <c r="K1137" t="s">
        <v>2206</v>
      </c>
      <c r="L1137" t="str">
        <f>TEXT(maintable_2[[#This Row],[Order Date]],"mmmm")</f>
        <v>July</v>
      </c>
    </row>
    <row r="1138" spans="1:12" x14ac:dyDescent="0.3">
      <c r="A1138" s="1">
        <v>41824</v>
      </c>
      <c r="B1138" s="1">
        <v>41824</v>
      </c>
      <c r="C1138" t="s">
        <v>1264</v>
      </c>
      <c r="D1138" t="s">
        <v>37</v>
      </c>
      <c r="E1138" t="s">
        <v>135</v>
      </c>
      <c r="F1138">
        <v>59.98</v>
      </c>
      <c r="G1138">
        <v>2</v>
      </c>
      <c r="H1138">
        <v>26.391200000000001</v>
      </c>
      <c r="I1138">
        <v>0</v>
      </c>
      <c r="J1138">
        <v>2014</v>
      </c>
      <c r="K1138" t="s">
        <v>2206</v>
      </c>
      <c r="L1138" t="str">
        <f>TEXT(maintable_2[[#This Row],[Order Date]],"mmmm")</f>
        <v>July</v>
      </c>
    </row>
    <row r="1139" spans="1:12" x14ac:dyDescent="0.3">
      <c r="A1139" s="1">
        <v>41824</v>
      </c>
      <c r="B1139" s="1">
        <v>41824</v>
      </c>
      <c r="C1139" t="s">
        <v>1264</v>
      </c>
      <c r="D1139" t="s">
        <v>494</v>
      </c>
      <c r="E1139" t="s">
        <v>1265</v>
      </c>
      <c r="F1139">
        <v>2395.1999999999998</v>
      </c>
      <c r="G1139">
        <v>6</v>
      </c>
      <c r="H1139">
        <v>209.58</v>
      </c>
      <c r="I1139">
        <v>0</v>
      </c>
      <c r="J1139">
        <v>2014</v>
      </c>
      <c r="K1139" t="s">
        <v>2206</v>
      </c>
      <c r="L1139" t="str">
        <f>TEXT(maintable_2[[#This Row],[Order Date]],"mmmm")</f>
        <v>July</v>
      </c>
    </row>
    <row r="1140" spans="1:12" x14ac:dyDescent="0.3">
      <c r="A1140" s="1">
        <v>41824</v>
      </c>
      <c r="B1140" s="1">
        <v>41824</v>
      </c>
      <c r="C1140" t="s">
        <v>1264</v>
      </c>
      <c r="D1140" t="s">
        <v>37</v>
      </c>
      <c r="E1140" t="s">
        <v>685</v>
      </c>
      <c r="F1140">
        <v>1687.8</v>
      </c>
      <c r="G1140">
        <v>4</v>
      </c>
      <c r="H1140">
        <v>742.63199999999995</v>
      </c>
      <c r="I1140">
        <v>0</v>
      </c>
      <c r="J1140">
        <v>2014</v>
      </c>
      <c r="K1140" t="s">
        <v>2206</v>
      </c>
      <c r="L1140" t="str">
        <f>TEXT(maintable_2[[#This Row],[Order Date]],"mmmm")</f>
        <v>July</v>
      </c>
    </row>
    <row r="1141" spans="1:12" x14ac:dyDescent="0.3">
      <c r="A1141" s="1">
        <v>41824</v>
      </c>
      <c r="B1141" s="1">
        <v>41824</v>
      </c>
      <c r="C1141" t="s">
        <v>1264</v>
      </c>
      <c r="D1141" t="s">
        <v>15</v>
      </c>
      <c r="E1141" t="s">
        <v>956</v>
      </c>
      <c r="F1141">
        <v>7.992</v>
      </c>
      <c r="G1141">
        <v>1</v>
      </c>
      <c r="H1141">
        <v>2.6972999999999998</v>
      </c>
      <c r="I1141">
        <v>0</v>
      </c>
      <c r="J1141">
        <v>2014</v>
      </c>
      <c r="K1141" t="s">
        <v>2206</v>
      </c>
      <c r="L1141" t="str">
        <f>TEXT(maintable_2[[#This Row],[Order Date]],"mmmm")</f>
        <v>July</v>
      </c>
    </row>
    <row r="1142" spans="1:12" x14ac:dyDescent="0.3">
      <c r="A1142" s="1">
        <v>41433</v>
      </c>
      <c r="B1142" s="1">
        <v>41437</v>
      </c>
      <c r="C1142" t="s">
        <v>112</v>
      </c>
      <c r="D1142" t="s">
        <v>17</v>
      </c>
      <c r="E1142" t="s">
        <v>1266</v>
      </c>
      <c r="F1142">
        <v>4.7839999999999998</v>
      </c>
      <c r="G1142">
        <v>1</v>
      </c>
      <c r="H1142">
        <v>1.5548</v>
      </c>
      <c r="I1142">
        <v>4</v>
      </c>
      <c r="J1142">
        <v>2013</v>
      </c>
      <c r="K1142" t="s">
        <v>2206</v>
      </c>
      <c r="L1142" t="str">
        <f>TEXT(maintable_2[[#This Row],[Order Date]],"mmmm")</f>
        <v>June</v>
      </c>
    </row>
    <row r="1143" spans="1:12" x14ac:dyDescent="0.3">
      <c r="A1143" s="1">
        <v>41433</v>
      </c>
      <c r="B1143" s="1">
        <v>41437</v>
      </c>
      <c r="C1143" t="s">
        <v>112</v>
      </c>
      <c r="D1143" t="s">
        <v>44</v>
      </c>
      <c r="E1143" t="s">
        <v>1267</v>
      </c>
      <c r="F1143">
        <v>4.7300000000000004</v>
      </c>
      <c r="G1143">
        <v>1</v>
      </c>
      <c r="H1143">
        <v>2.3176999999999999</v>
      </c>
      <c r="I1143">
        <v>4</v>
      </c>
      <c r="J1143">
        <v>2013</v>
      </c>
      <c r="K1143" t="s">
        <v>2206</v>
      </c>
      <c r="L1143" t="str">
        <f>TEXT(maintable_2[[#This Row],[Order Date]],"mmmm")</f>
        <v>June</v>
      </c>
    </row>
    <row r="1144" spans="1:12" x14ac:dyDescent="0.3">
      <c r="A1144" s="1">
        <v>41886</v>
      </c>
      <c r="B1144" s="1">
        <v>41891</v>
      </c>
      <c r="C1144" t="s">
        <v>1008</v>
      </c>
      <c r="D1144" t="s">
        <v>13</v>
      </c>
      <c r="E1144" t="s">
        <v>51</v>
      </c>
      <c r="F1144">
        <v>5.96</v>
      </c>
      <c r="G1144">
        <v>2</v>
      </c>
      <c r="H1144">
        <v>1.6688000000000001</v>
      </c>
      <c r="I1144">
        <v>5</v>
      </c>
      <c r="J1144">
        <v>2014</v>
      </c>
      <c r="K1144" t="s">
        <v>2209</v>
      </c>
      <c r="L1144" t="str">
        <f>TEXT(maintable_2[[#This Row],[Order Date]],"mmmm")</f>
        <v>September</v>
      </c>
    </row>
    <row r="1145" spans="1:12" x14ac:dyDescent="0.3">
      <c r="A1145" s="1">
        <v>41817</v>
      </c>
      <c r="B1145" s="1">
        <v>41821</v>
      </c>
      <c r="C1145" t="s">
        <v>527</v>
      </c>
      <c r="D1145" t="s">
        <v>37</v>
      </c>
      <c r="E1145" t="s">
        <v>1268</v>
      </c>
      <c r="F1145">
        <v>431.928</v>
      </c>
      <c r="G1145">
        <v>9</v>
      </c>
      <c r="H1145">
        <v>64.789199999999994</v>
      </c>
      <c r="I1145">
        <v>4</v>
      </c>
      <c r="J1145">
        <v>2014</v>
      </c>
      <c r="K1145" t="s">
        <v>2206</v>
      </c>
      <c r="L1145" t="str">
        <f>TEXT(maintable_2[[#This Row],[Order Date]],"mmmm")</f>
        <v>June</v>
      </c>
    </row>
    <row r="1146" spans="1:12" x14ac:dyDescent="0.3">
      <c r="A1146" s="1">
        <v>41887</v>
      </c>
      <c r="B1146" s="1">
        <v>41891</v>
      </c>
      <c r="C1146" t="s">
        <v>1269</v>
      </c>
      <c r="D1146" t="s">
        <v>17</v>
      </c>
      <c r="E1146" t="s">
        <v>772</v>
      </c>
      <c r="F1146">
        <v>487.98399999999998</v>
      </c>
      <c r="G1146">
        <v>2</v>
      </c>
      <c r="H1146">
        <v>152.495</v>
      </c>
      <c r="I1146">
        <v>4</v>
      </c>
      <c r="J1146">
        <v>2014</v>
      </c>
      <c r="K1146" t="s">
        <v>2209</v>
      </c>
      <c r="L1146" t="str">
        <f>TEXT(maintable_2[[#This Row],[Order Date]],"mmmm")</f>
        <v>September</v>
      </c>
    </row>
    <row r="1147" spans="1:12" x14ac:dyDescent="0.3">
      <c r="A1147" s="1">
        <v>41887</v>
      </c>
      <c r="B1147" s="1">
        <v>41891</v>
      </c>
      <c r="C1147" t="s">
        <v>1269</v>
      </c>
      <c r="D1147" t="s">
        <v>15</v>
      </c>
      <c r="E1147" t="s">
        <v>1270</v>
      </c>
      <c r="F1147">
        <v>5.56</v>
      </c>
      <c r="G1147">
        <v>1</v>
      </c>
      <c r="H1147">
        <v>1.7375</v>
      </c>
      <c r="I1147">
        <v>4</v>
      </c>
      <c r="J1147">
        <v>2014</v>
      </c>
      <c r="K1147" t="s">
        <v>2209</v>
      </c>
      <c r="L1147" t="str">
        <f>TEXT(maintable_2[[#This Row],[Order Date]],"mmmm")</f>
        <v>September</v>
      </c>
    </row>
    <row r="1148" spans="1:12" x14ac:dyDescent="0.3">
      <c r="A1148" s="1">
        <v>41887</v>
      </c>
      <c r="B1148" s="1">
        <v>41891</v>
      </c>
      <c r="C1148" t="s">
        <v>1269</v>
      </c>
      <c r="D1148" t="s">
        <v>27</v>
      </c>
      <c r="E1148" t="s">
        <v>69</v>
      </c>
      <c r="F1148">
        <v>217.85</v>
      </c>
      <c r="G1148">
        <v>5</v>
      </c>
      <c r="H1148">
        <v>65.355000000000004</v>
      </c>
      <c r="I1148">
        <v>4</v>
      </c>
      <c r="J1148">
        <v>2014</v>
      </c>
      <c r="K1148" t="s">
        <v>2209</v>
      </c>
      <c r="L1148" t="str">
        <f>TEXT(maintable_2[[#This Row],[Order Date]],"mmmm")</f>
        <v>September</v>
      </c>
    </row>
    <row r="1149" spans="1:12" x14ac:dyDescent="0.3">
      <c r="A1149" s="1">
        <v>41779</v>
      </c>
      <c r="B1149" s="1">
        <v>41781</v>
      </c>
      <c r="C1149" t="s">
        <v>927</v>
      </c>
      <c r="D1149" t="s">
        <v>71</v>
      </c>
      <c r="E1149" t="s">
        <v>368</v>
      </c>
      <c r="F1149">
        <v>681.40800000000002</v>
      </c>
      <c r="G1149">
        <v>12</v>
      </c>
      <c r="H1149">
        <v>42.588000000000001</v>
      </c>
      <c r="I1149">
        <v>2</v>
      </c>
      <c r="J1149">
        <v>2014</v>
      </c>
      <c r="K1149" t="s">
        <v>2208</v>
      </c>
      <c r="L1149" t="str">
        <f>TEXT(maintable_2[[#This Row],[Order Date]],"mmmm")</f>
        <v>May</v>
      </c>
    </row>
    <row r="1150" spans="1:12" x14ac:dyDescent="0.3">
      <c r="A1150" s="1">
        <v>41779</v>
      </c>
      <c r="B1150" s="1">
        <v>41781</v>
      </c>
      <c r="C1150" t="s">
        <v>927</v>
      </c>
      <c r="D1150" t="s">
        <v>13</v>
      </c>
      <c r="E1150" t="s">
        <v>653</v>
      </c>
      <c r="F1150">
        <v>3.52</v>
      </c>
      <c r="G1150">
        <v>2</v>
      </c>
      <c r="H1150">
        <v>1.0207999999999999</v>
      </c>
      <c r="I1150">
        <v>2</v>
      </c>
      <c r="J1150">
        <v>2014</v>
      </c>
      <c r="K1150" t="s">
        <v>2208</v>
      </c>
      <c r="L1150" t="str">
        <f>TEXT(maintable_2[[#This Row],[Order Date]],"mmmm")</f>
        <v>May</v>
      </c>
    </row>
    <row r="1151" spans="1:12" x14ac:dyDescent="0.3">
      <c r="A1151" s="1">
        <v>41779</v>
      </c>
      <c r="B1151" s="1">
        <v>41781</v>
      </c>
      <c r="C1151" t="s">
        <v>927</v>
      </c>
      <c r="D1151" t="s">
        <v>13</v>
      </c>
      <c r="E1151" t="s">
        <v>1271</v>
      </c>
      <c r="F1151">
        <v>5.58</v>
      </c>
      <c r="G1151">
        <v>1</v>
      </c>
      <c r="H1151">
        <v>1.395</v>
      </c>
      <c r="I1151">
        <v>2</v>
      </c>
      <c r="J1151">
        <v>2014</v>
      </c>
      <c r="K1151" t="s">
        <v>2208</v>
      </c>
      <c r="L1151" t="str">
        <f>TEXT(maintable_2[[#This Row],[Order Date]],"mmmm")</f>
        <v>May</v>
      </c>
    </row>
    <row r="1152" spans="1:12" x14ac:dyDescent="0.3">
      <c r="A1152" s="1">
        <v>41779</v>
      </c>
      <c r="B1152" s="1">
        <v>41781</v>
      </c>
      <c r="C1152" t="s">
        <v>927</v>
      </c>
      <c r="D1152" t="s">
        <v>37</v>
      </c>
      <c r="E1152" t="s">
        <v>743</v>
      </c>
      <c r="F1152">
        <v>36.32</v>
      </c>
      <c r="G1152">
        <v>1</v>
      </c>
      <c r="H1152">
        <v>10.896000000000001</v>
      </c>
      <c r="I1152">
        <v>2</v>
      </c>
      <c r="J1152">
        <v>2014</v>
      </c>
      <c r="K1152" t="s">
        <v>2208</v>
      </c>
      <c r="L1152" t="str">
        <f>TEXT(maintable_2[[#This Row],[Order Date]],"mmmm")</f>
        <v>May</v>
      </c>
    </row>
    <row r="1153" spans="1:12" x14ac:dyDescent="0.3">
      <c r="A1153" s="1">
        <v>40764</v>
      </c>
      <c r="B1153" s="1">
        <v>40768</v>
      </c>
      <c r="C1153" t="s">
        <v>212</v>
      </c>
      <c r="D1153" t="s">
        <v>17</v>
      </c>
      <c r="E1153" t="s">
        <v>1272</v>
      </c>
      <c r="F1153">
        <v>2060.7440000000001</v>
      </c>
      <c r="G1153">
        <v>7</v>
      </c>
      <c r="H1153">
        <v>643.98249999999996</v>
      </c>
      <c r="I1153">
        <v>4</v>
      </c>
      <c r="J1153">
        <v>2011</v>
      </c>
      <c r="K1153" t="s">
        <v>2206</v>
      </c>
      <c r="L1153" t="str">
        <f>TEXT(maintable_2[[#This Row],[Order Date]],"mmmm")</f>
        <v>August</v>
      </c>
    </row>
    <row r="1154" spans="1:12" x14ac:dyDescent="0.3">
      <c r="A1154" s="1">
        <v>41763</v>
      </c>
      <c r="B1154" s="1">
        <v>41768</v>
      </c>
      <c r="C1154" t="s">
        <v>1273</v>
      </c>
      <c r="D1154" t="s">
        <v>27</v>
      </c>
      <c r="E1154" t="s">
        <v>1274</v>
      </c>
      <c r="F1154">
        <v>69.52</v>
      </c>
      <c r="G1154">
        <v>2</v>
      </c>
      <c r="H1154">
        <v>19.465599999999998</v>
      </c>
      <c r="I1154">
        <v>5</v>
      </c>
      <c r="J1154">
        <v>2014</v>
      </c>
      <c r="K1154" t="s">
        <v>2208</v>
      </c>
      <c r="L1154" t="str">
        <f>TEXT(maintable_2[[#This Row],[Order Date]],"mmmm")</f>
        <v>May</v>
      </c>
    </row>
    <row r="1155" spans="1:12" x14ac:dyDescent="0.3">
      <c r="A1155" s="1">
        <v>41763</v>
      </c>
      <c r="B1155" s="1">
        <v>41768</v>
      </c>
      <c r="C1155" t="s">
        <v>1273</v>
      </c>
      <c r="D1155" t="s">
        <v>27</v>
      </c>
      <c r="E1155" t="s">
        <v>1275</v>
      </c>
      <c r="F1155">
        <v>763.44</v>
      </c>
      <c r="G1155">
        <v>8</v>
      </c>
      <c r="H1155">
        <v>45.806399999999996</v>
      </c>
      <c r="I1155">
        <v>5</v>
      </c>
      <c r="J1155">
        <v>2014</v>
      </c>
      <c r="K1155" t="s">
        <v>2208</v>
      </c>
      <c r="L1155" t="str">
        <f>TEXT(maintable_2[[#This Row],[Order Date]],"mmmm")</f>
        <v>May</v>
      </c>
    </row>
    <row r="1156" spans="1:12" x14ac:dyDescent="0.3">
      <c r="A1156" s="1">
        <v>40897</v>
      </c>
      <c r="B1156" s="1">
        <v>40900</v>
      </c>
      <c r="C1156" t="s">
        <v>637</v>
      </c>
      <c r="D1156" t="s">
        <v>17</v>
      </c>
      <c r="E1156" t="s">
        <v>772</v>
      </c>
      <c r="F1156">
        <v>487.98399999999998</v>
      </c>
      <c r="G1156">
        <v>2</v>
      </c>
      <c r="H1156">
        <v>152.495</v>
      </c>
      <c r="I1156">
        <v>3</v>
      </c>
      <c r="J1156">
        <v>2011</v>
      </c>
      <c r="K1156" t="s">
        <v>2207</v>
      </c>
      <c r="L1156" t="str">
        <f>TEXT(maintable_2[[#This Row],[Order Date]],"mmmm")</f>
        <v>December</v>
      </c>
    </row>
    <row r="1157" spans="1:12" x14ac:dyDescent="0.3">
      <c r="A1157" s="1">
        <v>40897</v>
      </c>
      <c r="B1157" s="1">
        <v>40900</v>
      </c>
      <c r="C1157" t="s">
        <v>637</v>
      </c>
      <c r="D1157" t="s">
        <v>13</v>
      </c>
      <c r="E1157" t="s">
        <v>1276</v>
      </c>
      <c r="F1157">
        <v>47.3</v>
      </c>
      <c r="G1157">
        <v>2</v>
      </c>
      <c r="H1157">
        <v>12.298</v>
      </c>
      <c r="I1157">
        <v>3</v>
      </c>
      <c r="J1157">
        <v>2011</v>
      </c>
      <c r="K1157" t="s">
        <v>2207</v>
      </c>
      <c r="L1157" t="str">
        <f>TEXT(maintable_2[[#This Row],[Order Date]],"mmmm")</f>
        <v>December</v>
      </c>
    </row>
    <row r="1158" spans="1:12" x14ac:dyDescent="0.3">
      <c r="A1158" s="1">
        <v>40897</v>
      </c>
      <c r="B1158" s="1">
        <v>40900</v>
      </c>
      <c r="C1158" t="s">
        <v>637</v>
      </c>
      <c r="D1158" t="s">
        <v>13</v>
      </c>
      <c r="E1158" t="s">
        <v>1277</v>
      </c>
      <c r="F1158">
        <v>4.13</v>
      </c>
      <c r="G1158">
        <v>1</v>
      </c>
      <c r="H1158">
        <v>1.1564000000000001</v>
      </c>
      <c r="I1158">
        <v>3</v>
      </c>
      <c r="J1158">
        <v>2011</v>
      </c>
      <c r="K1158" t="s">
        <v>2207</v>
      </c>
      <c r="L1158" t="str">
        <f>TEXT(maintable_2[[#This Row],[Order Date]],"mmmm")</f>
        <v>December</v>
      </c>
    </row>
    <row r="1159" spans="1:12" x14ac:dyDescent="0.3">
      <c r="A1159" s="1">
        <v>40897</v>
      </c>
      <c r="B1159" s="1">
        <v>40900</v>
      </c>
      <c r="C1159" t="s">
        <v>637</v>
      </c>
      <c r="D1159" t="s">
        <v>17</v>
      </c>
      <c r="E1159" t="s">
        <v>1278</v>
      </c>
      <c r="F1159">
        <v>155.12</v>
      </c>
      <c r="G1159">
        <v>5</v>
      </c>
      <c r="H1159">
        <v>50.414000000000001</v>
      </c>
      <c r="I1159">
        <v>3</v>
      </c>
      <c r="J1159">
        <v>2011</v>
      </c>
      <c r="K1159" t="s">
        <v>2207</v>
      </c>
      <c r="L1159" t="str">
        <f>TEXT(maintable_2[[#This Row],[Order Date]],"mmmm")</f>
        <v>December</v>
      </c>
    </row>
    <row r="1160" spans="1:12" x14ac:dyDescent="0.3">
      <c r="A1160" s="1">
        <v>40749</v>
      </c>
      <c r="B1160" s="1">
        <v>40751</v>
      </c>
      <c r="C1160" t="s">
        <v>1279</v>
      </c>
      <c r="D1160" t="s">
        <v>44</v>
      </c>
      <c r="E1160" t="s">
        <v>1280</v>
      </c>
      <c r="F1160">
        <v>6.48</v>
      </c>
      <c r="G1160">
        <v>1</v>
      </c>
      <c r="H1160">
        <v>3.1751999999999998</v>
      </c>
      <c r="I1160">
        <v>2</v>
      </c>
      <c r="J1160">
        <v>2011</v>
      </c>
      <c r="K1160" t="s">
        <v>2206</v>
      </c>
      <c r="L1160" t="str">
        <f>TEXT(maintable_2[[#This Row],[Order Date]],"mmmm")</f>
        <v>July</v>
      </c>
    </row>
    <row r="1161" spans="1:12" x14ac:dyDescent="0.3">
      <c r="A1161" s="1">
        <v>40749</v>
      </c>
      <c r="B1161" s="1">
        <v>40751</v>
      </c>
      <c r="C1161" t="s">
        <v>1279</v>
      </c>
      <c r="D1161" t="s">
        <v>81</v>
      </c>
      <c r="E1161" t="s">
        <v>1281</v>
      </c>
      <c r="F1161">
        <v>15.52</v>
      </c>
      <c r="G1161">
        <v>4</v>
      </c>
      <c r="H1161">
        <v>4.5007999999999999</v>
      </c>
      <c r="I1161">
        <v>2</v>
      </c>
      <c r="J1161">
        <v>2011</v>
      </c>
      <c r="K1161" t="s">
        <v>2206</v>
      </c>
      <c r="L1161" t="str">
        <f>TEXT(maintable_2[[#This Row],[Order Date]],"mmmm")</f>
        <v>July</v>
      </c>
    </row>
    <row r="1162" spans="1:12" x14ac:dyDescent="0.3">
      <c r="A1162" s="1">
        <v>41474</v>
      </c>
      <c r="B1162" s="1">
        <v>41479</v>
      </c>
      <c r="C1162" t="s">
        <v>1282</v>
      </c>
      <c r="D1162" t="s">
        <v>81</v>
      </c>
      <c r="E1162" t="s">
        <v>1283</v>
      </c>
      <c r="F1162">
        <v>33.799999999999997</v>
      </c>
      <c r="G1162">
        <v>5</v>
      </c>
      <c r="H1162">
        <v>4.2249999999999996</v>
      </c>
      <c r="I1162">
        <v>5</v>
      </c>
      <c r="J1162">
        <v>2013</v>
      </c>
      <c r="K1162" t="s">
        <v>2206</v>
      </c>
      <c r="L1162" t="str">
        <f>TEXT(maintable_2[[#This Row],[Order Date]],"mmmm")</f>
        <v>July</v>
      </c>
    </row>
    <row r="1163" spans="1:12" x14ac:dyDescent="0.3">
      <c r="A1163" s="1">
        <v>40885</v>
      </c>
      <c r="B1163" s="1">
        <v>40890</v>
      </c>
      <c r="C1163" t="s">
        <v>1238</v>
      </c>
      <c r="D1163" t="s">
        <v>8</v>
      </c>
      <c r="E1163" t="s">
        <v>366</v>
      </c>
      <c r="F1163">
        <v>27.888000000000002</v>
      </c>
      <c r="G1163">
        <v>7</v>
      </c>
      <c r="H1163">
        <v>9.0635999999999992</v>
      </c>
      <c r="I1163">
        <v>5</v>
      </c>
      <c r="J1163">
        <v>2011</v>
      </c>
      <c r="K1163" t="s">
        <v>2207</v>
      </c>
      <c r="L1163" t="str">
        <f>TEXT(maintable_2[[#This Row],[Order Date]],"mmmm")</f>
        <v>December</v>
      </c>
    </row>
    <row r="1164" spans="1:12" x14ac:dyDescent="0.3">
      <c r="A1164" s="1">
        <v>40885</v>
      </c>
      <c r="B1164" s="1">
        <v>40890</v>
      </c>
      <c r="C1164" t="s">
        <v>1238</v>
      </c>
      <c r="D1164" t="s">
        <v>17</v>
      </c>
      <c r="E1164" t="s">
        <v>1284</v>
      </c>
      <c r="F1164">
        <v>6.4560000000000004</v>
      </c>
      <c r="G1164">
        <v>4</v>
      </c>
      <c r="H1164">
        <v>-4.5191999999999997</v>
      </c>
      <c r="I1164">
        <v>5</v>
      </c>
      <c r="J1164">
        <v>2011</v>
      </c>
      <c r="K1164" t="s">
        <v>2207</v>
      </c>
      <c r="L1164" t="str">
        <f>TEXT(maintable_2[[#This Row],[Order Date]],"mmmm")</f>
        <v>December</v>
      </c>
    </row>
    <row r="1165" spans="1:12" x14ac:dyDescent="0.3">
      <c r="A1165" s="1">
        <v>40885</v>
      </c>
      <c r="B1165" s="1">
        <v>40890</v>
      </c>
      <c r="C1165" t="s">
        <v>1238</v>
      </c>
      <c r="D1165" t="s">
        <v>15</v>
      </c>
      <c r="E1165" t="s">
        <v>1285</v>
      </c>
      <c r="F1165">
        <v>52.68</v>
      </c>
      <c r="G1165">
        <v>3</v>
      </c>
      <c r="H1165">
        <v>19.754999999999999</v>
      </c>
      <c r="I1165">
        <v>5</v>
      </c>
      <c r="J1165">
        <v>2011</v>
      </c>
      <c r="K1165" t="s">
        <v>2207</v>
      </c>
      <c r="L1165" t="str">
        <f>TEXT(maintable_2[[#This Row],[Order Date]],"mmmm")</f>
        <v>December</v>
      </c>
    </row>
    <row r="1166" spans="1:12" x14ac:dyDescent="0.3">
      <c r="A1166" s="1">
        <v>40885</v>
      </c>
      <c r="B1166" s="1">
        <v>40890</v>
      </c>
      <c r="C1166" t="s">
        <v>1238</v>
      </c>
      <c r="D1166" t="s">
        <v>81</v>
      </c>
      <c r="E1166" t="s">
        <v>1286</v>
      </c>
      <c r="F1166">
        <v>13.88</v>
      </c>
      <c r="G1166">
        <v>5</v>
      </c>
      <c r="H1166">
        <v>-2.6025</v>
      </c>
      <c r="I1166">
        <v>5</v>
      </c>
      <c r="J1166">
        <v>2011</v>
      </c>
      <c r="K1166" t="s">
        <v>2207</v>
      </c>
      <c r="L1166" t="str">
        <f>TEXT(maintable_2[[#This Row],[Order Date]],"mmmm")</f>
        <v>December</v>
      </c>
    </row>
    <row r="1167" spans="1:12" x14ac:dyDescent="0.3">
      <c r="A1167" s="1">
        <v>40885</v>
      </c>
      <c r="B1167" s="1">
        <v>40890</v>
      </c>
      <c r="C1167" t="s">
        <v>1238</v>
      </c>
      <c r="D1167" t="s">
        <v>37</v>
      </c>
      <c r="E1167" t="s">
        <v>1128</v>
      </c>
      <c r="F1167">
        <v>103.92</v>
      </c>
      <c r="G1167">
        <v>10</v>
      </c>
      <c r="H1167">
        <v>-18.186</v>
      </c>
      <c r="I1167">
        <v>5</v>
      </c>
      <c r="J1167">
        <v>2011</v>
      </c>
      <c r="K1167" t="s">
        <v>2207</v>
      </c>
      <c r="L1167" t="str">
        <f>TEXT(maintable_2[[#This Row],[Order Date]],"mmmm")</f>
        <v>December</v>
      </c>
    </row>
    <row r="1168" spans="1:12" x14ac:dyDescent="0.3">
      <c r="A1168" s="1">
        <v>40885</v>
      </c>
      <c r="B1168" s="1">
        <v>40890</v>
      </c>
      <c r="C1168" t="s">
        <v>1238</v>
      </c>
      <c r="D1168" t="s">
        <v>8</v>
      </c>
      <c r="E1168" t="s">
        <v>1287</v>
      </c>
      <c r="F1168">
        <v>11.52</v>
      </c>
      <c r="G1168">
        <v>5</v>
      </c>
      <c r="H1168">
        <v>3.7440000000000002</v>
      </c>
      <c r="I1168">
        <v>5</v>
      </c>
      <c r="J1168">
        <v>2011</v>
      </c>
      <c r="K1168" t="s">
        <v>2207</v>
      </c>
      <c r="L1168" t="str">
        <f>TEXT(maintable_2[[#This Row],[Order Date]],"mmmm")</f>
        <v>December</v>
      </c>
    </row>
    <row r="1169" spans="1:12" x14ac:dyDescent="0.3">
      <c r="A1169" s="1">
        <v>40885</v>
      </c>
      <c r="B1169" s="1">
        <v>40890</v>
      </c>
      <c r="C1169" t="s">
        <v>1238</v>
      </c>
      <c r="D1169" t="s">
        <v>44</v>
      </c>
      <c r="E1169" t="s">
        <v>1288</v>
      </c>
      <c r="F1169">
        <v>10.368</v>
      </c>
      <c r="G1169">
        <v>2</v>
      </c>
      <c r="H1169">
        <v>3.6288</v>
      </c>
      <c r="I1169">
        <v>5</v>
      </c>
      <c r="J1169">
        <v>2011</v>
      </c>
      <c r="K1169" t="s">
        <v>2207</v>
      </c>
      <c r="L1169" t="str">
        <f>TEXT(maintable_2[[#This Row],[Order Date]],"mmmm")</f>
        <v>December</v>
      </c>
    </row>
    <row r="1170" spans="1:12" x14ac:dyDescent="0.3">
      <c r="A1170" s="1">
        <v>40885</v>
      </c>
      <c r="B1170" s="1">
        <v>40890</v>
      </c>
      <c r="C1170" t="s">
        <v>1238</v>
      </c>
      <c r="D1170" t="s">
        <v>27</v>
      </c>
      <c r="E1170" t="s">
        <v>1289</v>
      </c>
      <c r="F1170">
        <v>39.072000000000003</v>
      </c>
      <c r="G1170">
        <v>3</v>
      </c>
      <c r="H1170">
        <v>2.9304000000000001</v>
      </c>
      <c r="I1170">
        <v>5</v>
      </c>
      <c r="J1170">
        <v>2011</v>
      </c>
      <c r="K1170" t="s">
        <v>2207</v>
      </c>
      <c r="L1170" t="str">
        <f>TEXT(maintable_2[[#This Row],[Order Date]],"mmmm")</f>
        <v>December</v>
      </c>
    </row>
    <row r="1171" spans="1:12" x14ac:dyDescent="0.3">
      <c r="A1171" s="1">
        <v>41248</v>
      </c>
      <c r="B1171" s="1">
        <v>41252</v>
      </c>
      <c r="C1171" t="s">
        <v>882</v>
      </c>
      <c r="D1171" t="s">
        <v>11</v>
      </c>
      <c r="E1171" t="s">
        <v>370</v>
      </c>
      <c r="F1171">
        <v>44.46</v>
      </c>
      <c r="G1171">
        <v>2</v>
      </c>
      <c r="H1171">
        <v>14.671799999999999</v>
      </c>
      <c r="I1171">
        <v>4</v>
      </c>
      <c r="J1171">
        <v>2012</v>
      </c>
      <c r="K1171" t="s">
        <v>2207</v>
      </c>
      <c r="L1171" t="str">
        <f>TEXT(maintable_2[[#This Row],[Order Date]],"mmmm")</f>
        <v>December</v>
      </c>
    </row>
    <row r="1172" spans="1:12" x14ac:dyDescent="0.3">
      <c r="A1172" s="1">
        <v>41622</v>
      </c>
      <c r="B1172" s="1">
        <v>41628</v>
      </c>
      <c r="C1172" t="s">
        <v>260</v>
      </c>
      <c r="D1172" t="s">
        <v>13</v>
      </c>
      <c r="E1172" t="s">
        <v>1290</v>
      </c>
      <c r="F1172">
        <v>9.84</v>
      </c>
      <c r="G1172">
        <v>3</v>
      </c>
      <c r="H1172">
        <v>3.2471999999999999</v>
      </c>
      <c r="I1172">
        <v>6</v>
      </c>
      <c r="J1172">
        <v>2013</v>
      </c>
      <c r="K1172" t="s">
        <v>2207</v>
      </c>
      <c r="L1172" t="str">
        <f>TEXT(maintable_2[[#This Row],[Order Date]],"mmmm")</f>
        <v>December</v>
      </c>
    </row>
    <row r="1173" spans="1:12" x14ac:dyDescent="0.3">
      <c r="A1173" s="1">
        <v>41793</v>
      </c>
      <c r="B1173" s="1">
        <v>41796</v>
      </c>
      <c r="C1173" t="s">
        <v>1291</v>
      </c>
      <c r="D1173" t="s">
        <v>44</v>
      </c>
      <c r="E1173" t="s">
        <v>125</v>
      </c>
      <c r="F1173">
        <v>25.344000000000001</v>
      </c>
      <c r="G1173">
        <v>6</v>
      </c>
      <c r="H1173">
        <v>7.92</v>
      </c>
      <c r="I1173">
        <v>3</v>
      </c>
      <c r="J1173">
        <v>2014</v>
      </c>
      <c r="K1173" t="s">
        <v>2206</v>
      </c>
      <c r="L1173" t="str">
        <f>TEXT(maintable_2[[#This Row],[Order Date]],"mmmm")</f>
        <v>June</v>
      </c>
    </row>
    <row r="1174" spans="1:12" x14ac:dyDescent="0.3">
      <c r="A1174" s="1">
        <v>41793</v>
      </c>
      <c r="B1174" s="1">
        <v>41796</v>
      </c>
      <c r="C1174" t="s">
        <v>1291</v>
      </c>
      <c r="D1174" t="s">
        <v>86</v>
      </c>
      <c r="E1174" t="s">
        <v>1292</v>
      </c>
      <c r="F1174">
        <v>43.92</v>
      </c>
      <c r="G1174">
        <v>5</v>
      </c>
      <c r="H1174">
        <v>15.920999999999999</v>
      </c>
      <c r="I1174">
        <v>3</v>
      </c>
      <c r="J1174">
        <v>2014</v>
      </c>
      <c r="K1174" t="s">
        <v>2206</v>
      </c>
      <c r="L1174" t="str">
        <f>TEXT(maintable_2[[#This Row],[Order Date]],"mmmm")</f>
        <v>June</v>
      </c>
    </row>
    <row r="1175" spans="1:12" x14ac:dyDescent="0.3">
      <c r="A1175" s="1">
        <v>41212</v>
      </c>
      <c r="B1175" s="1">
        <v>41215</v>
      </c>
      <c r="C1175" t="s">
        <v>157</v>
      </c>
      <c r="D1175" t="s">
        <v>494</v>
      </c>
      <c r="E1175" t="s">
        <v>941</v>
      </c>
      <c r="F1175">
        <v>59.994</v>
      </c>
      <c r="G1175">
        <v>2</v>
      </c>
      <c r="H1175">
        <v>-45.995399999999997</v>
      </c>
      <c r="I1175">
        <v>3</v>
      </c>
      <c r="J1175">
        <v>2012</v>
      </c>
      <c r="K1175" t="s">
        <v>2209</v>
      </c>
      <c r="L1175" t="str">
        <f>TEXT(maintable_2[[#This Row],[Order Date]],"mmmm")</f>
        <v>October</v>
      </c>
    </row>
    <row r="1176" spans="1:12" x14ac:dyDescent="0.3">
      <c r="A1176" s="1">
        <v>41212</v>
      </c>
      <c r="B1176" s="1">
        <v>41215</v>
      </c>
      <c r="C1176" t="s">
        <v>157</v>
      </c>
      <c r="D1176" t="s">
        <v>163</v>
      </c>
      <c r="E1176" t="s">
        <v>1293</v>
      </c>
      <c r="F1176">
        <v>439.99200000000002</v>
      </c>
      <c r="G1176">
        <v>1</v>
      </c>
      <c r="H1176">
        <v>164.99700000000001</v>
      </c>
      <c r="I1176">
        <v>3</v>
      </c>
      <c r="J1176">
        <v>2012</v>
      </c>
      <c r="K1176" t="s">
        <v>2209</v>
      </c>
      <c r="L1176" t="str">
        <f>TEXT(maintable_2[[#This Row],[Order Date]],"mmmm")</f>
        <v>October</v>
      </c>
    </row>
    <row r="1177" spans="1:12" x14ac:dyDescent="0.3">
      <c r="A1177" s="1">
        <v>41212</v>
      </c>
      <c r="B1177" s="1">
        <v>41215</v>
      </c>
      <c r="C1177" t="s">
        <v>157</v>
      </c>
      <c r="D1177" t="s">
        <v>15</v>
      </c>
      <c r="E1177" t="s">
        <v>1152</v>
      </c>
      <c r="F1177">
        <v>87.96</v>
      </c>
      <c r="G1177">
        <v>5</v>
      </c>
      <c r="H1177">
        <v>30.786000000000001</v>
      </c>
      <c r="I1177">
        <v>3</v>
      </c>
      <c r="J1177">
        <v>2012</v>
      </c>
      <c r="K1177" t="s">
        <v>2209</v>
      </c>
      <c r="L1177" t="str">
        <f>TEXT(maintable_2[[#This Row],[Order Date]],"mmmm")</f>
        <v>October</v>
      </c>
    </row>
    <row r="1178" spans="1:12" x14ac:dyDescent="0.3">
      <c r="A1178" s="1">
        <v>41212</v>
      </c>
      <c r="B1178" s="1">
        <v>41215</v>
      </c>
      <c r="C1178" t="s">
        <v>157</v>
      </c>
      <c r="D1178" t="s">
        <v>11</v>
      </c>
      <c r="E1178" t="s">
        <v>1294</v>
      </c>
      <c r="F1178">
        <v>15.488</v>
      </c>
      <c r="G1178">
        <v>4</v>
      </c>
      <c r="H1178">
        <v>3.6783999999999999</v>
      </c>
      <c r="I1178">
        <v>3</v>
      </c>
      <c r="J1178">
        <v>2012</v>
      </c>
      <c r="K1178" t="s">
        <v>2209</v>
      </c>
      <c r="L1178" t="str">
        <f>TEXT(maintable_2[[#This Row],[Order Date]],"mmmm")</f>
        <v>October</v>
      </c>
    </row>
    <row r="1179" spans="1:12" x14ac:dyDescent="0.3">
      <c r="A1179" s="1">
        <v>41232</v>
      </c>
      <c r="B1179" s="1">
        <v>41234</v>
      </c>
      <c r="C1179" t="s">
        <v>1228</v>
      </c>
      <c r="D1179" t="s">
        <v>11</v>
      </c>
      <c r="E1179" t="s">
        <v>1116</v>
      </c>
      <c r="F1179">
        <v>141.96</v>
      </c>
      <c r="G1179">
        <v>2</v>
      </c>
      <c r="H1179">
        <v>22.7136</v>
      </c>
      <c r="I1179">
        <v>2</v>
      </c>
      <c r="J1179">
        <v>2012</v>
      </c>
      <c r="K1179" t="s">
        <v>2209</v>
      </c>
      <c r="L1179" t="str">
        <f>TEXT(maintable_2[[#This Row],[Order Date]],"mmmm")</f>
        <v>November</v>
      </c>
    </row>
    <row r="1180" spans="1:12" x14ac:dyDescent="0.3">
      <c r="A1180" s="1">
        <v>40799</v>
      </c>
      <c r="B1180" s="1">
        <v>40803</v>
      </c>
      <c r="C1180" t="s">
        <v>1215</v>
      </c>
      <c r="D1180" t="s">
        <v>27</v>
      </c>
      <c r="E1180" t="s">
        <v>1295</v>
      </c>
      <c r="F1180">
        <v>79.400000000000006</v>
      </c>
      <c r="G1180">
        <v>5</v>
      </c>
      <c r="H1180">
        <v>5.9550000000000001</v>
      </c>
      <c r="I1180">
        <v>4</v>
      </c>
      <c r="J1180">
        <v>2011</v>
      </c>
      <c r="K1180" t="s">
        <v>2209</v>
      </c>
      <c r="L1180" t="str">
        <f>TEXT(maintable_2[[#This Row],[Order Date]],"mmmm")</f>
        <v>September</v>
      </c>
    </row>
    <row r="1181" spans="1:12" x14ac:dyDescent="0.3">
      <c r="A1181" s="1">
        <v>41928</v>
      </c>
      <c r="B1181" s="1">
        <v>41930</v>
      </c>
      <c r="C1181" t="s">
        <v>1296</v>
      </c>
      <c r="D1181" t="s">
        <v>21</v>
      </c>
      <c r="E1181" t="s">
        <v>1297</v>
      </c>
      <c r="F1181">
        <v>510.24</v>
      </c>
      <c r="G1181">
        <v>3</v>
      </c>
      <c r="H1181">
        <v>6.3780000000000001</v>
      </c>
      <c r="I1181">
        <v>2</v>
      </c>
      <c r="J1181">
        <v>2014</v>
      </c>
      <c r="K1181" t="s">
        <v>2209</v>
      </c>
      <c r="L1181" t="str">
        <f>TEXT(maintable_2[[#This Row],[Order Date]],"mmmm")</f>
        <v>October</v>
      </c>
    </row>
    <row r="1182" spans="1:12" x14ac:dyDescent="0.3">
      <c r="A1182" s="1">
        <v>41928</v>
      </c>
      <c r="B1182" s="1">
        <v>41930</v>
      </c>
      <c r="C1182" t="s">
        <v>1296</v>
      </c>
      <c r="D1182" t="s">
        <v>44</v>
      </c>
      <c r="E1182" t="s">
        <v>737</v>
      </c>
      <c r="F1182">
        <v>204.95</v>
      </c>
      <c r="G1182">
        <v>5</v>
      </c>
      <c r="H1182">
        <v>100.4255</v>
      </c>
      <c r="I1182">
        <v>2</v>
      </c>
      <c r="J1182">
        <v>2014</v>
      </c>
      <c r="K1182" t="s">
        <v>2209</v>
      </c>
      <c r="L1182" t="str">
        <f>TEXT(maintable_2[[#This Row],[Order Date]],"mmmm")</f>
        <v>October</v>
      </c>
    </row>
    <row r="1183" spans="1:12" x14ac:dyDescent="0.3">
      <c r="A1183" s="1">
        <v>41751</v>
      </c>
      <c r="B1183" s="1">
        <v>41754</v>
      </c>
      <c r="C1183" t="s">
        <v>731</v>
      </c>
      <c r="D1183" t="s">
        <v>37</v>
      </c>
      <c r="E1183" t="s">
        <v>1298</v>
      </c>
      <c r="F1183">
        <v>11.54</v>
      </c>
      <c r="G1183">
        <v>1</v>
      </c>
      <c r="H1183">
        <v>3.4620000000000002</v>
      </c>
      <c r="I1183">
        <v>3</v>
      </c>
      <c r="J1183">
        <v>2014</v>
      </c>
      <c r="K1183" t="s">
        <v>2208</v>
      </c>
      <c r="L1183" t="str">
        <f>TEXT(maintable_2[[#This Row],[Order Date]],"mmmm")</f>
        <v>April</v>
      </c>
    </row>
    <row r="1184" spans="1:12" x14ac:dyDescent="0.3">
      <c r="A1184" s="1">
        <v>41751</v>
      </c>
      <c r="B1184" s="1">
        <v>41754</v>
      </c>
      <c r="C1184" t="s">
        <v>731</v>
      </c>
      <c r="D1184" t="s">
        <v>11</v>
      </c>
      <c r="E1184" t="s">
        <v>1299</v>
      </c>
      <c r="F1184">
        <v>162.6</v>
      </c>
      <c r="G1184">
        <v>3</v>
      </c>
      <c r="H1184">
        <v>34.146000000000001</v>
      </c>
      <c r="I1184">
        <v>3</v>
      </c>
      <c r="J1184">
        <v>2014</v>
      </c>
      <c r="K1184" t="s">
        <v>2208</v>
      </c>
      <c r="L1184" t="str">
        <f>TEXT(maintable_2[[#This Row],[Order Date]],"mmmm")</f>
        <v>April</v>
      </c>
    </row>
    <row r="1185" spans="1:12" x14ac:dyDescent="0.3">
      <c r="A1185" s="1">
        <v>40885</v>
      </c>
      <c r="B1185" s="1">
        <v>40887</v>
      </c>
      <c r="C1185" t="s">
        <v>921</v>
      </c>
      <c r="D1185" t="s">
        <v>44</v>
      </c>
      <c r="E1185" t="s">
        <v>1300</v>
      </c>
      <c r="F1185">
        <v>45.68</v>
      </c>
      <c r="G1185">
        <v>2</v>
      </c>
      <c r="H1185">
        <v>21.012799999999999</v>
      </c>
      <c r="I1185">
        <v>2</v>
      </c>
      <c r="J1185">
        <v>2011</v>
      </c>
      <c r="K1185" t="s">
        <v>2207</v>
      </c>
      <c r="L1185" t="str">
        <f>TEXT(maintable_2[[#This Row],[Order Date]],"mmmm")</f>
        <v>December</v>
      </c>
    </row>
    <row r="1186" spans="1:12" x14ac:dyDescent="0.3">
      <c r="A1186" s="1">
        <v>40885</v>
      </c>
      <c r="B1186" s="1">
        <v>40887</v>
      </c>
      <c r="C1186" t="s">
        <v>921</v>
      </c>
      <c r="D1186" t="s">
        <v>71</v>
      </c>
      <c r="E1186" t="s">
        <v>240</v>
      </c>
      <c r="F1186">
        <v>603.91999999999996</v>
      </c>
      <c r="G1186">
        <v>5</v>
      </c>
      <c r="H1186">
        <v>45.293999999999997</v>
      </c>
      <c r="I1186">
        <v>2</v>
      </c>
      <c r="J1186">
        <v>2011</v>
      </c>
      <c r="K1186" t="s">
        <v>2207</v>
      </c>
      <c r="L1186" t="str">
        <f>TEXT(maintable_2[[#This Row],[Order Date]],"mmmm")</f>
        <v>December</v>
      </c>
    </row>
    <row r="1187" spans="1:12" x14ac:dyDescent="0.3">
      <c r="A1187" s="1">
        <v>40907</v>
      </c>
      <c r="B1187" s="1">
        <v>40912</v>
      </c>
      <c r="C1187" t="s">
        <v>1301</v>
      </c>
      <c r="D1187" t="s">
        <v>17</v>
      </c>
      <c r="E1187" t="s">
        <v>1272</v>
      </c>
      <c r="F1187">
        <v>551.98500000000001</v>
      </c>
      <c r="G1187">
        <v>5</v>
      </c>
      <c r="H1187">
        <v>-459.98750000000001</v>
      </c>
      <c r="I1187">
        <v>5</v>
      </c>
      <c r="J1187">
        <v>2011</v>
      </c>
      <c r="K1187" t="s">
        <v>2207</v>
      </c>
      <c r="L1187" t="str">
        <f>TEXT(maintable_2[[#This Row],[Order Date]],"mmmm")</f>
        <v>December</v>
      </c>
    </row>
    <row r="1188" spans="1:12" x14ac:dyDescent="0.3">
      <c r="A1188" s="1">
        <v>41635</v>
      </c>
      <c r="B1188" s="1">
        <v>41642</v>
      </c>
      <c r="C1188" t="s">
        <v>84</v>
      </c>
      <c r="D1188" t="s">
        <v>19</v>
      </c>
      <c r="E1188" t="s">
        <v>876</v>
      </c>
      <c r="F1188">
        <v>18.72</v>
      </c>
      <c r="G1188">
        <v>2</v>
      </c>
      <c r="H1188">
        <v>3.51</v>
      </c>
      <c r="I1188">
        <v>7</v>
      </c>
      <c r="J1188">
        <v>2013</v>
      </c>
      <c r="K1188" t="s">
        <v>2207</v>
      </c>
      <c r="L1188" t="str">
        <f>TEXT(maintable_2[[#This Row],[Order Date]],"mmmm")</f>
        <v>December</v>
      </c>
    </row>
    <row r="1189" spans="1:12" x14ac:dyDescent="0.3">
      <c r="A1189" s="1">
        <v>41879</v>
      </c>
      <c r="B1189" s="1">
        <v>41881</v>
      </c>
      <c r="C1189" t="s">
        <v>1139</v>
      </c>
      <c r="D1189" t="s">
        <v>11</v>
      </c>
      <c r="E1189" t="s">
        <v>680</v>
      </c>
      <c r="F1189">
        <v>198.46</v>
      </c>
      <c r="G1189">
        <v>2</v>
      </c>
      <c r="H1189">
        <v>99.23</v>
      </c>
      <c r="I1189">
        <v>2</v>
      </c>
      <c r="J1189">
        <v>2014</v>
      </c>
      <c r="K1189" t="s">
        <v>2206</v>
      </c>
      <c r="L1189" t="str">
        <f>TEXT(maintable_2[[#This Row],[Order Date]],"mmmm")</f>
        <v>August</v>
      </c>
    </row>
    <row r="1190" spans="1:12" x14ac:dyDescent="0.3">
      <c r="A1190" s="1">
        <v>41879</v>
      </c>
      <c r="B1190" s="1">
        <v>41881</v>
      </c>
      <c r="C1190" t="s">
        <v>1139</v>
      </c>
      <c r="D1190" t="s">
        <v>19</v>
      </c>
      <c r="E1190" t="s">
        <v>1198</v>
      </c>
      <c r="F1190">
        <v>321.92</v>
      </c>
      <c r="G1190">
        <v>4</v>
      </c>
      <c r="H1190">
        <v>96.575999999999993</v>
      </c>
      <c r="I1190">
        <v>2</v>
      </c>
      <c r="J1190">
        <v>2014</v>
      </c>
      <c r="K1190" t="s">
        <v>2206</v>
      </c>
      <c r="L1190" t="str">
        <f>TEXT(maintable_2[[#This Row],[Order Date]],"mmmm")</f>
        <v>August</v>
      </c>
    </row>
    <row r="1191" spans="1:12" x14ac:dyDescent="0.3">
      <c r="A1191" s="1">
        <v>41879</v>
      </c>
      <c r="B1191" s="1">
        <v>41881</v>
      </c>
      <c r="C1191" t="s">
        <v>1139</v>
      </c>
      <c r="D1191" t="s">
        <v>163</v>
      </c>
      <c r="E1191" t="s">
        <v>1293</v>
      </c>
      <c r="F1191">
        <v>879.98400000000004</v>
      </c>
      <c r="G1191">
        <v>2</v>
      </c>
      <c r="H1191">
        <v>329.99400000000003</v>
      </c>
      <c r="I1191">
        <v>2</v>
      </c>
      <c r="J1191">
        <v>2014</v>
      </c>
      <c r="K1191" t="s">
        <v>2206</v>
      </c>
      <c r="L1191" t="str">
        <f>TEXT(maintable_2[[#This Row],[Order Date]],"mmmm")</f>
        <v>August</v>
      </c>
    </row>
    <row r="1192" spans="1:12" x14ac:dyDescent="0.3">
      <c r="A1192" s="1">
        <v>41879</v>
      </c>
      <c r="B1192" s="1">
        <v>41881</v>
      </c>
      <c r="C1192" t="s">
        <v>1139</v>
      </c>
      <c r="D1192" t="s">
        <v>81</v>
      </c>
      <c r="E1192" t="s">
        <v>388</v>
      </c>
      <c r="F1192">
        <v>28.4</v>
      </c>
      <c r="G1192">
        <v>5</v>
      </c>
      <c r="H1192">
        <v>8.2360000000000007</v>
      </c>
      <c r="I1192">
        <v>2</v>
      </c>
      <c r="J1192">
        <v>2014</v>
      </c>
      <c r="K1192" t="s">
        <v>2206</v>
      </c>
      <c r="L1192" t="str">
        <f>TEXT(maintable_2[[#This Row],[Order Date]],"mmmm")</f>
        <v>August</v>
      </c>
    </row>
    <row r="1193" spans="1:12" x14ac:dyDescent="0.3">
      <c r="A1193" s="1">
        <v>41879</v>
      </c>
      <c r="B1193" s="1">
        <v>41881</v>
      </c>
      <c r="C1193" t="s">
        <v>1139</v>
      </c>
      <c r="D1193" t="s">
        <v>71</v>
      </c>
      <c r="E1193" t="s">
        <v>204</v>
      </c>
      <c r="F1193">
        <v>230.28</v>
      </c>
      <c r="G1193">
        <v>3</v>
      </c>
      <c r="H1193">
        <v>23.027999999999999</v>
      </c>
      <c r="I1193">
        <v>2</v>
      </c>
      <c r="J1193">
        <v>2014</v>
      </c>
      <c r="K1193" t="s">
        <v>2206</v>
      </c>
      <c r="L1193" t="str">
        <f>TEXT(maintable_2[[#This Row],[Order Date]],"mmmm")</f>
        <v>August</v>
      </c>
    </row>
    <row r="1194" spans="1:12" x14ac:dyDescent="0.3">
      <c r="A1194" s="1">
        <v>41879</v>
      </c>
      <c r="B1194" s="1">
        <v>41881</v>
      </c>
      <c r="C1194" t="s">
        <v>1139</v>
      </c>
      <c r="D1194" t="s">
        <v>44</v>
      </c>
      <c r="E1194" t="s">
        <v>1169</v>
      </c>
      <c r="F1194">
        <v>116.28</v>
      </c>
      <c r="G1194">
        <v>3</v>
      </c>
      <c r="H1194">
        <v>56.977200000000003</v>
      </c>
      <c r="I1194">
        <v>2</v>
      </c>
      <c r="J1194">
        <v>2014</v>
      </c>
      <c r="K1194" t="s">
        <v>2206</v>
      </c>
      <c r="L1194" t="str">
        <f>TEXT(maintable_2[[#This Row],[Order Date]],"mmmm")</f>
        <v>August</v>
      </c>
    </row>
    <row r="1195" spans="1:12" x14ac:dyDescent="0.3">
      <c r="A1195" s="1">
        <v>41879</v>
      </c>
      <c r="B1195" s="1">
        <v>41881</v>
      </c>
      <c r="C1195" t="s">
        <v>1139</v>
      </c>
      <c r="D1195" t="s">
        <v>17</v>
      </c>
      <c r="E1195" t="s">
        <v>1302</v>
      </c>
      <c r="F1195">
        <v>841.56799999999998</v>
      </c>
      <c r="G1195">
        <v>2</v>
      </c>
      <c r="H1195">
        <v>294.54880000000003</v>
      </c>
      <c r="I1195">
        <v>2</v>
      </c>
      <c r="J1195">
        <v>2014</v>
      </c>
      <c r="K1195" t="s">
        <v>2206</v>
      </c>
      <c r="L1195" t="str">
        <f>TEXT(maintable_2[[#This Row],[Order Date]],"mmmm")</f>
        <v>August</v>
      </c>
    </row>
    <row r="1196" spans="1:12" x14ac:dyDescent="0.3">
      <c r="A1196" s="1">
        <v>41879</v>
      </c>
      <c r="B1196" s="1">
        <v>41881</v>
      </c>
      <c r="C1196" t="s">
        <v>1139</v>
      </c>
      <c r="D1196" t="s">
        <v>27</v>
      </c>
      <c r="E1196" t="s">
        <v>1303</v>
      </c>
      <c r="F1196">
        <v>354.9</v>
      </c>
      <c r="G1196">
        <v>5</v>
      </c>
      <c r="H1196">
        <v>17.745000000000001</v>
      </c>
      <c r="I1196">
        <v>2</v>
      </c>
      <c r="J1196">
        <v>2014</v>
      </c>
      <c r="K1196" t="s">
        <v>2206</v>
      </c>
      <c r="L1196" t="str">
        <f>TEXT(maintable_2[[#This Row],[Order Date]],"mmmm")</f>
        <v>August</v>
      </c>
    </row>
    <row r="1197" spans="1:12" x14ac:dyDescent="0.3">
      <c r="A1197" s="1">
        <v>41170</v>
      </c>
      <c r="B1197" s="1">
        <v>41175</v>
      </c>
      <c r="C1197" t="s">
        <v>499</v>
      </c>
      <c r="D1197" t="s">
        <v>13</v>
      </c>
      <c r="E1197" t="s">
        <v>1304</v>
      </c>
      <c r="F1197">
        <v>11.68</v>
      </c>
      <c r="G1197">
        <v>2</v>
      </c>
      <c r="H1197">
        <v>5.4896000000000003</v>
      </c>
      <c r="I1197">
        <v>5</v>
      </c>
      <c r="J1197">
        <v>2012</v>
      </c>
      <c r="K1197" t="s">
        <v>2209</v>
      </c>
      <c r="L1197" t="str">
        <f>TEXT(maintable_2[[#This Row],[Order Date]],"mmmm")</f>
        <v>September</v>
      </c>
    </row>
    <row r="1198" spans="1:12" x14ac:dyDescent="0.3">
      <c r="A1198" s="1">
        <v>41170</v>
      </c>
      <c r="B1198" s="1">
        <v>41175</v>
      </c>
      <c r="C1198" t="s">
        <v>499</v>
      </c>
      <c r="D1198" t="s">
        <v>81</v>
      </c>
      <c r="E1198" t="s">
        <v>1283</v>
      </c>
      <c r="F1198">
        <v>16.899999999999999</v>
      </c>
      <c r="G1198">
        <v>2</v>
      </c>
      <c r="H1198">
        <v>5.07</v>
      </c>
      <c r="I1198">
        <v>5</v>
      </c>
      <c r="J1198">
        <v>2012</v>
      </c>
      <c r="K1198" t="s">
        <v>2209</v>
      </c>
      <c r="L1198" t="str">
        <f>TEXT(maintable_2[[#This Row],[Order Date]],"mmmm")</f>
        <v>September</v>
      </c>
    </row>
    <row r="1199" spans="1:12" x14ac:dyDescent="0.3">
      <c r="A1199" s="1">
        <v>41170</v>
      </c>
      <c r="B1199" s="1">
        <v>41175</v>
      </c>
      <c r="C1199" t="s">
        <v>499</v>
      </c>
      <c r="D1199" t="s">
        <v>11</v>
      </c>
      <c r="E1199" t="s">
        <v>1305</v>
      </c>
      <c r="F1199">
        <v>24.4</v>
      </c>
      <c r="G1199">
        <v>2</v>
      </c>
      <c r="H1199">
        <v>10.247999999999999</v>
      </c>
      <c r="I1199">
        <v>5</v>
      </c>
      <c r="J1199">
        <v>2012</v>
      </c>
      <c r="K1199" t="s">
        <v>2209</v>
      </c>
      <c r="L1199" t="str">
        <f>TEXT(maintable_2[[#This Row],[Order Date]],"mmmm")</f>
        <v>September</v>
      </c>
    </row>
    <row r="1200" spans="1:12" x14ac:dyDescent="0.3">
      <c r="A1200" s="1">
        <v>41626</v>
      </c>
      <c r="B1200" s="1">
        <v>41630</v>
      </c>
      <c r="C1200" t="s">
        <v>1306</v>
      </c>
      <c r="D1200" t="s">
        <v>21</v>
      </c>
      <c r="E1200" t="s">
        <v>272</v>
      </c>
      <c r="F1200">
        <v>2003.52</v>
      </c>
      <c r="G1200">
        <v>6</v>
      </c>
      <c r="H1200">
        <v>-325.572</v>
      </c>
      <c r="I1200">
        <v>4</v>
      </c>
      <c r="J1200">
        <v>2013</v>
      </c>
      <c r="K1200" t="s">
        <v>2207</v>
      </c>
      <c r="L1200" t="str">
        <f>TEXT(maintable_2[[#This Row],[Order Date]],"mmmm")</f>
        <v>December</v>
      </c>
    </row>
    <row r="1201" spans="1:12" x14ac:dyDescent="0.3">
      <c r="A1201" s="1">
        <v>41032</v>
      </c>
      <c r="B1201" s="1">
        <v>41037</v>
      </c>
      <c r="C1201" t="s">
        <v>1307</v>
      </c>
      <c r="D1201" t="s">
        <v>11</v>
      </c>
      <c r="E1201" t="s">
        <v>1308</v>
      </c>
      <c r="F1201">
        <v>665.88</v>
      </c>
      <c r="G1201">
        <v>6</v>
      </c>
      <c r="H1201">
        <v>106.5408</v>
      </c>
      <c r="I1201">
        <v>5</v>
      </c>
      <c r="J1201">
        <v>2012</v>
      </c>
      <c r="K1201" t="s">
        <v>2208</v>
      </c>
      <c r="L1201" t="str">
        <f>TEXT(maintable_2[[#This Row],[Order Date]],"mmmm")</f>
        <v>May</v>
      </c>
    </row>
    <row r="1202" spans="1:12" x14ac:dyDescent="0.3">
      <c r="A1202" s="1">
        <v>41579</v>
      </c>
      <c r="B1202" s="1">
        <v>41583</v>
      </c>
      <c r="C1202" t="s">
        <v>1309</v>
      </c>
      <c r="D1202" t="s">
        <v>27</v>
      </c>
      <c r="E1202" t="s">
        <v>1097</v>
      </c>
      <c r="F1202">
        <v>1085.42</v>
      </c>
      <c r="G1202">
        <v>7</v>
      </c>
      <c r="H1202">
        <v>282.20920000000001</v>
      </c>
      <c r="I1202">
        <v>4</v>
      </c>
      <c r="J1202">
        <v>2013</v>
      </c>
      <c r="K1202" t="s">
        <v>2209</v>
      </c>
      <c r="L1202" t="str">
        <f>TEXT(maintable_2[[#This Row],[Order Date]],"mmmm")</f>
        <v>November</v>
      </c>
    </row>
    <row r="1203" spans="1:12" x14ac:dyDescent="0.3">
      <c r="A1203" s="1">
        <v>40729</v>
      </c>
      <c r="B1203" s="1">
        <v>40735</v>
      </c>
      <c r="C1203" t="s">
        <v>1240</v>
      </c>
      <c r="D1203" t="s">
        <v>17</v>
      </c>
      <c r="E1203" t="s">
        <v>243</v>
      </c>
      <c r="F1203">
        <v>180.96</v>
      </c>
      <c r="G1203">
        <v>6</v>
      </c>
      <c r="H1203">
        <v>67.86</v>
      </c>
      <c r="I1203">
        <v>6</v>
      </c>
      <c r="J1203">
        <v>2011</v>
      </c>
      <c r="K1203" t="s">
        <v>2206</v>
      </c>
      <c r="L1203" t="str">
        <f>TEXT(maintable_2[[#This Row],[Order Date]],"mmmm")</f>
        <v>July</v>
      </c>
    </row>
    <row r="1204" spans="1:12" x14ac:dyDescent="0.3">
      <c r="A1204" s="1">
        <v>40571</v>
      </c>
      <c r="B1204" s="1">
        <v>40577</v>
      </c>
      <c r="C1204" t="s">
        <v>1310</v>
      </c>
      <c r="D1204" t="s">
        <v>27</v>
      </c>
      <c r="E1204" t="s">
        <v>1155</v>
      </c>
      <c r="F1204">
        <v>57.23</v>
      </c>
      <c r="G1204">
        <v>1</v>
      </c>
      <c r="H1204">
        <v>14.307499999999999</v>
      </c>
      <c r="I1204">
        <v>6</v>
      </c>
      <c r="J1204">
        <v>2011</v>
      </c>
      <c r="K1204" t="s">
        <v>2210</v>
      </c>
      <c r="L1204" t="str">
        <f>TEXT(maintable_2[[#This Row],[Order Date]],"mmmm")</f>
        <v>January</v>
      </c>
    </row>
    <row r="1205" spans="1:12" x14ac:dyDescent="0.3">
      <c r="A1205" s="1">
        <v>40571</v>
      </c>
      <c r="B1205" s="1">
        <v>40577</v>
      </c>
      <c r="C1205" t="s">
        <v>1310</v>
      </c>
      <c r="D1205" t="s">
        <v>21</v>
      </c>
      <c r="E1205" t="s">
        <v>1311</v>
      </c>
      <c r="F1205">
        <v>333</v>
      </c>
      <c r="G1205">
        <v>3</v>
      </c>
      <c r="H1205">
        <v>-16.649999999999999</v>
      </c>
      <c r="I1205">
        <v>6</v>
      </c>
      <c r="J1205">
        <v>2011</v>
      </c>
      <c r="K1205" t="s">
        <v>2210</v>
      </c>
      <c r="L1205" t="str">
        <f>TEXT(maintable_2[[#This Row],[Order Date]],"mmmm")</f>
        <v>January</v>
      </c>
    </row>
    <row r="1206" spans="1:12" x14ac:dyDescent="0.3">
      <c r="A1206" s="1">
        <v>40571</v>
      </c>
      <c r="B1206" s="1">
        <v>40577</v>
      </c>
      <c r="C1206" t="s">
        <v>1310</v>
      </c>
      <c r="D1206" t="s">
        <v>13</v>
      </c>
      <c r="E1206" t="s">
        <v>1312</v>
      </c>
      <c r="F1206">
        <v>36.44</v>
      </c>
      <c r="G1206">
        <v>4</v>
      </c>
      <c r="H1206">
        <v>12.0252</v>
      </c>
      <c r="I1206">
        <v>6</v>
      </c>
      <c r="J1206">
        <v>2011</v>
      </c>
      <c r="K1206" t="s">
        <v>2210</v>
      </c>
      <c r="L1206" t="str">
        <f>TEXT(maintable_2[[#This Row],[Order Date]],"mmmm")</f>
        <v>January</v>
      </c>
    </row>
    <row r="1207" spans="1:12" x14ac:dyDescent="0.3">
      <c r="A1207" s="1">
        <v>40641</v>
      </c>
      <c r="B1207" s="1">
        <v>40648</v>
      </c>
      <c r="C1207" t="s">
        <v>1011</v>
      </c>
      <c r="D1207" t="s">
        <v>78</v>
      </c>
      <c r="E1207" t="s">
        <v>699</v>
      </c>
      <c r="F1207">
        <v>2.3679999999999999</v>
      </c>
      <c r="G1207">
        <v>2</v>
      </c>
      <c r="H1207">
        <v>0.82879999999999998</v>
      </c>
      <c r="I1207">
        <v>7</v>
      </c>
      <c r="J1207">
        <v>2011</v>
      </c>
      <c r="K1207" t="s">
        <v>2208</v>
      </c>
      <c r="L1207" t="str">
        <f>TEXT(maintable_2[[#This Row],[Order Date]],"mmmm")</f>
        <v>April</v>
      </c>
    </row>
    <row r="1208" spans="1:12" x14ac:dyDescent="0.3">
      <c r="A1208" s="1">
        <v>40641</v>
      </c>
      <c r="B1208" s="1">
        <v>40648</v>
      </c>
      <c r="C1208" t="s">
        <v>1011</v>
      </c>
      <c r="D1208" t="s">
        <v>44</v>
      </c>
      <c r="E1208" t="s">
        <v>1313</v>
      </c>
      <c r="F1208">
        <v>19.007999999999999</v>
      </c>
      <c r="G1208">
        <v>3</v>
      </c>
      <c r="H1208">
        <v>6.8903999999999996</v>
      </c>
      <c r="I1208">
        <v>7</v>
      </c>
      <c r="J1208">
        <v>2011</v>
      </c>
      <c r="K1208" t="s">
        <v>2208</v>
      </c>
      <c r="L1208" t="str">
        <f>TEXT(maintable_2[[#This Row],[Order Date]],"mmmm")</f>
        <v>April</v>
      </c>
    </row>
    <row r="1209" spans="1:12" x14ac:dyDescent="0.3">
      <c r="A1209" s="1">
        <v>40750</v>
      </c>
      <c r="B1209" s="1">
        <v>40757</v>
      </c>
      <c r="C1209" t="s">
        <v>41</v>
      </c>
      <c r="D1209" t="s">
        <v>15</v>
      </c>
      <c r="E1209" t="s">
        <v>1314</v>
      </c>
      <c r="F1209">
        <v>911.98400000000004</v>
      </c>
      <c r="G1209">
        <v>2</v>
      </c>
      <c r="H1209">
        <v>113.998</v>
      </c>
      <c r="I1209">
        <v>7</v>
      </c>
      <c r="J1209">
        <v>2011</v>
      </c>
      <c r="K1209" t="s">
        <v>2206</v>
      </c>
      <c r="L1209" t="str">
        <f>TEXT(maintable_2[[#This Row],[Order Date]],"mmmm")</f>
        <v>July</v>
      </c>
    </row>
    <row r="1210" spans="1:12" x14ac:dyDescent="0.3">
      <c r="A1210" s="1">
        <v>40750</v>
      </c>
      <c r="B1210" s="1">
        <v>40757</v>
      </c>
      <c r="C1210" t="s">
        <v>41</v>
      </c>
      <c r="D1210" t="s">
        <v>71</v>
      </c>
      <c r="E1210" t="s">
        <v>570</v>
      </c>
      <c r="F1210">
        <v>674.35199999999998</v>
      </c>
      <c r="G1210">
        <v>3</v>
      </c>
      <c r="H1210">
        <v>-109.5822</v>
      </c>
      <c r="I1210">
        <v>7</v>
      </c>
      <c r="J1210">
        <v>2011</v>
      </c>
      <c r="K1210" t="s">
        <v>2206</v>
      </c>
      <c r="L1210" t="str">
        <f>TEXT(maintable_2[[#This Row],[Order Date]],"mmmm")</f>
        <v>July</v>
      </c>
    </row>
    <row r="1211" spans="1:12" x14ac:dyDescent="0.3">
      <c r="A1211" s="1">
        <v>40750</v>
      </c>
      <c r="B1211" s="1">
        <v>40757</v>
      </c>
      <c r="C1211" t="s">
        <v>41</v>
      </c>
      <c r="D1211" t="s">
        <v>11</v>
      </c>
      <c r="E1211" t="s">
        <v>1315</v>
      </c>
      <c r="F1211">
        <v>134.01</v>
      </c>
      <c r="G1211">
        <v>9</v>
      </c>
      <c r="H1211">
        <v>36.182699999999997</v>
      </c>
      <c r="I1211">
        <v>7</v>
      </c>
      <c r="J1211">
        <v>2011</v>
      </c>
      <c r="K1211" t="s">
        <v>2206</v>
      </c>
      <c r="L1211" t="str">
        <f>TEXT(maintable_2[[#This Row],[Order Date]],"mmmm")</f>
        <v>July</v>
      </c>
    </row>
    <row r="1212" spans="1:12" x14ac:dyDescent="0.3">
      <c r="A1212" s="1">
        <v>40750</v>
      </c>
      <c r="B1212" s="1">
        <v>40757</v>
      </c>
      <c r="C1212" t="s">
        <v>41</v>
      </c>
      <c r="D1212" t="s">
        <v>37</v>
      </c>
      <c r="E1212" t="s">
        <v>1316</v>
      </c>
      <c r="F1212">
        <v>170.97</v>
      </c>
      <c r="G1212">
        <v>3</v>
      </c>
      <c r="H1212">
        <v>70.097700000000003</v>
      </c>
      <c r="I1212">
        <v>7</v>
      </c>
      <c r="J1212">
        <v>2011</v>
      </c>
      <c r="K1212" t="s">
        <v>2206</v>
      </c>
      <c r="L1212" t="str">
        <f>TEXT(maintable_2[[#This Row],[Order Date]],"mmmm")</f>
        <v>July</v>
      </c>
    </row>
    <row r="1213" spans="1:12" x14ac:dyDescent="0.3">
      <c r="A1213" s="1">
        <v>40844</v>
      </c>
      <c r="B1213" s="1">
        <v>40847</v>
      </c>
      <c r="C1213" t="s">
        <v>1317</v>
      </c>
      <c r="D1213" t="s">
        <v>17</v>
      </c>
      <c r="E1213" t="s">
        <v>165</v>
      </c>
      <c r="F1213">
        <v>7.1840000000000002</v>
      </c>
      <c r="G1213">
        <v>2</v>
      </c>
      <c r="H1213">
        <v>2.2450000000000001</v>
      </c>
      <c r="I1213">
        <v>3</v>
      </c>
      <c r="J1213">
        <v>2011</v>
      </c>
      <c r="K1213" t="s">
        <v>2209</v>
      </c>
      <c r="L1213" t="str">
        <f>TEXT(maintable_2[[#This Row],[Order Date]],"mmmm")</f>
        <v>October</v>
      </c>
    </row>
    <row r="1214" spans="1:12" x14ac:dyDescent="0.3">
      <c r="A1214" s="1">
        <v>40844</v>
      </c>
      <c r="B1214" s="1">
        <v>40847</v>
      </c>
      <c r="C1214" t="s">
        <v>1317</v>
      </c>
      <c r="D1214" t="s">
        <v>81</v>
      </c>
      <c r="E1214" t="s">
        <v>1318</v>
      </c>
      <c r="F1214">
        <v>6.28</v>
      </c>
      <c r="G1214">
        <v>2</v>
      </c>
      <c r="H1214">
        <v>6.2799999999999995E-2</v>
      </c>
      <c r="I1214">
        <v>3</v>
      </c>
      <c r="J1214">
        <v>2011</v>
      </c>
      <c r="K1214" t="s">
        <v>2209</v>
      </c>
      <c r="L1214" t="str">
        <f>TEXT(maintable_2[[#This Row],[Order Date]],"mmmm")</f>
        <v>October</v>
      </c>
    </row>
    <row r="1215" spans="1:12" x14ac:dyDescent="0.3">
      <c r="A1215" s="1">
        <v>40844</v>
      </c>
      <c r="B1215" s="1">
        <v>40847</v>
      </c>
      <c r="C1215" t="s">
        <v>1317</v>
      </c>
      <c r="D1215" t="s">
        <v>81</v>
      </c>
      <c r="E1215" t="s">
        <v>1319</v>
      </c>
      <c r="F1215">
        <v>480.74</v>
      </c>
      <c r="G1215">
        <v>2</v>
      </c>
      <c r="H1215">
        <v>14.4222</v>
      </c>
      <c r="I1215">
        <v>3</v>
      </c>
      <c r="J1215">
        <v>2011</v>
      </c>
      <c r="K1215" t="s">
        <v>2209</v>
      </c>
      <c r="L1215" t="str">
        <f>TEXT(maintable_2[[#This Row],[Order Date]],"mmmm")</f>
        <v>October</v>
      </c>
    </row>
    <row r="1216" spans="1:12" x14ac:dyDescent="0.3">
      <c r="A1216" s="1">
        <v>40844</v>
      </c>
      <c r="B1216" s="1">
        <v>40847</v>
      </c>
      <c r="C1216" t="s">
        <v>1317</v>
      </c>
      <c r="D1216" t="s">
        <v>196</v>
      </c>
      <c r="E1216" t="s">
        <v>234</v>
      </c>
      <c r="F1216">
        <v>616.99800000000005</v>
      </c>
      <c r="G1216">
        <v>6</v>
      </c>
      <c r="H1216">
        <v>-36.293999999999997</v>
      </c>
      <c r="I1216">
        <v>3</v>
      </c>
      <c r="J1216">
        <v>2011</v>
      </c>
      <c r="K1216" t="s">
        <v>2209</v>
      </c>
      <c r="L1216" t="str">
        <f>TEXT(maintable_2[[#This Row],[Order Date]],"mmmm")</f>
        <v>October</v>
      </c>
    </row>
    <row r="1217" spans="1:12" x14ac:dyDescent="0.3">
      <c r="A1217" s="1">
        <v>40844</v>
      </c>
      <c r="B1217" s="1">
        <v>40847</v>
      </c>
      <c r="C1217" t="s">
        <v>1317</v>
      </c>
      <c r="D1217" t="s">
        <v>27</v>
      </c>
      <c r="E1217" t="s">
        <v>698</v>
      </c>
      <c r="F1217">
        <v>141.4</v>
      </c>
      <c r="G1217">
        <v>5</v>
      </c>
      <c r="H1217">
        <v>38.177999999999997</v>
      </c>
      <c r="I1217">
        <v>3</v>
      </c>
      <c r="J1217">
        <v>2011</v>
      </c>
      <c r="K1217" t="s">
        <v>2209</v>
      </c>
      <c r="L1217" t="str">
        <f>TEXT(maintable_2[[#This Row],[Order Date]],"mmmm")</f>
        <v>October</v>
      </c>
    </row>
    <row r="1218" spans="1:12" x14ac:dyDescent="0.3">
      <c r="A1218" s="1">
        <v>41797</v>
      </c>
      <c r="B1218" s="1">
        <v>41801</v>
      </c>
      <c r="C1218" t="s">
        <v>1168</v>
      </c>
      <c r="D1218" t="s">
        <v>11</v>
      </c>
      <c r="E1218" t="s">
        <v>1320</v>
      </c>
      <c r="F1218">
        <v>4.95</v>
      </c>
      <c r="G1218">
        <v>1</v>
      </c>
      <c r="H1218">
        <v>2.1779999999999999</v>
      </c>
      <c r="I1218">
        <v>4</v>
      </c>
      <c r="J1218">
        <v>2014</v>
      </c>
      <c r="K1218" t="s">
        <v>2206</v>
      </c>
      <c r="L1218" t="str">
        <f>TEXT(maintable_2[[#This Row],[Order Date]],"mmmm")</f>
        <v>June</v>
      </c>
    </row>
    <row r="1219" spans="1:12" x14ac:dyDescent="0.3">
      <c r="A1219" s="1">
        <v>41797</v>
      </c>
      <c r="B1219" s="1">
        <v>41801</v>
      </c>
      <c r="C1219" t="s">
        <v>1168</v>
      </c>
      <c r="D1219" t="s">
        <v>27</v>
      </c>
      <c r="E1219" t="s">
        <v>1321</v>
      </c>
      <c r="F1219">
        <v>26.4</v>
      </c>
      <c r="G1219">
        <v>5</v>
      </c>
      <c r="H1219">
        <v>0</v>
      </c>
      <c r="I1219">
        <v>4</v>
      </c>
      <c r="J1219">
        <v>2014</v>
      </c>
      <c r="K1219" t="s">
        <v>2206</v>
      </c>
      <c r="L1219" t="str">
        <f>TEXT(maintable_2[[#This Row],[Order Date]],"mmmm")</f>
        <v>June</v>
      </c>
    </row>
    <row r="1220" spans="1:12" x14ac:dyDescent="0.3">
      <c r="A1220" s="1">
        <v>40897</v>
      </c>
      <c r="B1220" s="1">
        <v>40897</v>
      </c>
      <c r="C1220" t="s">
        <v>1027</v>
      </c>
      <c r="D1220" t="s">
        <v>37</v>
      </c>
      <c r="E1220" t="s">
        <v>1322</v>
      </c>
      <c r="F1220">
        <v>447.94400000000002</v>
      </c>
      <c r="G1220">
        <v>7</v>
      </c>
      <c r="H1220">
        <v>89.588800000000006</v>
      </c>
      <c r="I1220">
        <v>0</v>
      </c>
      <c r="J1220">
        <v>2011</v>
      </c>
      <c r="K1220" t="s">
        <v>2207</v>
      </c>
      <c r="L1220" t="str">
        <f>TEXT(maintable_2[[#This Row],[Order Date]],"mmmm")</f>
        <v>December</v>
      </c>
    </row>
    <row r="1221" spans="1:12" x14ac:dyDescent="0.3">
      <c r="A1221" s="1">
        <v>41930</v>
      </c>
      <c r="B1221" s="1">
        <v>41932</v>
      </c>
      <c r="C1221" t="s">
        <v>1323</v>
      </c>
      <c r="D1221" t="s">
        <v>13</v>
      </c>
      <c r="E1221" t="s">
        <v>1324</v>
      </c>
      <c r="F1221">
        <v>10.64</v>
      </c>
      <c r="G1221">
        <v>4</v>
      </c>
      <c r="H1221">
        <v>2.7664</v>
      </c>
      <c r="I1221">
        <v>2</v>
      </c>
      <c r="J1221">
        <v>2014</v>
      </c>
      <c r="K1221" t="s">
        <v>2209</v>
      </c>
      <c r="L1221" t="str">
        <f>TEXT(maintable_2[[#This Row],[Order Date]],"mmmm")</f>
        <v>October</v>
      </c>
    </row>
    <row r="1222" spans="1:12" x14ac:dyDescent="0.3">
      <c r="A1222" s="1">
        <v>40751</v>
      </c>
      <c r="B1222" s="1">
        <v>40753</v>
      </c>
      <c r="C1222" t="s">
        <v>753</v>
      </c>
      <c r="D1222" t="s">
        <v>37</v>
      </c>
      <c r="E1222" t="s">
        <v>963</v>
      </c>
      <c r="F1222">
        <v>238</v>
      </c>
      <c r="G1222">
        <v>2</v>
      </c>
      <c r="H1222">
        <v>38.08</v>
      </c>
      <c r="I1222">
        <v>2</v>
      </c>
      <c r="J1222">
        <v>2011</v>
      </c>
      <c r="K1222" t="s">
        <v>2206</v>
      </c>
      <c r="L1222" t="str">
        <f>TEXT(maintable_2[[#This Row],[Order Date]],"mmmm")</f>
        <v>July</v>
      </c>
    </row>
    <row r="1223" spans="1:12" x14ac:dyDescent="0.3">
      <c r="A1223" s="1">
        <v>41205</v>
      </c>
      <c r="B1223" s="1">
        <v>41209</v>
      </c>
      <c r="C1223" t="s">
        <v>1325</v>
      </c>
      <c r="D1223" t="s">
        <v>37</v>
      </c>
      <c r="E1223" t="s">
        <v>1326</v>
      </c>
      <c r="F1223">
        <v>148.32</v>
      </c>
      <c r="G1223">
        <v>9</v>
      </c>
      <c r="H1223">
        <v>63.7776</v>
      </c>
      <c r="I1223">
        <v>4</v>
      </c>
      <c r="J1223">
        <v>2012</v>
      </c>
      <c r="K1223" t="s">
        <v>2209</v>
      </c>
      <c r="L1223" t="str">
        <f>TEXT(maintable_2[[#This Row],[Order Date]],"mmmm")</f>
        <v>October</v>
      </c>
    </row>
    <row r="1224" spans="1:12" x14ac:dyDescent="0.3">
      <c r="A1224" s="1">
        <v>41205</v>
      </c>
      <c r="B1224" s="1">
        <v>41209</v>
      </c>
      <c r="C1224" t="s">
        <v>1325</v>
      </c>
      <c r="D1224" t="s">
        <v>71</v>
      </c>
      <c r="E1224" t="s">
        <v>1165</v>
      </c>
      <c r="F1224">
        <v>240.78399999999999</v>
      </c>
      <c r="G1224">
        <v>1</v>
      </c>
      <c r="H1224">
        <v>27.088200000000001</v>
      </c>
      <c r="I1224">
        <v>4</v>
      </c>
      <c r="J1224">
        <v>2012</v>
      </c>
      <c r="K1224" t="s">
        <v>2209</v>
      </c>
      <c r="L1224" t="str">
        <f>TEXT(maintable_2[[#This Row],[Order Date]],"mmmm")</f>
        <v>October</v>
      </c>
    </row>
    <row r="1225" spans="1:12" x14ac:dyDescent="0.3">
      <c r="A1225" s="1">
        <v>41205</v>
      </c>
      <c r="B1225" s="1">
        <v>41209</v>
      </c>
      <c r="C1225" t="s">
        <v>1325</v>
      </c>
      <c r="D1225" t="s">
        <v>71</v>
      </c>
      <c r="E1225" t="s">
        <v>1327</v>
      </c>
      <c r="F1225">
        <v>191.96799999999999</v>
      </c>
      <c r="G1225">
        <v>7</v>
      </c>
      <c r="H1225">
        <v>16.7972</v>
      </c>
      <c r="I1225">
        <v>4</v>
      </c>
      <c r="J1225">
        <v>2012</v>
      </c>
      <c r="K1225" t="s">
        <v>2209</v>
      </c>
      <c r="L1225" t="str">
        <f>TEXT(maintable_2[[#This Row],[Order Date]],"mmmm")</f>
        <v>October</v>
      </c>
    </row>
    <row r="1226" spans="1:12" x14ac:dyDescent="0.3">
      <c r="A1226" s="1">
        <v>41205</v>
      </c>
      <c r="B1226" s="1">
        <v>41209</v>
      </c>
      <c r="C1226" t="s">
        <v>1325</v>
      </c>
      <c r="D1226" t="s">
        <v>44</v>
      </c>
      <c r="E1226" t="s">
        <v>1328</v>
      </c>
      <c r="F1226">
        <v>11.56</v>
      </c>
      <c r="G1226">
        <v>2</v>
      </c>
      <c r="H1226">
        <v>5.6643999999999997</v>
      </c>
      <c r="I1226">
        <v>4</v>
      </c>
      <c r="J1226">
        <v>2012</v>
      </c>
      <c r="K1226" t="s">
        <v>2209</v>
      </c>
      <c r="L1226" t="str">
        <f>TEXT(maintable_2[[#This Row],[Order Date]],"mmmm")</f>
        <v>October</v>
      </c>
    </row>
    <row r="1227" spans="1:12" x14ac:dyDescent="0.3">
      <c r="A1227" s="1">
        <v>41205</v>
      </c>
      <c r="B1227" s="1">
        <v>41209</v>
      </c>
      <c r="C1227" t="s">
        <v>1325</v>
      </c>
      <c r="D1227" t="s">
        <v>86</v>
      </c>
      <c r="E1227" t="s">
        <v>441</v>
      </c>
      <c r="F1227">
        <v>11.8</v>
      </c>
      <c r="G1227">
        <v>4</v>
      </c>
      <c r="H1227">
        <v>5.6639999999999997</v>
      </c>
      <c r="I1227">
        <v>4</v>
      </c>
      <c r="J1227">
        <v>2012</v>
      </c>
      <c r="K1227" t="s">
        <v>2209</v>
      </c>
      <c r="L1227" t="str">
        <f>TEXT(maintable_2[[#This Row],[Order Date]],"mmmm")</f>
        <v>October</v>
      </c>
    </row>
    <row r="1228" spans="1:12" x14ac:dyDescent="0.3">
      <c r="A1228" s="1">
        <v>41205</v>
      </c>
      <c r="B1228" s="1">
        <v>41209</v>
      </c>
      <c r="C1228" t="s">
        <v>1325</v>
      </c>
      <c r="D1228" t="s">
        <v>71</v>
      </c>
      <c r="E1228" t="s">
        <v>1075</v>
      </c>
      <c r="F1228">
        <v>842.35199999999998</v>
      </c>
      <c r="G1228">
        <v>3</v>
      </c>
      <c r="H1228">
        <v>42.117600000000003</v>
      </c>
      <c r="I1228">
        <v>4</v>
      </c>
      <c r="J1228">
        <v>2012</v>
      </c>
      <c r="K1228" t="s">
        <v>2209</v>
      </c>
      <c r="L1228" t="str">
        <f>TEXT(maintable_2[[#This Row],[Order Date]],"mmmm")</f>
        <v>October</v>
      </c>
    </row>
    <row r="1229" spans="1:12" x14ac:dyDescent="0.3">
      <c r="A1229" s="1">
        <v>41075</v>
      </c>
      <c r="B1229" s="1">
        <v>41080</v>
      </c>
      <c r="C1229" t="s">
        <v>1329</v>
      </c>
      <c r="D1229" t="s">
        <v>44</v>
      </c>
      <c r="E1229" t="s">
        <v>1330</v>
      </c>
      <c r="F1229">
        <v>9.5679999999999996</v>
      </c>
      <c r="G1229">
        <v>2</v>
      </c>
      <c r="H1229">
        <v>2.99</v>
      </c>
      <c r="I1229">
        <v>5</v>
      </c>
      <c r="J1229">
        <v>2012</v>
      </c>
      <c r="K1229" t="s">
        <v>2206</v>
      </c>
      <c r="L1229" t="str">
        <f>TEXT(maintable_2[[#This Row],[Order Date]],"mmmm")</f>
        <v>June</v>
      </c>
    </row>
    <row r="1230" spans="1:12" x14ac:dyDescent="0.3">
      <c r="A1230" s="1">
        <v>41075</v>
      </c>
      <c r="B1230" s="1">
        <v>41080</v>
      </c>
      <c r="C1230" t="s">
        <v>1329</v>
      </c>
      <c r="D1230" t="s">
        <v>27</v>
      </c>
      <c r="E1230" t="s">
        <v>645</v>
      </c>
      <c r="F1230">
        <v>82.367999999999995</v>
      </c>
      <c r="G1230">
        <v>2</v>
      </c>
      <c r="H1230">
        <v>-19.5624</v>
      </c>
      <c r="I1230">
        <v>5</v>
      </c>
      <c r="J1230">
        <v>2012</v>
      </c>
      <c r="K1230" t="s">
        <v>2206</v>
      </c>
      <c r="L1230" t="str">
        <f>TEXT(maintable_2[[#This Row],[Order Date]],"mmmm")</f>
        <v>June</v>
      </c>
    </row>
    <row r="1231" spans="1:12" x14ac:dyDescent="0.3">
      <c r="A1231" s="1">
        <v>41075</v>
      </c>
      <c r="B1231" s="1">
        <v>41080</v>
      </c>
      <c r="C1231" t="s">
        <v>1329</v>
      </c>
      <c r="D1231" t="s">
        <v>11</v>
      </c>
      <c r="E1231" t="s">
        <v>1331</v>
      </c>
      <c r="F1231">
        <v>364.70400000000001</v>
      </c>
      <c r="G1231">
        <v>6</v>
      </c>
      <c r="H1231">
        <v>-36.470399999999998</v>
      </c>
      <c r="I1231">
        <v>5</v>
      </c>
      <c r="J1231">
        <v>2012</v>
      </c>
      <c r="K1231" t="s">
        <v>2206</v>
      </c>
      <c r="L1231" t="str">
        <f>TEXT(maintable_2[[#This Row],[Order Date]],"mmmm")</f>
        <v>June</v>
      </c>
    </row>
    <row r="1232" spans="1:12" x14ac:dyDescent="0.3">
      <c r="A1232" s="1">
        <v>41075</v>
      </c>
      <c r="B1232" s="1">
        <v>41080</v>
      </c>
      <c r="C1232" t="s">
        <v>1329</v>
      </c>
      <c r="D1232" t="s">
        <v>11</v>
      </c>
      <c r="E1232" t="s">
        <v>1332</v>
      </c>
      <c r="F1232">
        <v>40.256</v>
      </c>
      <c r="G1232">
        <v>4</v>
      </c>
      <c r="H1232">
        <v>11.070399999999999</v>
      </c>
      <c r="I1232">
        <v>5</v>
      </c>
      <c r="J1232">
        <v>2012</v>
      </c>
      <c r="K1232" t="s">
        <v>2206</v>
      </c>
      <c r="L1232" t="str">
        <f>TEXT(maintable_2[[#This Row],[Order Date]],"mmmm")</f>
        <v>June</v>
      </c>
    </row>
    <row r="1233" spans="1:12" x14ac:dyDescent="0.3">
      <c r="A1233" s="1">
        <v>41603</v>
      </c>
      <c r="B1233" s="1">
        <v>41609</v>
      </c>
      <c r="C1233" t="s">
        <v>205</v>
      </c>
      <c r="D1233" t="s">
        <v>37</v>
      </c>
      <c r="E1233" t="s">
        <v>1333</v>
      </c>
      <c r="F1233">
        <v>659.9</v>
      </c>
      <c r="G1233">
        <v>2</v>
      </c>
      <c r="H1233">
        <v>217.767</v>
      </c>
      <c r="I1233">
        <v>6</v>
      </c>
      <c r="J1233">
        <v>2013</v>
      </c>
      <c r="K1233" t="s">
        <v>2209</v>
      </c>
      <c r="L1233" t="str">
        <f>TEXT(maintable_2[[#This Row],[Order Date]],"mmmm")</f>
        <v>November</v>
      </c>
    </row>
    <row r="1234" spans="1:12" x14ac:dyDescent="0.3">
      <c r="A1234" s="1">
        <v>41603</v>
      </c>
      <c r="B1234" s="1">
        <v>41609</v>
      </c>
      <c r="C1234" t="s">
        <v>205</v>
      </c>
      <c r="D1234" t="s">
        <v>71</v>
      </c>
      <c r="E1234" t="s">
        <v>928</v>
      </c>
      <c r="F1234">
        <v>1684.752</v>
      </c>
      <c r="G1234">
        <v>6</v>
      </c>
      <c r="H1234">
        <v>210.59399999999999</v>
      </c>
      <c r="I1234">
        <v>6</v>
      </c>
      <c r="J1234">
        <v>2013</v>
      </c>
      <c r="K1234" t="s">
        <v>2209</v>
      </c>
      <c r="L1234" t="str">
        <f>TEXT(maintable_2[[#This Row],[Order Date]],"mmmm")</f>
        <v>November</v>
      </c>
    </row>
    <row r="1235" spans="1:12" x14ac:dyDescent="0.3">
      <c r="A1235" s="1">
        <v>41603</v>
      </c>
      <c r="B1235" s="1">
        <v>41609</v>
      </c>
      <c r="C1235" t="s">
        <v>205</v>
      </c>
      <c r="D1235" t="s">
        <v>37</v>
      </c>
      <c r="E1235" t="s">
        <v>1183</v>
      </c>
      <c r="F1235">
        <v>559.91999999999996</v>
      </c>
      <c r="G1235">
        <v>8</v>
      </c>
      <c r="H1235">
        <v>190.37280000000001</v>
      </c>
      <c r="I1235">
        <v>6</v>
      </c>
      <c r="J1235">
        <v>2013</v>
      </c>
      <c r="K1235" t="s">
        <v>2209</v>
      </c>
      <c r="L1235" t="str">
        <f>TEXT(maintable_2[[#This Row],[Order Date]],"mmmm")</f>
        <v>November</v>
      </c>
    </row>
    <row r="1236" spans="1:12" x14ac:dyDescent="0.3">
      <c r="A1236" s="1">
        <v>41184</v>
      </c>
      <c r="B1236" s="1">
        <v>41189</v>
      </c>
      <c r="C1236" t="s">
        <v>660</v>
      </c>
      <c r="D1236" t="s">
        <v>27</v>
      </c>
      <c r="E1236" t="s">
        <v>1334</v>
      </c>
      <c r="F1236">
        <v>270.33999999999997</v>
      </c>
      <c r="G1236">
        <v>14</v>
      </c>
      <c r="H1236">
        <v>75.6952</v>
      </c>
      <c r="I1236">
        <v>5</v>
      </c>
      <c r="J1236">
        <v>2012</v>
      </c>
      <c r="K1236" t="s">
        <v>2209</v>
      </c>
      <c r="L1236" t="str">
        <f>TEXT(maintable_2[[#This Row],[Order Date]],"mmmm")</f>
        <v>October</v>
      </c>
    </row>
    <row r="1237" spans="1:12" x14ac:dyDescent="0.3">
      <c r="A1237" s="1">
        <v>41839</v>
      </c>
      <c r="B1237" s="1">
        <v>41844</v>
      </c>
      <c r="C1237" t="s">
        <v>1335</v>
      </c>
      <c r="D1237" t="s">
        <v>21</v>
      </c>
      <c r="E1237" t="s">
        <v>1248</v>
      </c>
      <c r="F1237">
        <v>801.6</v>
      </c>
      <c r="G1237">
        <v>5</v>
      </c>
      <c r="H1237">
        <v>-448.89600000000002</v>
      </c>
      <c r="I1237">
        <v>5</v>
      </c>
      <c r="J1237">
        <v>2014</v>
      </c>
      <c r="K1237" t="s">
        <v>2206</v>
      </c>
      <c r="L1237" t="str">
        <f>TEXT(maintable_2[[#This Row],[Order Date]],"mmmm")</f>
        <v>July</v>
      </c>
    </row>
    <row r="1238" spans="1:12" x14ac:dyDescent="0.3">
      <c r="A1238" s="1">
        <v>41839</v>
      </c>
      <c r="B1238" s="1">
        <v>41844</v>
      </c>
      <c r="C1238" t="s">
        <v>1335</v>
      </c>
      <c r="D1238" t="s">
        <v>71</v>
      </c>
      <c r="E1238" t="s">
        <v>850</v>
      </c>
      <c r="F1238">
        <v>161.56800000000001</v>
      </c>
      <c r="G1238">
        <v>2</v>
      </c>
      <c r="H1238">
        <v>10.098000000000001</v>
      </c>
      <c r="I1238">
        <v>5</v>
      </c>
      <c r="J1238">
        <v>2014</v>
      </c>
      <c r="K1238" t="s">
        <v>2206</v>
      </c>
      <c r="L1238" t="str">
        <f>TEXT(maintable_2[[#This Row],[Order Date]],"mmmm")</f>
        <v>July</v>
      </c>
    </row>
    <row r="1239" spans="1:12" x14ac:dyDescent="0.3">
      <c r="A1239" s="1">
        <v>41839</v>
      </c>
      <c r="B1239" s="1">
        <v>41844</v>
      </c>
      <c r="C1239" t="s">
        <v>1335</v>
      </c>
      <c r="D1239" t="s">
        <v>44</v>
      </c>
      <c r="E1239" t="s">
        <v>1336</v>
      </c>
      <c r="F1239">
        <v>16.096</v>
      </c>
      <c r="G1239">
        <v>2</v>
      </c>
      <c r="H1239">
        <v>5.2312000000000003</v>
      </c>
      <c r="I1239">
        <v>5</v>
      </c>
      <c r="J1239">
        <v>2014</v>
      </c>
      <c r="K1239" t="s">
        <v>2206</v>
      </c>
      <c r="L1239" t="str">
        <f>TEXT(maintable_2[[#This Row],[Order Date]],"mmmm")</f>
        <v>July</v>
      </c>
    </row>
    <row r="1240" spans="1:12" x14ac:dyDescent="0.3">
      <c r="A1240" s="1">
        <v>41839</v>
      </c>
      <c r="B1240" s="1">
        <v>41844</v>
      </c>
      <c r="C1240" t="s">
        <v>1335</v>
      </c>
      <c r="D1240" t="s">
        <v>17</v>
      </c>
      <c r="E1240" t="s">
        <v>1337</v>
      </c>
      <c r="F1240">
        <v>7.6559999999999997</v>
      </c>
      <c r="G1240">
        <v>4</v>
      </c>
      <c r="H1240">
        <v>-6.1247999999999996</v>
      </c>
      <c r="I1240">
        <v>5</v>
      </c>
      <c r="J1240">
        <v>2014</v>
      </c>
      <c r="K1240" t="s">
        <v>2206</v>
      </c>
      <c r="L1240" t="str">
        <f>TEXT(maintable_2[[#This Row],[Order Date]],"mmmm")</f>
        <v>July</v>
      </c>
    </row>
    <row r="1241" spans="1:12" x14ac:dyDescent="0.3">
      <c r="A1241" s="1">
        <v>41839</v>
      </c>
      <c r="B1241" s="1">
        <v>41844</v>
      </c>
      <c r="C1241" t="s">
        <v>1335</v>
      </c>
      <c r="D1241" t="s">
        <v>71</v>
      </c>
      <c r="E1241" t="s">
        <v>1338</v>
      </c>
      <c r="F1241">
        <v>311.976</v>
      </c>
      <c r="G1241">
        <v>3</v>
      </c>
      <c r="H1241">
        <v>-42.896700000000003</v>
      </c>
      <c r="I1241">
        <v>5</v>
      </c>
      <c r="J1241">
        <v>2014</v>
      </c>
      <c r="K1241" t="s">
        <v>2206</v>
      </c>
      <c r="L1241" t="str">
        <f>TEXT(maintable_2[[#This Row],[Order Date]],"mmmm")</f>
        <v>July</v>
      </c>
    </row>
    <row r="1242" spans="1:12" x14ac:dyDescent="0.3">
      <c r="A1242" s="1">
        <v>40803</v>
      </c>
      <c r="B1242" s="1">
        <v>40807</v>
      </c>
      <c r="C1242" t="s">
        <v>248</v>
      </c>
      <c r="D1242" t="s">
        <v>27</v>
      </c>
      <c r="E1242" t="s">
        <v>1339</v>
      </c>
      <c r="F1242">
        <v>30.28</v>
      </c>
      <c r="G1242">
        <v>2</v>
      </c>
      <c r="H1242">
        <v>1.2112000000000001</v>
      </c>
      <c r="I1242">
        <v>4</v>
      </c>
      <c r="J1242">
        <v>2011</v>
      </c>
      <c r="K1242" t="s">
        <v>2209</v>
      </c>
      <c r="L1242" t="str">
        <f>TEXT(maintable_2[[#This Row],[Order Date]],"mmmm")</f>
        <v>September</v>
      </c>
    </row>
    <row r="1243" spans="1:12" x14ac:dyDescent="0.3">
      <c r="A1243" s="1">
        <v>40803</v>
      </c>
      <c r="B1243" s="1">
        <v>40807</v>
      </c>
      <c r="C1243" t="s">
        <v>248</v>
      </c>
      <c r="D1243" t="s">
        <v>27</v>
      </c>
      <c r="E1243" t="s">
        <v>1334</v>
      </c>
      <c r="F1243">
        <v>57.93</v>
      </c>
      <c r="G1243">
        <v>3</v>
      </c>
      <c r="H1243">
        <v>16.220400000000001</v>
      </c>
      <c r="I1243">
        <v>4</v>
      </c>
      <c r="J1243">
        <v>2011</v>
      </c>
      <c r="K1243" t="s">
        <v>2209</v>
      </c>
      <c r="L1243" t="str">
        <f>TEXT(maintable_2[[#This Row],[Order Date]],"mmmm")</f>
        <v>September</v>
      </c>
    </row>
    <row r="1244" spans="1:12" x14ac:dyDescent="0.3">
      <c r="A1244" s="1">
        <v>40803</v>
      </c>
      <c r="B1244" s="1">
        <v>40807</v>
      </c>
      <c r="C1244" t="s">
        <v>248</v>
      </c>
      <c r="D1244" t="s">
        <v>11</v>
      </c>
      <c r="E1244" t="s">
        <v>1048</v>
      </c>
      <c r="F1244">
        <v>35.340000000000003</v>
      </c>
      <c r="G1244">
        <v>2</v>
      </c>
      <c r="H1244">
        <v>13.4292</v>
      </c>
      <c r="I1244">
        <v>4</v>
      </c>
      <c r="J1244">
        <v>2011</v>
      </c>
      <c r="K1244" t="s">
        <v>2209</v>
      </c>
      <c r="L1244" t="str">
        <f>TEXT(maintable_2[[#This Row],[Order Date]],"mmmm")</f>
        <v>September</v>
      </c>
    </row>
    <row r="1245" spans="1:12" x14ac:dyDescent="0.3">
      <c r="A1245" s="1">
        <v>40803</v>
      </c>
      <c r="B1245" s="1">
        <v>40807</v>
      </c>
      <c r="C1245" t="s">
        <v>248</v>
      </c>
      <c r="D1245" t="s">
        <v>17</v>
      </c>
      <c r="E1245" t="s">
        <v>870</v>
      </c>
      <c r="F1245">
        <v>137.24</v>
      </c>
      <c r="G1245">
        <v>5</v>
      </c>
      <c r="H1245">
        <v>46.3185</v>
      </c>
      <c r="I1245">
        <v>4</v>
      </c>
      <c r="J1245">
        <v>2011</v>
      </c>
      <c r="K1245" t="s">
        <v>2209</v>
      </c>
      <c r="L1245" t="str">
        <f>TEXT(maintable_2[[#This Row],[Order Date]],"mmmm")</f>
        <v>September</v>
      </c>
    </row>
    <row r="1246" spans="1:12" x14ac:dyDescent="0.3">
      <c r="A1246" s="1">
        <v>41885</v>
      </c>
      <c r="B1246" s="1">
        <v>41891</v>
      </c>
      <c r="C1246" t="s">
        <v>839</v>
      </c>
      <c r="D1246" t="s">
        <v>13</v>
      </c>
      <c r="E1246" t="s">
        <v>1340</v>
      </c>
      <c r="F1246">
        <v>9.4</v>
      </c>
      <c r="G1246">
        <v>5</v>
      </c>
      <c r="H1246">
        <v>2.726</v>
      </c>
      <c r="I1246">
        <v>6</v>
      </c>
      <c r="J1246">
        <v>2014</v>
      </c>
      <c r="K1246" t="s">
        <v>2209</v>
      </c>
      <c r="L1246" t="str">
        <f>TEXT(maintable_2[[#This Row],[Order Date]],"mmmm")</f>
        <v>September</v>
      </c>
    </row>
    <row r="1247" spans="1:12" x14ac:dyDescent="0.3">
      <c r="A1247" s="1">
        <v>41885</v>
      </c>
      <c r="B1247" s="1">
        <v>41891</v>
      </c>
      <c r="C1247" t="s">
        <v>839</v>
      </c>
      <c r="D1247" t="s">
        <v>8</v>
      </c>
      <c r="E1247" t="s">
        <v>1341</v>
      </c>
      <c r="F1247">
        <v>74</v>
      </c>
      <c r="G1247">
        <v>5</v>
      </c>
      <c r="H1247">
        <v>37</v>
      </c>
      <c r="I1247">
        <v>6</v>
      </c>
      <c r="J1247">
        <v>2014</v>
      </c>
      <c r="K1247" t="s">
        <v>2209</v>
      </c>
      <c r="L1247" t="str">
        <f>TEXT(maintable_2[[#This Row],[Order Date]],"mmmm")</f>
        <v>September</v>
      </c>
    </row>
    <row r="1248" spans="1:12" x14ac:dyDescent="0.3">
      <c r="A1248" s="1">
        <v>41885</v>
      </c>
      <c r="B1248" s="1">
        <v>41891</v>
      </c>
      <c r="C1248" t="s">
        <v>839</v>
      </c>
      <c r="D1248" t="s">
        <v>15</v>
      </c>
      <c r="E1248" t="s">
        <v>1256</v>
      </c>
      <c r="F1248">
        <v>201.584</v>
      </c>
      <c r="G1248">
        <v>2</v>
      </c>
      <c r="H1248">
        <v>12.599</v>
      </c>
      <c r="I1248">
        <v>6</v>
      </c>
      <c r="J1248">
        <v>2014</v>
      </c>
      <c r="K1248" t="s">
        <v>2209</v>
      </c>
      <c r="L1248" t="str">
        <f>TEXT(maintable_2[[#This Row],[Order Date]],"mmmm")</f>
        <v>September</v>
      </c>
    </row>
    <row r="1249" spans="1:12" x14ac:dyDescent="0.3">
      <c r="A1249" s="1">
        <v>41411</v>
      </c>
      <c r="B1249" s="1">
        <v>41416</v>
      </c>
      <c r="C1249" t="s">
        <v>1291</v>
      </c>
      <c r="D1249" t="s">
        <v>44</v>
      </c>
      <c r="E1249" t="s">
        <v>1328</v>
      </c>
      <c r="F1249">
        <v>17.34</v>
      </c>
      <c r="G1249">
        <v>3</v>
      </c>
      <c r="H1249">
        <v>8.4966000000000008</v>
      </c>
      <c r="I1249">
        <v>5</v>
      </c>
      <c r="J1249">
        <v>2013</v>
      </c>
      <c r="K1249" t="s">
        <v>2208</v>
      </c>
      <c r="L1249" t="str">
        <f>TEXT(maintable_2[[#This Row],[Order Date]],"mmmm")</f>
        <v>May</v>
      </c>
    </row>
    <row r="1250" spans="1:12" x14ac:dyDescent="0.3">
      <c r="A1250" s="1">
        <v>41335</v>
      </c>
      <c r="B1250" s="1">
        <v>41342</v>
      </c>
      <c r="C1250" t="s">
        <v>1215</v>
      </c>
      <c r="D1250" t="s">
        <v>15</v>
      </c>
      <c r="E1250" t="s">
        <v>1342</v>
      </c>
      <c r="F1250">
        <v>159.98400000000001</v>
      </c>
      <c r="G1250">
        <v>2</v>
      </c>
      <c r="H1250">
        <v>13.9986</v>
      </c>
      <c r="I1250">
        <v>7</v>
      </c>
      <c r="J1250">
        <v>2013</v>
      </c>
      <c r="K1250" t="s">
        <v>2208</v>
      </c>
      <c r="L1250" t="str">
        <f>TEXT(maintable_2[[#This Row],[Order Date]],"mmmm")</f>
        <v>March</v>
      </c>
    </row>
    <row r="1251" spans="1:12" x14ac:dyDescent="0.3">
      <c r="A1251" s="1">
        <v>41452</v>
      </c>
      <c r="B1251" s="1">
        <v>41459</v>
      </c>
      <c r="C1251" t="s">
        <v>50</v>
      </c>
      <c r="D1251" t="s">
        <v>11</v>
      </c>
      <c r="E1251" t="s">
        <v>1343</v>
      </c>
      <c r="F1251">
        <v>22.14</v>
      </c>
      <c r="G1251">
        <v>3</v>
      </c>
      <c r="H1251">
        <v>6.4206000000000003</v>
      </c>
      <c r="I1251">
        <v>7</v>
      </c>
      <c r="J1251">
        <v>2013</v>
      </c>
      <c r="K1251" t="s">
        <v>2206</v>
      </c>
      <c r="L1251" t="str">
        <f>TEXT(maintable_2[[#This Row],[Order Date]],"mmmm")</f>
        <v>June</v>
      </c>
    </row>
    <row r="1252" spans="1:12" x14ac:dyDescent="0.3">
      <c r="A1252" s="1">
        <v>41690</v>
      </c>
      <c r="B1252" s="1">
        <v>41691</v>
      </c>
      <c r="C1252" t="s">
        <v>729</v>
      </c>
      <c r="D1252" t="s">
        <v>13</v>
      </c>
      <c r="E1252" t="s">
        <v>1344</v>
      </c>
      <c r="F1252">
        <v>12.84</v>
      </c>
      <c r="G1252">
        <v>3</v>
      </c>
      <c r="H1252">
        <v>3.4668000000000001</v>
      </c>
      <c r="I1252">
        <v>1</v>
      </c>
      <c r="J1252">
        <v>2014</v>
      </c>
      <c r="K1252" t="s">
        <v>2210</v>
      </c>
      <c r="L1252" t="str">
        <f>TEXT(maintable_2[[#This Row],[Order Date]],"mmmm")</f>
        <v>February</v>
      </c>
    </row>
    <row r="1253" spans="1:12" x14ac:dyDescent="0.3">
      <c r="A1253" s="1">
        <v>41690</v>
      </c>
      <c r="B1253" s="1">
        <v>41691</v>
      </c>
      <c r="C1253" t="s">
        <v>729</v>
      </c>
      <c r="D1253" t="s">
        <v>11</v>
      </c>
      <c r="E1253" t="s">
        <v>1315</v>
      </c>
      <c r="F1253">
        <v>44.67</v>
      </c>
      <c r="G1253">
        <v>3</v>
      </c>
      <c r="H1253">
        <v>12.0609</v>
      </c>
      <c r="I1253">
        <v>1</v>
      </c>
      <c r="J1253">
        <v>2014</v>
      </c>
      <c r="K1253" t="s">
        <v>2210</v>
      </c>
      <c r="L1253" t="str">
        <f>TEXT(maintable_2[[#This Row],[Order Date]],"mmmm")</f>
        <v>February</v>
      </c>
    </row>
    <row r="1254" spans="1:12" x14ac:dyDescent="0.3">
      <c r="A1254" s="1">
        <v>41415</v>
      </c>
      <c r="B1254" s="1">
        <v>41418</v>
      </c>
      <c r="C1254" t="s">
        <v>1345</v>
      </c>
      <c r="D1254" t="s">
        <v>17</v>
      </c>
      <c r="E1254" t="s">
        <v>1346</v>
      </c>
      <c r="F1254">
        <v>40.634999999999998</v>
      </c>
      <c r="G1254">
        <v>7</v>
      </c>
      <c r="H1254">
        <v>-32.508000000000003</v>
      </c>
      <c r="I1254">
        <v>3</v>
      </c>
      <c r="J1254">
        <v>2013</v>
      </c>
      <c r="K1254" t="s">
        <v>2208</v>
      </c>
      <c r="L1254" t="str">
        <f>TEXT(maintable_2[[#This Row],[Order Date]],"mmmm")</f>
        <v>May</v>
      </c>
    </row>
    <row r="1255" spans="1:12" x14ac:dyDescent="0.3">
      <c r="A1255" s="1">
        <v>40869</v>
      </c>
      <c r="B1255" s="1">
        <v>40873</v>
      </c>
      <c r="C1255" t="s">
        <v>1347</v>
      </c>
      <c r="D1255" t="s">
        <v>44</v>
      </c>
      <c r="E1255" t="s">
        <v>1330</v>
      </c>
      <c r="F1255">
        <v>53.82</v>
      </c>
      <c r="G1255">
        <v>9</v>
      </c>
      <c r="H1255">
        <v>24.219000000000001</v>
      </c>
      <c r="I1255">
        <v>4</v>
      </c>
      <c r="J1255">
        <v>2011</v>
      </c>
      <c r="K1255" t="s">
        <v>2209</v>
      </c>
      <c r="L1255" t="str">
        <f>TEXT(maintable_2[[#This Row],[Order Date]],"mmmm")</f>
        <v>November</v>
      </c>
    </row>
    <row r="1256" spans="1:12" x14ac:dyDescent="0.3">
      <c r="A1256" s="1">
        <v>41915</v>
      </c>
      <c r="B1256" s="1">
        <v>41920</v>
      </c>
      <c r="C1256" t="s">
        <v>555</v>
      </c>
      <c r="D1256" t="s">
        <v>78</v>
      </c>
      <c r="E1256" t="s">
        <v>105</v>
      </c>
      <c r="F1256">
        <v>8.94</v>
      </c>
      <c r="G1256">
        <v>3</v>
      </c>
      <c r="H1256">
        <v>4.1124000000000001</v>
      </c>
      <c r="I1256">
        <v>5</v>
      </c>
      <c r="J1256">
        <v>2014</v>
      </c>
      <c r="K1256" t="s">
        <v>2209</v>
      </c>
      <c r="L1256" t="str">
        <f>TEXT(maintable_2[[#This Row],[Order Date]],"mmmm")</f>
        <v>October</v>
      </c>
    </row>
    <row r="1257" spans="1:12" x14ac:dyDescent="0.3">
      <c r="A1257" s="1">
        <v>41915</v>
      </c>
      <c r="B1257" s="1">
        <v>41920</v>
      </c>
      <c r="C1257" t="s">
        <v>555</v>
      </c>
      <c r="D1257" t="s">
        <v>15</v>
      </c>
      <c r="E1257" t="s">
        <v>299</v>
      </c>
      <c r="F1257">
        <v>84.784000000000006</v>
      </c>
      <c r="G1257">
        <v>2</v>
      </c>
      <c r="H1257">
        <v>-20.136199999999999</v>
      </c>
      <c r="I1257">
        <v>5</v>
      </c>
      <c r="J1257">
        <v>2014</v>
      </c>
      <c r="K1257" t="s">
        <v>2209</v>
      </c>
      <c r="L1257" t="str">
        <f>TEXT(maintable_2[[#This Row],[Order Date]],"mmmm")</f>
        <v>October</v>
      </c>
    </row>
    <row r="1258" spans="1:12" x14ac:dyDescent="0.3">
      <c r="A1258" s="1">
        <v>41989</v>
      </c>
      <c r="B1258" s="1">
        <v>41994</v>
      </c>
      <c r="C1258" t="s">
        <v>1348</v>
      </c>
      <c r="D1258" t="s">
        <v>11</v>
      </c>
      <c r="E1258" t="s">
        <v>1349</v>
      </c>
      <c r="F1258">
        <v>22.77</v>
      </c>
      <c r="G1258">
        <v>3</v>
      </c>
      <c r="H1258">
        <v>9.7911000000000001</v>
      </c>
      <c r="I1258">
        <v>5</v>
      </c>
      <c r="J1258">
        <v>2014</v>
      </c>
      <c r="K1258" t="s">
        <v>2207</v>
      </c>
      <c r="L1258" t="str">
        <f>TEXT(maintable_2[[#This Row],[Order Date]],"mmmm")</f>
        <v>December</v>
      </c>
    </row>
    <row r="1259" spans="1:12" x14ac:dyDescent="0.3">
      <c r="A1259" s="1">
        <v>41463</v>
      </c>
      <c r="B1259" s="1">
        <v>41465</v>
      </c>
      <c r="C1259" t="s">
        <v>1350</v>
      </c>
      <c r="D1259" t="s">
        <v>71</v>
      </c>
      <c r="E1259" t="s">
        <v>723</v>
      </c>
      <c r="F1259">
        <v>287.96800000000002</v>
      </c>
      <c r="G1259">
        <v>4</v>
      </c>
      <c r="H1259">
        <v>-3.5996000000000001</v>
      </c>
      <c r="I1259">
        <v>2</v>
      </c>
      <c r="J1259">
        <v>2013</v>
      </c>
      <c r="K1259" t="s">
        <v>2206</v>
      </c>
      <c r="L1259" t="str">
        <f>TEXT(maintable_2[[#This Row],[Order Date]],"mmmm")</f>
        <v>July</v>
      </c>
    </row>
    <row r="1260" spans="1:12" x14ac:dyDescent="0.3">
      <c r="A1260" s="1">
        <v>41463</v>
      </c>
      <c r="B1260" s="1">
        <v>41465</v>
      </c>
      <c r="C1260" t="s">
        <v>1350</v>
      </c>
      <c r="D1260" t="s">
        <v>163</v>
      </c>
      <c r="E1260" t="s">
        <v>917</v>
      </c>
      <c r="F1260">
        <v>2799.96</v>
      </c>
      <c r="G1260">
        <v>5</v>
      </c>
      <c r="H1260">
        <v>944.98649999999998</v>
      </c>
      <c r="I1260">
        <v>2</v>
      </c>
      <c r="J1260">
        <v>2013</v>
      </c>
      <c r="K1260" t="s">
        <v>2206</v>
      </c>
      <c r="L1260" t="str">
        <f>TEXT(maintable_2[[#This Row],[Order Date]],"mmmm")</f>
        <v>July</v>
      </c>
    </row>
    <row r="1261" spans="1:12" x14ac:dyDescent="0.3">
      <c r="A1261" s="1">
        <v>41463</v>
      </c>
      <c r="B1261" s="1">
        <v>41465</v>
      </c>
      <c r="C1261" t="s">
        <v>1350</v>
      </c>
      <c r="D1261" t="s">
        <v>44</v>
      </c>
      <c r="E1261" t="s">
        <v>1351</v>
      </c>
      <c r="F1261">
        <v>48.94</v>
      </c>
      <c r="G1261">
        <v>1</v>
      </c>
      <c r="H1261">
        <v>24.47</v>
      </c>
      <c r="I1261">
        <v>2</v>
      </c>
      <c r="J1261">
        <v>2013</v>
      </c>
      <c r="K1261" t="s">
        <v>2206</v>
      </c>
      <c r="L1261" t="str">
        <f>TEXT(maintable_2[[#This Row],[Order Date]],"mmmm")</f>
        <v>July</v>
      </c>
    </row>
    <row r="1262" spans="1:12" x14ac:dyDescent="0.3">
      <c r="A1262" s="1">
        <v>41382</v>
      </c>
      <c r="B1262" s="1">
        <v>41386</v>
      </c>
      <c r="C1262" t="s">
        <v>632</v>
      </c>
      <c r="D1262" t="s">
        <v>196</v>
      </c>
      <c r="E1262" t="s">
        <v>1352</v>
      </c>
      <c r="F1262">
        <v>257.49900000000002</v>
      </c>
      <c r="G1262">
        <v>3</v>
      </c>
      <c r="H1262">
        <v>24.235199999999999</v>
      </c>
      <c r="I1262">
        <v>4</v>
      </c>
      <c r="J1262">
        <v>2013</v>
      </c>
      <c r="K1262" t="s">
        <v>2208</v>
      </c>
      <c r="L1262" t="str">
        <f>TEXT(maintable_2[[#This Row],[Order Date]],"mmmm")</f>
        <v>April</v>
      </c>
    </row>
    <row r="1263" spans="1:12" x14ac:dyDescent="0.3">
      <c r="A1263" s="1">
        <v>40827</v>
      </c>
      <c r="B1263" s="1">
        <v>40832</v>
      </c>
      <c r="C1263" t="s">
        <v>1059</v>
      </c>
      <c r="D1263" t="s">
        <v>11</v>
      </c>
      <c r="E1263" t="s">
        <v>1353</v>
      </c>
      <c r="F1263">
        <v>63.47</v>
      </c>
      <c r="G1263">
        <v>11</v>
      </c>
      <c r="H1263">
        <v>19.041</v>
      </c>
      <c r="I1263">
        <v>5</v>
      </c>
      <c r="J1263">
        <v>2011</v>
      </c>
      <c r="K1263" t="s">
        <v>2209</v>
      </c>
      <c r="L1263" t="str">
        <f>TEXT(maintable_2[[#This Row],[Order Date]],"mmmm")</f>
        <v>October</v>
      </c>
    </row>
    <row r="1264" spans="1:12" x14ac:dyDescent="0.3">
      <c r="A1264" s="1">
        <v>40827</v>
      </c>
      <c r="B1264" s="1">
        <v>40832</v>
      </c>
      <c r="C1264" t="s">
        <v>1059</v>
      </c>
      <c r="D1264" t="s">
        <v>37</v>
      </c>
      <c r="E1264" t="s">
        <v>1354</v>
      </c>
      <c r="F1264">
        <v>345</v>
      </c>
      <c r="G1264">
        <v>5</v>
      </c>
      <c r="H1264">
        <v>58.65</v>
      </c>
      <c r="I1264">
        <v>5</v>
      </c>
      <c r="J1264">
        <v>2011</v>
      </c>
      <c r="K1264" t="s">
        <v>2209</v>
      </c>
      <c r="L1264" t="str">
        <f>TEXT(maintable_2[[#This Row],[Order Date]],"mmmm")</f>
        <v>October</v>
      </c>
    </row>
    <row r="1265" spans="1:12" x14ac:dyDescent="0.3">
      <c r="A1265" s="1">
        <v>41261</v>
      </c>
      <c r="B1265" s="1">
        <v>41265</v>
      </c>
      <c r="C1265" t="s">
        <v>1355</v>
      </c>
      <c r="D1265" t="s">
        <v>13</v>
      </c>
      <c r="E1265" t="s">
        <v>1344</v>
      </c>
      <c r="F1265">
        <v>6.8479999999999999</v>
      </c>
      <c r="G1265">
        <v>2</v>
      </c>
      <c r="H1265">
        <v>0.59919999999999995</v>
      </c>
      <c r="I1265">
        <v>4</v>
      </c>
      <c r="J1265">
        <v>2012</v>
      </c>
      <c r="K1265" t="s">
        <v>2207</v>
      </c>
      <c r="L1265" t="str">
        <f>TEXT(maintable_2[[#This Row],[Order Date]],"mmmm")</f>
        <v>December</v>
      </c>
    </row>
    <row r="1266" spans="1:12" x14ac:dyDescent="0.3">
      <c r="A1266" s="1">
        <v>41641</v>
      </c>
      <c r="B1266" s="1">
        <v>41645</v>
      </c>
      <c r="C1266" t="s">
        <v>716</v>
      </c>
      <c r="D1266" t="s">
        <v>11</v>
      </c>
      <c r="E1266" t="s">
        <v>1356</v>
      </c>
      <c r="F1266">
        <v>474.43</v>
      </c>
      <c r="G1266">
        <v>11</v>
      </c>
      <c r="H1266">
        <v>199.26060000000001</v>
      </c>
      <c r="I1266">
        <v>4</v>
      </c>
      <c r="J1266">
        <v>2014</v>
      </c>
      <c r="K1266" t="s">
        <v>2210</v>
      </c>
      <c r="L1266" t="str">
        <f>TEXT(maintable_2[[#This Row],[Order Date]],"mmmm")</f>
        <v>January</v>
      </c>
    </row>
    <row r="1267" spans="1:12" x14ac:dyDescent="0.3">
      <c r="A1267" s="1">
        <v>41940</v>
      </c>
      <c r="B1267" s="1">
        <v>41941</v>
      </c>
      <c r="C1267" t="s">
        <v>1357</v>
      </c>
      <c r="D1267" t="s">
        <v>196</v>
      </c>
      <c r="E1267" t="s">
        <v>1358</v>
      </c>
      <c r="F1267">
        <v>556.66499999999996</v>
      </c>
      <c r="G1267">
        <v>5</v>
      </c>
      <c r="H1267">
        <v>6.5490000000000004</v>
      </c>
      <c r="I1267">
        <v>1</v>
      </c>
      <c r="J1267">
        <v>2014</v>
      </c>
      <c r="K1267" t="s">
        <v>2209</v>
      </c>
      <c r="L1267" t="str">
        <f>TEXT(maintable_2[[#This Row],[Order Date]],"mmmm")</f>
        <v>October</v>
      </c>
    </row>
    <row r="1268" spans="1:12" x14ac:dyDescent="0.3">
      <c r="A1268" s="1">
        <v>41940</v>
      </c>
      <c r="B1268" s="1">
        <v>41941</v>
      </c>
      <c r="C1268" t="s">
        <v>1357</v>
      </c>
      <c r="D1268" t="s">
        <v>15</v>
      </c>
      <c r="E1268" t="s">
        <v>1359</v>
      </c>
      <c r="F1268">
        <v>95.84</v>
      </c>
      <c r="G1268">
        <v>4</v>
      </c>
      <c r="H1268">
        <v>34.741999999999997</v>
      </c>
      <c r="I1268">
        <v>1</v>
      </c>
      <c r="J1268">
        <v>2014</v>
      </c>
      <c r="K1268" t="s">
        <v>2209</v>
      </c>
      <c r="L1268" t="str">
        <f>TEXT(maintable_2[[#This Row],[Order Date]],"mmmm")</f>
        <v>October</v>
      </c>
    </row>
    <row r="1269" spans="1:12" x14ac:dyDescent="0.3">
      <c r="A1269" s="1">
        <v>41544</v>
      </c>
      <c r="B1269" s="1">
        <v>41548</v>
      </c>
      <c r="C1269" t="s">
        <v>1360</v>
      </c>
      <c r="D1269" t="s">
        <v>19</v>
      </c>
      <c r="E1269" t="s">
        <v>1361</v>
      </c>
      <c r="F1269">
        <v>236.88</v>
      </c>
      <c r="G1269">
        <v>6</v>
      </c>
      <c r="H1269">
        <v>66.326400000000007</v>
      </c>
      <c r="I1269">
        <v>4</v>
      </c>
      <c r="J1269">
        <v>2013</v>
      </c>
      <c r="K1269" t="s">
        <v>2209</v>
      </c>
      <c r="L1269" t="str">
        <f>TEXT(maintable_2[[#This Row],[Order Date]],"mmmm")</f>
        <v>September</v>
      </c>
    </row>
    <row r="1270" spans="1:12" x14ac:dyDescent="0.3">
      <c r="A1270" s="1">
        <v>41544</v>
      </c>
      <c r="B1270" s="1">
        <v>41548</v>
      </c>
      <c r="C1270" t="s">
        <v>1360</v>
      </c>
      <c r="D1270" t="s">
        <v>44</v>
      </c>
      <c r="E1270" t="s">
        <v>710</v>
      </c>
      <c r="F1270">
        <v>29.9</v>
      </c>
      <c r="G1270">
        <v>5</v>
      </c>
      <c r="H1270">
        <v>14.651</v>
      </c>
      <c r="I1270">
        <v>4</v>
      </c>
      <c r="J1270">
        <v>2013</v>
      </c>
      <c r="K1270" t="s">
        <v>2209</v>
      </c>
      <c r="L1270" t="str">
        <f>TEXT(maintable_2[[#This Row],[Order Date]],"mmmm")</f>
        <v>September</v>
      </c>
    </row>
    <row r="1271" spans="1:12" x14ac:dyDescent="0.3">
      <c r="A1271" s="1">
        <v>41544</v>
      </c>
      <c r="B1271" s="1">
        <v>41548</v>
      </c>
      <c r="C1271" t="s">
        <v>1360</v>
      </c>
      <c r="D1271" t="s">
        <v>37</v>
      </c>
      <c r="E1271" t="s">
        <v>682</v>
      </c>
      <c r="F1271">
        <v>100</v>
      </c>
      <c r="G1271">
        <v>4</v>
      </c>
      <c r="H1271">
        <v>21</v>
      </c>
      <c r="I1271">
        <v>4</v>
      </c>
      <c r="J1271">
        <v>2013</v>
      </c>
      <c r="K1271" t="s">
        <v>2209</v>
      </c>
      <c r="L1271" t="str">
        <f>TEXT(maintable_2[[#This Row],[Order Date]],"mmmm")</f>
        <v>September</v>
      </c>
    </row>
    <row r="1272" spans="1:12" x14ac:dyDescent="0.3">
      <c r="A1272" s="1">
        <v>40906</v>
      </c>
      <c r="B1272" s="1">
        <v>40910</v>
      </c>
      <c r="C1272" t="s">
        <v>1034</v>
      </c>
      <c r="D1272" t="s">
        <v>11</v>
      </c>
      <c r="E1272" t="s">
        <v>1362</v>
      </c>
      <c r="F1272">
        <v>24.9</v>
      </c>
      <c r="G1272">
        <v>5</v>
      </c>
      <c r="H1272">
        <v>8.2170000000000005</v>
      </c>
      <c r="I1272">
        <v>4</v>
      </c>
      <c r="J1272">
        <v>2011</v>
      </c>
      <c r="K1272" t="s">
        <v>2207</v>
      </c>
      <c r="L1272" t="str">
        <f>TEXT(maintable_2[[#This Row],[Order Date]],"mmmm")</f>
        <v>December</v>
      </c>
    </row>
    <row r="1273" spans="1:12" x14ac:dyDescent="0.3">
      <c r="A1273" s="1">
        <v>40906</v>
      </c>
      <c r="B1273" s="1">
        <v>40910</v>
      </c>
      <c r="C1273" t="s">
        <v>1034</v>
      </c>
      <c r="D1273" t="s">
        <v>44</v>
      </c>
      <c r="E1273" t="s">
        <v>1363</v>
      </c>
      <c r="F1273">
        <v>21.12</v>
      </c>
      <c r="G1273">
        <v>4</v>
      </c>
      <c r="H1273">
        <v>9.5039999999999996</v>
      </c>
      <c r="I1273">
        <v>4</v>
      </c>
      <c r="J1273">
        <v>2011</v>
      </c>
      <c r="K1273" t="s">
        <v>2207</v>
      </c>
      <c r="L1273" t="str">
        <f>TEXT(maintable_2[[#This Row],[Order Date]],"mmmm")</f>
        <v>December</v>
      </c>
    </row>
    <row r="1274" spans="1:12" x14ac:dyDescent="0.3">
      <c r="A1274" s="1">
        <v>40906</v>
      </c>
      <c r="B1274" s="1">
        <v>40910</v>
      </c>
      <c r="C1274" t="s">
        <v>1034</v>
      </c>
      <c r="D1274" t="s">
        <v>494</v>
      </c>
      <c r="E1274" t="s">
        <v>568</v>
      </c>
      <c r="F1274">
        <v>767.952</v>
      </c>
      <c r="G1274">
        <v>6</v>
      </c>
      <c r="H1274">
        <v>287.98200000000003</v>
      </c>
      <c r="I1274">
        <v>4</v>
      </c>
      <c r="J1274">
        <v>2011</v>
      </c>
      <c r="K1274" t="s">
        <v>2207</v>
      </c>
      <c r="L1274" t="str">
        <f>TEXT(maintable_2[[#This Row],[Order Date]],"mmmm")</f>
        <v>December</v>
      </c>
    </row>
    <row r="1275" spans="1:12" x14ac:dyDescent="0.3">
      <c r="A1275" s="1">
        <v>40906</v>
      </c>
      <c r="B1275" s="1">
        <v>40910</v>
      </c>
      <c r="C1275" t="s">
        <v>1034</v>
      </c>
      <c r="D1275" t="s">
        <v>17</v>
      </c>
      <c r="E1275" t="s">
        <v>1266</v>
      </c>
      <c r="F1275">
        <v>14.352</v>
      </c>
      <c r="G1275">
        <v>3</v>
      </c>
      <c r="H1275">
        <v>4.6643999999999997</v>
      </c>
      <c r="I1275">
        <v>4</v>
      </c>
      <c r="J1275">
        <v>2011</v>
      </c>
      <c r="K1275" t="s">
        <v>2207</v>
      </c>
      <c r="L1275" t="str">
        <f>TEXT(maintable_2[[#This Row],[Order Date]],"mmmm")</f>
        <v>December</v>
      </c>
    </row>
    <row r="1276" spans="1:12" x14ac:dyDescent="0.3">
      <c r="A1276" s="1">
        <v>40906</v>
      </c>
      <c r="B1276" s="1">
        <v>40910</v>
      </c>
      <c r="C1276" t="s">
        <v>1034</v>
      </c>
      <c r="D1276" t="s">
        <v>15</v>
      </c>
      <c r="E1276" t="s">
        <v>1364</v>
      </c>
      <c r="F1276">
        <v>191.976</v>
      </c>
      <c r="G1276">
        <v>3</v>
      </c>
      <c r="H1276">
        <v>19.197600000000001</v>
      </c>
      <c r="I1276">
        <v>4</v>
      </c>
      <c r="J1276">
        <v>2011</v>
      </c>
      <c r="K1276" t="s">
        <v>2207</v>
      </c>
      <c r="L1276" t="str">
        <f>TEXT(maintable_2[[#This Row],[Order Date]],"mmmm")</f>
        <v>December</v>
      </c>
    </row>
    <row r="1277" spans="1:12" x14ac:dyDescent="0.3">
      <c r="A1277" s="1">
        <v>40906</v>
      </c>
      <c r="B1277" s="1">
        <v>40910</v>
      </c>
      <c r="C1277" t="s">
        <v>1034</v>
      </c>
      <c r="D1277" t="s">
        <v>8</v>
      </c>
      <c r="E1277" t="s">
        <v>1365</v>
      </c>
      <c r="F1277">
        <v>274.77</v>
      </c>
      <c r="G1277">
        <v>9</v>
      </c>
      <c r="H1277">
        <v>126.3942</v>
      </c>
      <c r="I1277">
        <v>4</v>
      </c>
      <c r="J1277">
        <v>2011</v>
      </c>
      <c r="K1277" t="s">
        <v>2207</v>
      </c>
      <c r="L1277" t="str">
        <f>TEXT(maintable_2[[#This Row],[Order Date]],"mmmm")</f>
        <v>December</v>
      </c>
    </row>
    <row r="1278" spans="1:12" x14ac:dyDescent="0.3">
      <c r="A1278" s="1">
        <v>40906</v>
      </c>
      <c r="B1278" s="1">
        <v>40910</v>
      </c>
      <c r="C1278" t="s">
        <v>1034</v>
      </c>
      <c r="D1278" t="s">
        <v>11</v>
      </c>
      <c r="E1278" t="s">
        <v>1366</v>
      </c>
      <c r="F1278">
        <v>70.56</v>
      </c>
      <c r="G1278">
        <v>6</v>
      </c>
      <c r="H1278">
        <v>23.990400000000001</v>
      </c>
      <c r="I1278">
        <v>4</v>
      </c>
      <c r="J1278">
        <v>2011</v>
      </c>
      <c r="K1278" t="s">
        <v>2207</v>
      </c>
      <c r="L1278" t="str">
        <f>TEXT(maintable_2[[#This Row],[Order Date]],"mmmm")</f>
        <v>December</v>
      </c>
    </row>
    <row r="1279" spans="1:12" x14ac:dyDescent="0.3">
      <c r="A1279" s="1">
        <v>41085</v>
      </c>
      <c r="B1279" s="1">
        <v>41090</v>
      </c>
      <c r="C1279" t="s">
        <v>1367</v>
      </c>
      <c r="D1279" t="s">
        <v>11</v>
      </c>
      <c r="E1279" t="s">
        <v>305</v>
      </c>
      <c r="F1279">
        <v>204.85</v>
      </c>
      <c r="G1279">
        <v>5</v>
      </c>
      <c r="H1279">
        <v>57.357999999999997</v>
      </c>
      <c r="I1279">
        <v>5</v>
      </c>
      <c r="J1279">
        <v>2012</v>
      </c>
      <c r="K1279" t="s">
        <v>2206</v>
      </c>
      <c r="L1279" t="str">
        <f>TEXT(maintable_2[[#This Row],[Order Date]],"mmmm")</f>
        <v>June</v>
      </c>
    </row>
    <row r="1280" spans="1:12" x14ac:dyDescent="0.3">
      <c r="A1280" s="1">
        <v>41233</v>
      </c>
      <c r="B1280" s="1">
        <v>41237</v>
      </c>
      <c r="C1280" t="s">
        <v>74</v>
      </c>
      <c r="D1280" t="s">
        <v>15</v>
      </c>
      <c r="E1280" t="s">
        <v>1368</v>
      </c>
      <c r="F1280">
        <v>72.744</v>
      </c>
      <c r="G1280">
        <v>7</v>
      </c>
      <c r="H1280">
        <v>-15.4581</v>
      </c>
      <c r="I1280">
        <v>4</v>
      </c>
      <c r="J1280">
        <v>2012</v>
      </c>
      <c r="K1280" t="s">
        <v>2209</v>
      </c>
      <c r="L1280" t="str">
        <f>TEXT(maintable_2[[#This Row],[Order Date]],"mmmm")</f>
        <v>November</v>
      </c>
    </row>
    <row r="1281" spans="1:12" x14ac:dyDescent="0.3">
      <c r="A1281" s="1">
        <v>41233</v>
      </c>
      <c r="B1281" s="1">
        <v>41237</v>
      </c>
      <c r="C1281" t="s">
        <v>74</v>
      </c>
      <c r="D1281" t="s">
        <v>71</v>
      </c>
      <c r="E1281" t="s">
        <v>259</v>
      </c>
      <c r="F1281">
        <v>572.16</v>
      </c>
      <c r="G1281">
        <v>3</v>
      </c>
      <c r="H1281">
        <v>35.76</v>
      </c>
      <c r="I1281">
        <v>4</v>
      </c>
      <c r="J1281">
        <v>2012</v>
      </c>
      <c r="K1281" t="s">
        <v>2209</v>
      </c>
      <c r="L1281" t="str">
        <f>TEXT(maintable_2[[#This Row],[Order Date]],"mmmm")</f>
        <v>November</v>
      </c>
    </row>
    <row r="1282" spans="1:12" x14ac:dyDescent="0.3">
      <c r="A1282" s="1">
        <v>41169</v>
      </c>
      <c r="B1282" s="1">
        <v>41172</v>
      </c>
      <c r="C1282" t="s">
        <v>1164</v>
      </c>
      <c r="D1282" t="s">
        <v>17</v>
      </c>
      <c r="E1282" t="s">
        <v>868</v>
      </c>
      <c r="F1282">
        <v>25.032</v>
      </c>
      <c r="G1282">
        <v>3</v>
      </c>
      <c r="H1282">
        <v>7.8224999999999998</v>
      </c>
      <c r="I1282">
        <v>3</v>
      </c>
      <c r="J1282">
        <v>2012</v>
      </c>
      <c r="K1282" t="s">
        <v>2209</v>
      </c>
      <c r="L1282" t="str">
        <f>TEXT(maintable_2[[#This Row],[Order Date]],"mmmm")</f>
        <v>September</v>
      </c>
    </row>
    <row r="1283" spans="1:12" x14ac:dyDescent="0.3">
      <c r="A1283" s="1">
        <v>41543</v>
      </c>
      <c r="B1283" s="1">
        <v>41547</v>
      </c>
      <c r="C1283" t="s">
        <v>1369</v>
      </c>
      <c r="D1283" t="s">
        <v>44</v>
      </c>
      <c r="E1283" t="s">
        <v>935</v>
      </c>
      <c r="F1283">
        <v>60.048000000000002</v>
      </c>
      <c r="G1283">
        <v>9</v>
      </c>
      <c r="H1283">
        <v>22.518000000000001</v>
      </c>
      <c r="I1283">
        <v>4</v>
      </c>
      <c r="J1283">
        <v>2013</v>
      </c>
      <c r="K1283" t="s">
        <v>2209</v>
      </c>
      <c r="L1283" t="str">
        <f>TEXT(maintable_2[[#This Row],[Order Date]],"mmmm")</f>
        <v>September</v>
      </c>
    </row>
    <row r="1284" spans="1:12" x14ac:dyDescent="0.3">
      <c r="A1284" s="1">
        <v>41543</v>
      </c>
      <c r="B1284" s="1">
        <v>41547</v>
      </c>
      <c r="C1284" t="s">
        <v>1369</v>
      </c>
      <c r="D1284" t="s">
        <v>17</v>
      </c>
      <c r="E1284" t="s">
        <v>1370</v>
      </c>
      <c r="F1284">
        <v>5.0220000000000002</v>
      </c>
      <c r="G1284">
        <v>1</v>
      </c>
      <c r="H1284">
        <v>-3.5154000000000001</v>
      </c>
      <c r="I1284">
        <v>4</v>
      </c>
      <c r="J1284">
        <v>2013</v>
      </c>
      <c r="K1284" t="s">
        <v>2209</v>
      </c>
      <c r="L1284" t="str">
        <f>TEXT(maintable_2[[#This Row],[Order Date]],"mmmm")</f>
        <v>September</v>
      </c>
    </row>
    <row r="1285" spans="1:12" x14ac:dyDescent="0.3">
      <c r="A1285" s="1">
        <v>41890</v>
      </c>
      <c r="B1285" s="1">
        <v>41892</v>
      </c>
      <c r="C1285" t="s">
        <v>1059</v>
      </c>
      <c r="D1285" t="s">
        <v>17</v>
      </c>
      <c r="E1285" t="s">
        <v>344</v>
      </c>
      <c r="F1285">
        <v>7.8570000000000002</v>
      </c>
      <c r="G1285">
        <v>3</v>
      </c>
      <c r="H1285">
        <v>-6.0236999999999998</v>
      </c>
      <c r="I1285">
        <v>2</v>
      </c>
      <c r="J1285">
        <v>2014</v>
      </c>
      <c r="K1285" t="s">
        <v>2209</v>
      </c>
      <c r="L1285" t="str">
        <f>TEXT(maintable_2[[#This Row],[Order Date]],"mmmm")</f>
        <v>September</v>
      </c>
    </row>
    <row r="1286" spans="1:12" x14ac:dyDescent="0.3">
      <c r="A1286" s="1">
        <v>41491</v>
      </c>
      <c r="B1286" s="1">
        <v>41493</v>
      </c>
      <c r="C1286" t="s">
        <v>964</v>
      </c>
      <c r="D1286" t="s">
        <v>15</v>
      </c>
      <c r="E1286" t="s">
        <v>16</v>
      </c>
      <c r="F1286">
        <v>302.38400000000001</v>
      </c>
      <c r="G1286">
        <v>2</v>
      </c>
      <c r="H1286">
        <v>30.238399999999999</v>
      </c>
      <c r="I1286">
        <v>2</v>
      </c>
      <c r="J1286">
        <v>2013</v>
      </c>
      <c r="K1286" t="s">
        <v>2206</v>
      </c>
      <c r="L1286" t="str">
        <f>TEXT(maintable_2[[#This Row],[Order Date]],"mmmm")</f>
        <v>August</v>
      </c>
    </row>
    <row r="1287" spans="1:12" x14ac:dyDescent="0.3">
      <c r="A1287" s="1">
        <v>41491</v>
      </c>
      <c r="B1287" s="1">
        <v>41493</v>
      </c>
      <c r="C1287" t="s">
        <v>964</v>
      </c>
      <c r="D1287" t="s">
        <v>17</v>
      </c>
      <c r="E1287" t="s">
        <v>344</v>
      </c>
      <c r="F1287">
        <v>20.952000000000002</v>
      </c>
      <c r="G1287">
        <v>3</v>
      </c>
      <c r="H1287">
        <v>7.0712999999999999</v>
      </c>
      <c r="I1287">
        <v>2</v>
      </c>
      <c r="J1287">
        <v>2013</v>
      </c>
      <c r="K1287" t="s">
        <v>2206</v>
      </c>
      <c r="L1287" t="str">
        <f>TEXT(maintable_2[[#This Row],[Order Date]],"mmmm")</f>
        <v>August</v>
      </c>
    </row>
    <row r="1288" spans="1:12" x14ac:dyDescent="0.3">
      <c r="A1288" s="1">
        <v>41491</v>
      </c>
      <c r="B1288" s="1">
        <v>41493</v>
      </c>
      <c r="C1288" t="s">
        <v>964</v>
      </c>
      <c r="D1288" t="s">
        <v>17</v>
      </c>
      <c r="E1288" t="s">
        <v>1371</v>
      </c>
      <c r="F1288">
        <v>11.784000000000001</v>
      </c>
      <c r="G1288">
        <v>3</v>
      </c>
      <c r="H1288">
        <v>3.9771000000000001</v>
      </c>
      <c r="I1288">
        <v>2</v>
      </c>
      <c r="J1288">
        <v>2013</v>
      </c>
      <c r="K1288" t="s">
        <v>2206</v>
      </c>
      <c r="L1288" t="str">
        <f>TEXT(maintable_2[[#This Row],[Order Date]],"mmmm")</f>
        <v>August</v>
      </c>
    </row>
    <row r="1289" spans="1:12" x14ac:dyDescent="0.3">
      <c r="A1289" s="1">
        <v>41859</v>
      </c>
      <c r="B1289" s="1">
        <v>41865</v>
      </c>
      <c r="C1289" t="s">
        <v>332</v>
      </c>
      <c r="D1289" t="s">
        <v>15</v>
      </c>
      <c r="E1289" t="s">
        <v>520</v>
      </c>
      <c r="F1289">
        <v>159.96</v>
      </c>
      <c r="G1289">
        <v>5</v>
      </c>
      <c r="H1289">
        <v>17.9955</v>
      </c>
      <c r="I1289">
        <v>6</v>
      </c>
      <c r="J1289">
        <v>2014</v>
      </c>
      <c r="K1289" t="s">
        <v>2206</v>
      </c>
      <c r="L1289" t="str">
        <f>TEXT(maintable_2[[#This Row],[Order Date]],"mmmm")</f>
        <v>August</v>
      </c>
    </row>
    <row r="1290" spans="1:12" x14ac:dyDescent="0.3">
      <c r="A1290" s="1">
        <v>41859</v>
      </c>
      <c r="B1290" s="1">
        <v>41865</v>
      </c>
      <c r="C1290" t="s">
        <v>332</v>
      </c>
      <c r="D1290" t="s">
        <v>17</v>
      </c>
      <c r="E1290" t="s">
        <v>472</v>
      </c>
      <c r="F1290">
        <v>13.76</v>
      </c>
      <c r="G1290">
        <v>2</v>
      </c>
      <c r="H1290">
        <v>4.6440000000000001</v>
      </c>
      <c r="I1290">
        <v>6</v>
      </c>
      <c r="J1290">
        <v>2014</v>
      </c>
      <c r="K1290" t="s">
        <v>2206</v>
      </c>
      <c r="L1290" t="str">
        <f>TEXT(maintable_2[[#This Row],[Order Date]],"mmmm")</f>
        <v>August</v>
      </c>
    </row>
    <row r="1291" spans="1:12" x14ac:dyDescent="0.3">
      <c r="A1291" s="1">
        <v>41603</v>
      </c>
      <c r="B1291" s="1">
        <v>41606</v>
      </c>
      <c r="C1291" t="s">
        <v>1372</v>
      </c>
      <c r="D1291" t="s">
        <v>17</v>
      </c>
      <c r="E1291" t="s">
        <v>772</v>
      </c>
      <c r="F1291">
        <v>1219.96</v>
      </c>
      <c r="G1291">
        <v>5</v>
      </c>
      <c r="H1291">
        <v>381.23750000000001</v>
      </c>
      <c r="I1291">
        <v>3</v>
      </c>
      <c r="J1291">
        <v>2013</v>
      </c>
      <c r="K1291" t="s">
        <v>2209</v>
      </c>
      <c r="L1291" t="str">
        <f>TEXT(maintable_2[[#This Row],[Order Date]],"mmmm")</f>
        <v>November</v>
      </c>
    </row>
    <row r="1292" spans="1:12" x14ac:dyDescent="0.3">
      <c r="A1292" s="1">
        <v>41237</v>
      </c>
      <c r="B1292" s="1">
        <v>41242</v>
      </c>
      <c r="C1292" t="s">
        <v>1373</v>
      </c>
      <c r="D1292" t="s">
        <v>17</v>
      </c>
      <c r="E1292" t="s">
        <v>1374</v>
      </c>
      <c r="F1292">
        <v>3.1680000000000001</v>
      </c>
      <c r="G1292">
        <v>2</v>
      </c>
      <c r="H1292">
        <v>0.99</v>
      </c>
      <c r="I1292">
        <v>5</v>
      </c>
      <c r="J1292">
        <v>2012</v>
      </c>
      <c r="K1292" t="s">
        <v>2209</v>
      </c>
      <c r="L1292" t="str">
        <f>TEXT(maintable_2[[#This Row],[Order Date]],"mmmm")</f>
        <v>November</v>
      </c>
    </row>
    <row r="1293" spans="1:12" x14ac:dyDescent="0.3">
      <c r="A1293" s="1">
        <v>41237</v>
      </c>
      <c r="B1293" s="1">
        <v>41242</v>
      </c>
      <c r="C1293" t="s">
        <v>1373</v>
      </c>
      <c r="D1293" t="s">
        <v>44</v>
      </c>
      <c r="E1293" t="s">
        <v>300</v>
      </c>
      <c r="F1293">
        <v>19.440000000000001</v>
      </c>
      <c r="G1293">
        <v>3</v>
      </c>
      <c r="H1293">
        <v>9.3312000000000008</v>
      </c>
      <c r="I1293">
        <v>5</v>
      </c>
      <c r="J1293">
        <v>2012</v>
      </c>
      <c r="K1293" t="s">
        <v>2209</v>
      </c>
      <c r="L1293" t="str">
        <f>TEXT(maintable_2[[#This Row],[Order Date]],"mmmm")</f>
        <v>November</v>
      </c>
    </row>
    <row r="1294" spans="1:12" x14ac:dyDescent="0.3">
      <c r="A1294" s="1">
        <v>41237</v>
      </c>
      <c r="B1294" s="1">
        <v>41242</v>
      </c>
      <c r="C1294" t="s">
        <v>1373</v>
      </c>
      <c r="D1294" t="s">
        <v>27</v>
      </c>
      <c r="E1294" t="s">
        <v>1191</v>
      </c>
      <c r="F1294">
        <v>454.86</v>
      </c>
      <c r="G1294">
        <v>7</v>
      </c>
      <c r="H1294">
        <v>54.583199999999998</v>
      </c>
      <c r="I1294">
        <v>5</v>
      </c>
      <c r="J1294">
        <v>2012</v>
      </c>
      <c r="K1294" t="s">
        <v>2209</v>
      </c>
      <c r="L1294" t="str">
        <f>TEXT(maintable_2[[#This Row],[Order Date]],"mmmm")</f>
        <v>November</v>
      </c>
    </row>
    <row r="1295" spans="1:12" x14ac:dyDescent="0.3">
      <c r="A1295" s="1">
        <v>41237</v>
      </c>
      <c r="B1295" s="1">
        <v>41242</v>
      </c>
      <c r="C1295" t="s">
        <v>1373</v>
      </c>
      <c r="D1295" t="s">
        <v>17</v>
      </c>
      <c r="E1295" t="s">
        <v>1132</v>
      </c>
      <c r="F1295">
        <v>91.391999999999996</v>
      </c>
      <c r="G1295">
        <v>8</v>
      </c>
      <c r="H1295">
        <v>29.702400000000001</v>
      </c>
      <c r="I1295">
        <v>5</v>
      </c>
      <c r="J1295">
        <v>2012</v>
      </c>
      <c r="K1295" t="s">
        <v>2209</v>
      </c>
      <c r="L1295" t="str">
        <f>TEXT(maintable_2[[#This Row],[Order Date]],"mmmm")</f>
        <v>November</v>
      </c>
    </row>
    <row r="1296" spans="1:12" x14ac:dyDescent="0.3">
      <c r="A1296" s="1">
        <v>41771</v>
      </c>
      <c r="B1296" s="1">
        <v>41772</v>
      </c>
      <c r="C1296" t="s">
        <v>274</v>
      </c>
      <c r="D1296" t="s">
        <v>44</v>
      </c>
      <c r="E1296" t="s">
        <v>837</v>
      </c>
      <c r="F1296">
        <v>37.44</v>
      </c>
      <c r="G1296">
        <v>6</v>
      </c>
      <c r="H1296">
        <v>16.847999999999999</v>
      </c>
      <c r="I1296">
        <v>1</v>
      </c>
      <c r="J1296">
        <v>2014</v>
      </c>
      <c r="K1296" t="s">
        <v>2208</v>
      </c>
      <c r="L1296" t="str">
        <f>TEXT(maintable_2[[#This Row],[Order Date]],"mmmm")</f>
        <v>May</v>
      </c>
    </row>
    <row r="1297" spans="1:12" x14ac:dyDescent="0.3">
      <c r="A1297" s="1">
        <v>41771</v>
      </c>
      <c r="B1297" s="1">
        <v>41772</v>
      </c>
      <c r="C1297" t="s">
        <v>274</v>
      </c>
      <c r="D1297" t="s">
        <v>8</v>
      </c>
      <c r="E1297" t="s">
        <v>981</v>
      </c>
      <c r="F1297">
        <v>37.590000000000003</v>
      </c>
      <c r="G1297">
        <v>3</v>
      </c>
      <c r="H1297">
        <v>17.667300000000001</v>
      </c>
      <c r="I1297">
        <v>1</v>
      </c>
      <c r="J1297">
        <v>2014</v>
      </c>
      <c r="K1297" t="s">
        <v>2208</v>
      </c>
      <c r="L1297" t="str">
        <f>TEXT(maintable_2[[#This Row],[Order Date]],"mmmm")</f>
        <v>May</v>
      </c>
    </row>
    <row r="1298" spans="1:12" x14ac:dyDescent="0.3">
      <c r="A1298" s="1">
        <v>41771</v>
      </c>
      <c r="B1298" s="1">
        <v>41772</v>
      </c>
      <c r="C1298" t="s">
        <v>274</v>
      </c>
      <c r="D1298" t="s">
        <v>17</v>
      </c>
      <c r="E1298" t="s">
        <v>1212</v>
      </c>
      <c r="F1298">
        <v>26.032</v>
      </c>
      <c r="G1298">
        <v>2</v>
      </c>
      <c r="H1298">
        <v>9.4366000000000003</v>
      </c>
      <c r="I1298">
        <v>1</v>
      </c>
      <c r="J1298">
        <v>2014</v>
      </c>
      <c r="K1298" t="s">
        <v>2208</v>
      </c>
      <c r="L1298" t="str">
        <f>TEXT(maintable_2[[#This Row],[Order Date]],"mmmm")</f>
        <v>May</v>
      </c>
    </row>
    <row r="1299" spans="1:12" x14ac:dyDescent="0.3">
      <c r="A1299" s="1">
        <v>40997</v>
      </c>
      <c r="B1299" s="1">
        <v>41003</v>
      </c>
      <c r="C1299" t="s">
        <v>1291</v>
      </c>
      <c r="D1299" t="s">
        <v>19</v>
      </c>
      <c r="E1299" t="s">
        <v>1375</v>
      </c>
      <c r="F1299">
        <v>73.28</v>
      </c>
      <c r="G1299">
        <v>4</v>
      </c>
      <c r="H1299">
        <v>21.251200000000001</v>
      </c>
      <c r="I1299">
        <v>6</v>
      </c>
      <c r="J1299">
        <v>2012</v>
      </c>
      <c r="K1299" t="s">
        <v>2208</v>
      </c>
      <c r="L1299" t="str">
        <f>TEXT(maintable_2[[#This Row],[Order Date]],"mmmm")</f>
        <v>March</v>
      </c>
    </row>
    <row r="1300" spans="1:12" x14ac:dyDescent="0.3">
      <c r="A1300" s="1">
        <v>41915</v>
      </c>
      <c r="B1300" s="1">
        <v>41921</v>
      </c>
      <c r="C1300" t="s">
        <v>481</v>
      </c>
      <c r="D1300" t="s">
        <v>17</v>
      </c>
      <c r="E1300" t="s">
        <v>1376</v>
      </c>
      <c r="F1300">
        <v>112.12</v>
      </c>
      <c r="G1300">
        <v>5</v>
      </c>
      <c r="H1300">
        <v>42.045000000000002</v>
      </c>
      <c r="I1300">
        <v>6</v>
      </c>
      <c r="J1300">
        <v>2014</v>
      </c>
      <c r="K1300" t="s">
        <v>2209</v>
      </c>
      <c r="L1300" t="str">
        <f>TEXT(maintable_2[[#This Row],[Order Date]],"mmmm")</f>
        <v>October</v>
      </c>
    </row>
    <row r="1301" spans="1:12" x14ac:dyDescent="0.3">
      <c r="A1301" s="1">
        <v>41915</v>
      </c>
      <c r="B1301" s="1">
        <v>41921</v>
      </c>
      <c r="C1301" t="s">
        <v>481</v>
      </c>
      <c r="D1301" t="s">
        <v>27</v>
      </c>
      <c r="E1301" t="s">
        <v>1377</v>
      </c>
      <c r="F1301">
        <v>1575.14</v>
      </c>
      <c r="G1301">
        <v>7</v>
      </c>
      <c r="H1301">
        <v>204.76820000000001</v>
      </c>
      <c r="I1301">
        <v>6</v>
      </c>
      <c r="J1301">
        <v>2014</v>
      </c>
      <c r="K1301" t="s">
        <v>2209</v>
      </c>
      <c r="L1301" t="str">
        <f>TEXT(maintable_2[[#This Row],[Order Date]],"mmmm")</f>
        <v>October</v>
      </c>
    </row>
    <row r="1302" spans="1:12" x14ac:dyDescent="0.3">
      <c r="A1302" s="1">
        <v>41670</v>
      </c>
      <c r="B1302" s="1">
        <v>41677</v>
      </c>
      <c r="C1302" t="s">
        <v>1345</v>
      </c>
      <c r="D1302" t="s">
        <v>13</v>
      </c>
      <c r="E1302" t="s">
        <v>497</v>
      </c>
      <c r="F1302">
        <v>12.74</v>
      </c>
      <c r="G1302">
        <v>7</v>
      </c>
      <c r="H1302">
        <v>5.7329999999999997</v>
      </c>
      <c r="I1302">
        <v>7</v>
      </c>
      <c r="J1302">
        <v>2014</v>
      </c>
      <c r="K1302" t="s">
        <v>2210</v>
      </c>
      <c r="L1302" t="str">
        <f>TEXT(maintable_2[[#This Row],[Order Date]],"mmmm")</f>
        <v>January</v>
      </c>
    </row>
    <row r="1303" spans="1:12" x14ac:dyDescent="0.3">
      <c r="A1303" s="1">
        <v>41670</v>
      </c>
      <c r="B1303" s="1">
        <v>41677</v>
      </c>
      <c r="C1303" t="s">
        <v>1345</v>
      </c>
      <c r="D1303" t="s">
        <v>13</v>
      </c>
      <c r="E1303" t="s">
        <v>1378</v>
      </c>
      <c r="F1303">
        <v>8.82</v>
      </c>
      <c r="G1303">
        <v>3</v>
      </c>
      <c r="H1303">
        <v>2.3814000000000002</v>
      </c>
      <c r="I1303">
        <v>7</v>
      </c>
      <c r="J1303">
        <v>2014</v>
      </c>
      <c r="K1303" t="s">
        <v>2210</v>
      </c>
      <c r="L1303" t="str">
        <f>TEXT(maintable_2[[#This Row],[Order Date]],"mmmm")</f>
        <v>January</v>
      </c>
    </row>
    <row r="1304" spans="1:12" x14ac:dyDescent="0.3">
      <c r="A1304" s="1">
        <v>41670</v>
      </c>
      <c r="B1304" s="1">
        <v>41677</v>
      </c>
      <c r="C1304" t="s">
        <v>1345</v>
      </c>
      <c r="D1304" t="s">
        <v>71</v>
      </c>
      <c r="E1304" t="s">
        <v>663</v>
      </c>
      <c r="F1304">
        <v>120.78400000000001</v>
      </c>
      <c r="G1304">
        <v>1</v>
      </c>
      <c r="H1304">
        <v>-13.588200000000001</v>
      </c>
      <c r="I1304">
        <v>7</v>
      </c>
      <c r="J1304">
        <v>2014</v>
      </c>
      <c r="K1304" t="s">
        <v>2210</v>
      </c>
      <c r="L1304" t="str">
        <f>TEXT(maintable_2[[#This Row],[Order Date]],"mmmm")</f>
        <v>January</v>
      </c>
    </row>
    <row r="1305" spans="1:12" x14ac:dyDescent="0.3">
      <c r="A1305" s="1">
        <v>41654</v>
      </c>
      <c r="B1305" s="1">
        <v>41656</v>
      </c>
      <c r="C1305" t="s">
        <v>1379</v>
      </c>
      <c r="D1305" t="s">
        <v>37</v>
      </c>
      <c r="E1305" t="s">
        <v>38</v>
      </c>
      <c r="F1305">
        <v>169.06399999999999</v>
      </c>
      <c r="G1305">
        <v>7</v>
      </c>
      <c r="H1305">
        <v>-14.793100000000001</v>
      </c>
      <c r="I1305">
        <v>2</v>
      </c>
      <c r="J1305">
        <v>2014</v>
      </c>
      <c r="K1305" t="s">
        <v>2210</v>
      </c>
      <c r="L1305" t="str">
        <f>TEXT(maintable_2[[#This Row],[Order Date]],"mmmm")</f>
        <v>January</v>
      </c>
    </row>
    <row r="1306" spans="1:12" x14ac:dyDescent="0.3">
      <c r="A1306" s="1">
        <v>41654</v>
      </c>
      <c r="B1306" s="1">
        <v>41656</v>
      </c>
      <c r="C1306" t="s">
        <v>1379</v>
      </c>
      <c r="D1306" t="s">
        <v>27</v>
      </c>
      <c r="E1306" t="s">
        <v>853</v>
      </c>
      <c r="F1306">
        <v>168.624</v>
      </c>
      <c r="G1306">
        <v>9</v>
      </c>
      <c r="H1306">
        <v>14.7546</v>
      </c>
      <c r="I1306">
        <v>2</v>
      </c>
      <c r="J1306">
        <v>2014</v>
      </c>
      <c r="K1306" t="s">
        <v>2210</v>
      </c>
      <c r="L1306" t="str">
        <f>TEXT(maintable_2[[#This Row],[Order Date]],"mmmm")</f>
        <v>January</v>
      </c>
    </row>
    <row r="1307" spans="1:12" x14ac:dyDescent="0.3">
      <c r="A1307" s="1">
        <v>40827</v>
      </c>
      <c r="B1307" s="1">
        <v>40829</v>
      </c>
      <c r="C1307" t="s">
        <v>89</v>
      </c>
      <c r="D1307" t="s">
        <v>27</v>
      </c>
      <c r="E1307" t="s">
        <v>1380</v>
      </c>
      <c r="F1307">
        <v>31.92</v>
      </c>
      <c r="G1307">
        <v>4</v>
      </c>
      <c r="H1307">
        <v>8.2992000000000008</v>
      </c>
      <c r="I1307">
        <v>2</v>
      </c>
      <c r="J1307">
        <v>2011</v>
      </c>
      <c r="K1307" t="s">
        <v>2209</v>
      </c>
      <c r="L1307" t="str">
        <f>TEXT(maintable_2[[#This Row],[Order Date]],"mmmm")</f>
        <v>October</v>
      </c>
    </row>
    <row r="1308" spans="1:12" x14ac:dyDescent="0.3">
      <c r="A1308" s="1">
        <v>40827</v>
      </c>
      <c r="B1308" s="1">
        <v>40829</v>
      </c>
      <c r="C1308" t="s">
        <v>89</v>
      </c>
      <c r="D1308" t="s">
        <v>71</v>
      </c>
      <c r="E1308" t="s">
        <v>1381</v>
      </c>
      <c r="F1308">
        <v>433.56799999999998</v>
      </c>
      <c r="G1308">
        <v>2</v>
      </c>
      <c r="H1308">
        <v>-65.035200000000003</v>
      </c>
      <c r="I1308">
        <v>2</v>
      </c>
      <c r="J1308">
        <v>2011</v>
      </c>
      <c r="K1308" t="s">
        <v>2209</v>
      </c>
      <c r="L1308" t="str">
        <f>TEXT(maintable_2[[#This Row],[Order Date]],"mmmm")</f>
        <v>October</v>
      </c>
    </row>
    <row r="1309" spans="1:12" x14ac:dyDescent="0.3">
      <c r="A1309" s="1">
        <v>41012</v>
      </c>
      <c r="B1309" s="1">
        <v>41013</v>
      </c>
      <c r="C1309" t="s">
        <v>1382</v>
      </c>
      <c r="D1309" t="s">
        <v>44</v>
      </c>
      <c r="E1309" t="s">
        <v>1383</v>
      </c>
      <c r="F1309">
        <v>31.103999999999999</v>
      </c>
      <c r="G1309">
        <v>6</v>
      </c>
      <c r="H1309">
        <v>10.8864</v>
      </c>
      <c r="I1309">
        <v>1</v>
      </c>
      <c r="J1309">
        <v>2012</v>
      </c>
      <c r="K1309" t="s">
        <v>2208</v>
      </c>
      <c r="L1309" t="str">
        <f>TEXT(maintable_2[[#This Row],[Order Date]],"mmmm")</f>
        <v>April</v>
      </c>
    </row>
    <row r="1310" spans="1:12" x14ac:dyDescent="0.3">
      <c r="A1310" s="1">
        <v>41012</v>
      </c>
      <c r="B1310" s="1">
        <v>41013</v>
      </c>
      <c r="C1310" t="s">
        <v>1382</v>
      </c>
      <c r="D1310" t="s">
        <v>44</v>
      </c>
      <c r="E1310" t="s">
        <v>539</v>
      </c>
      <c r="F1310">
        <v>54.816000000000003</v>
      </c>
      <c r="G1310">
        <v>3</v>
      </c>
      <c r="H1310">
        <v>17.815200000000001</v>
      </c>
      <c r="I1310">
        <v>1</v>
      </c>
      <c r="J1310">
        <v>2012</v>
      </c>
      <c r="K1310" t="s">
        <v>2208</v>
      </c>
      <c r="L1310" t="str">
        <f>TEXT(maintable_2[[#This Row],[Order Date]],"mmmm")</f>
        <v>April</v>
      </c>
    </row>
    <row r="1311" spans="1:12" x14ac:dyDescent="0.3">
      <c r="A1311" s="1">
        <v>41960</v>
      </c>
      <c r="B1311" s="1">
        <v>41964</v>
      </c>
      <c r="C1311" t="s">
        <v>332</v>
      </c>
      <c r="D1311" t="s">
        <v>27</v>
      </c>
      <c r="E1311" t="s">
        <v>398</v>
      </c>
      <c r="F1311">
        <v>48.86</v>
      </c>
      <c r="G1311">
        <v>7</v>
      </c>
      <c r="H1311">
        <v>0.97719999999999996</v>
      </c>
      <c r="I1311">
        <v>4</v>
      </c>
      <c r="J1311">
        <v>2014</v>
      </c>
      <c r="K1311" t="s">
        <v>2209</v>
      </c>
      <c r="L1311" t="str">
        <f>TEXT(maintable_2[[#This Row],[Order Date]],"mmmm")</f>
        <v>November</v>
      </c>
    </row>
    <row r="1312" spans="1:12" x14ac:dyDescent="0.3">
      <c r="A1312" s="1">
        <v>41242</v>
      </c>
      <c r="B1312" s="1">
        <v>41243</v>
      </c>
      <c r="C1312" t="s">
        <v>1384</v>
      </c>
      <c r="D1312" t="s">
        <v>13</v>
      </c>
      <c r="E1312" t="s">
        <v>1385</v>
      </c>
      <c r="F1312">
        <v>56.3</v>
      </c>
      <c r="G1312">
        <v>2</v>
      </c>
      <c r="H1312">
        <v>15.763999999999999</v>
      </c>
      <c r="I1312">
        <v>1</v>
      </c>
      <c r="J1312">
        <v>2012</v>
      </c>
      <c r="K1312" t="s">
        <v>2209</v>
      </c>
      <c r="L1312" t="str">
        <f>TEXT(maintable_2[[#This Row],[Order Date]],"mmmm")</f>
        <v>November</v>
      </c>
    </row>
    <row r="1313" spans="1:12" x14ac:dyDescent="0.3">
      <c r="A1313" s="1">
        <v>41442</v>
      </c>
      <c r="B1313" s="1">
        <v>41444</v>
      </c>
      <c r="C1313" t="s">
        <v>266</v>
      </c>
      <c r="D1313" t="s">
        <v>44</v>
      </c>
      <c r="E1313" t="s">
        <v>909</v>
      </c>
      <c r="F1313">
        <v>46.35</v>
      </c>
      <c r="G1313">
        <v>5</v>
      </c>
      <c r="H1313">
        <v>21.784500000000001</v>
      </c>
      <c r="I1313">
        <v>2</v>
      </c>
      <c r="J1313">
        <v>2013</v>
      </c>
      <c r="K1313" t="s">
        <v>2206</v>
      </c>
      <c r="L1313" t="str">
        <f>TEXT(maintable_2[[#This Row],[Order Date]],"mmmm")</f>
        <v>June</v>
      </c>
    </row>
    <row r="1314" spans="1:12" x14ac:dyDescent="0.3">
      <c r="A1314" s="1">
        <v>41705</v>
      </c>
      <c r="B1314" s="1">
        <v>41709</v>
      </c>
      <c r="C1314" t="s">
        <v>519</v>
      </c>
      <c r="D1314" t="s">
        <v>17</v>
      </c>
      <c r="E1314" t="s">
        <v>1386</v>
      </c>
      <c r="F1314">
        <v>14.976000000000001</v>
      </c>
      <c r="G1314">
        <v>9</v>
      </c>
      <c r="H1314">
        <v>5.4287999999999998</v>
      </c>
      <c r="I1314">
        <v>4</v>
      </c>
      <c r="J1314">
        <v>2014</v>
      </c>
      <c r="K1314" t="s">
        <v>2208</v>
      </c>
      <c r="L1314" t="str">
        <f>TEXT(maintable_2[[#This Row],[Order Date]],"mmmm")</f>
        <v>March</v>
      </c>
    </row>
    <row r="1315" spans="1:12" x14ac:dyDescent="0.3">
      <c r="A1315" s="1">
        <v>41229</v>
      </c>
      <c r="B1315" s="1">
        <v>41233</v>
      </c>
      <c r="C1315" t="s">
        <v>869</v>
      </c>
      <c r="D1315" t="s">
        <v>21</v>
      </c>
      <c r="E1315" t="s">
        <v>34</v>
      </c>
      <c r="F1315">
        <v>696.42</v>
      </c>
      <c r="G1315">
        <v>2</v>
      </c>
      <c r="H1315">
        <v>160.17660000000001</v>
      </c>
      <c r="I1315">
        <v>4</v>
      </c>
      <c r="J1315">
        <v>2012</v>
      </c>
      <c r="K1315" t="s">
        <v>2209</v>
      </c>
      <c r="L1315" t="str">
        <f>TEXT(maintable_2[[#This Row],[Order Date]],"mmmm")</f>
        <v>November</v>
      </c>
    </row>
    <row r="1316" spans="1:12" x14ac:dyDescent="0.3">
      <c r="A1316" s="1">
        <v>41229</v>
      </c>
      <c r="B1316" s="1">
        <v>41233</v>
      </c>
      <c r="C1316" t="s">
        <v>869</v>
      </c>
      <c r="D1316" t="s">
        <v>15</v>
      </c>
      <c r="E1316" t="s">
        <v>93</v>
      </c>
      <c r="F1316">
        <v>304.77600000000001</v>
      </c>
      <c r="G1316">
        <v>3</v>
      </c>
      <c r="H1316">
        <v>22.8582</v>
      </c>
      <c r="I1316">
        <v>4</v>
      </c>
      <c r="J1316">
        <v>2012</v>
      </c>
      <c r="K1316" t="s">
        <v>2209</v>
      </c>
      <c r="L1316" t="str">
        <f>TEXT(maintable_2[[#This Row],[Order Date]],"mmmm")</f>
        <v>November</v>
      </c>
    </row>
    <row r="1317" spans="1:12" x14ac:dyDescent="0.3">
      <c r="A1317" s="1">
        <v>41078</v>
      </c>
      <c r="B1317" s="1">
        <v>41082</v>
      </c>
      <c r="C1317" t="s">
        <v>1387</v>
      </c>
      <c r="D1317" t="s">
        <v>13</v>
      </c>
      <c r="E1317" t="s">
        <v>844</v>
      </c>
      <c r="F1317">
        <v>51.98</v>
      </c>
      <c r="G1317">
        <v>2</v>
      </c>
      <c r="H1317">
        <v>15.074199999999999</v>
      </c>
      <c r="I1317">
        <v>4</v>
      </c>
      <c r="J1317">
        <v>2012</v>
      </c>
      <c r="K1317" t="s">
        <v>2206</v>
      </c>
      <c r="L1317" t="str">
        <f>TEXT(maintable_2[[#This Row],[Order Date]],"mmmm")</f>
        <v>June</v>
      </c>
    </row>
    <row r="1318" spans="1:12" x14ac:dyDescent="0.3">
      <c r="A1318" s="1">
        <v>41373</v>
      </c>
      <c r="B1318" s="1">
        <v>41379</v>
      </c>
      <c r="C1318" t="s">
        <v>836</v>
      </c>
      <c r="D1318" t="s">
        <v>11</v>
      </c>
      <c r="E1318" t="s">
        <v>714</v>
      </c>
      <c r="F1318">
        <v>24.7</v>
      </c>
      <c r="G1318">
        <v>5</v>
      </c>
      <c r="H1318">
        <v>10.374000000000001</v>
      </c>
      <c r="I1318">
        <v>6</v>
      </c>
      <c r="J1318">
        <v>2013</v>
      </c>
      <c r="K1318" t="s">
        <v>2208</v>
      </c>
      <c r="L1318" t="str">
        <f>TEXT(maintable_2[[#This Row],[Order Date]],"mmmm")</f>
        <v>April</v>
      </c>
    </row>
    <row r="1319" spans="1:12" x14ac:dyDescent="0.3">
      <c r="A1319" s="1">
        <v>40957</v>
      </c>
      <c r="B1319" s="1">
        <v>40961</v>
      </c>
      <c r="C1319" t="s">
        <v>566</v>
      </c>
      <c r="D1319" t="s">
        <v>8</v>
      </c>
      <c r="E1319" t="s">
        <v>1388</v>
      </c>
      <c r="F1319">
        <v>9.24</v>
      </c>
      <c r="G1319">
        <v>3</v>
      </c>
      <c r="H1319">
        <v>4.4352</v>
      </c>
      <c r="I1319">
        <v>4</v>
      </c>
      <c r="J1319">
        <v>2012</v>
      </c>
      <c r="K1319" t="s">
        <v>2210</v>
      </c>
      <c r="L1319" t="str">
        <f>TEXT(maintable_2[[#This Row],[Order Date]],"mmmm")</f>
        <v>February</v>
      </c>
    </row>
    <row r="1320" spans="1:12" x14ac:dyDescent="0.3">
      <c r="A1320" s="1">
        <v>41731</v>
      </c>
      <c r="B1320" s="1">
        <v>41733</v>
      </c>
      <c r="C1320" t="s">
        <v>1389</v>
      </c>
      <c r="D1320" t="s">
        <v>196</v>
      </c>
      <c r="E1320" t="s">
        <v>1390</v>
      </c>
      <c r="F1320">
        <v>482.66399999999999</v>
      </c>
      <c r="G1320">
        <v>8</v>
      </c>
      <c r="H1320">
        <v>85.176000000000002</v>
      </c>
      <c r="I1320">
        <v>2</v>
      </c>
      <c r="J1320">
        <v>2014</v>
      </c>
      <c r="K1320" t="s">
        <v>2208</v>
      </c>
      <c r="L1320" t="str">
        <f>TEXT(maintable_2[[#This Row],[Order Date]],"mmmm")</f>
        <v>April</v>
      </c>
    </row>
    <row r="1321" spans="1:12" x14ac:dyDescent="0.3">
      <c r="A1321" s="1">
        <v>41731</v>
      </c>
      <c r="B1321" s="1">
        <v>41733</v>
      </c>
      <c r="C1321" t="s">
        <v>1389</v>
      </c>
      <c r="D1321" t="s">
        <v>494</v>
      </c>
      <c r="E1321" t="s">
        <v>1391</v>
      </c>
      <c r="F1321">
        <v>4799.9840000000004</v>
      </c>
      <c r="G1321">
        <v>2</v>
      </c>
      <c r="H1321">
        <v>359.99880000000002</v>
      </c>
      <c r="I1321">
        <v>2</v>
      </c>
      <c r="J1321">
        <v>2014</v>
      </c>
      <c r="K1321" t="s">
        <v>2208</v>
      </c>
      <c r="L1321" t="str">
        <f>TEXT(maintable_2[[#This Row],[Order Date]],"mmmm")</f>
        <v>April</v>
      </c>
    </row>
    <row r="1322" spans="1:12" x14ac:dyDescent="0.3">
      <c r="A1322" s="1">
        <v>41802</v>
      </c>
      <c r="B1322" s="1">
        <v>41804</v>
      </c>
      <c r="C1322" t="s">
        <v>638</v>
      </c>
      <c r="D1322" t="s">
        <v>44</v>
      </c>
      <c r="E1322" t="s">
        <v>1392</v>
      </c>
      <c r="F1322">
        <v>37.94</v>
      </c>
      <c r="G1322">
        <v>2</v>
      </c>
      <c r="H1322">
        <v>18.211200000000002</v>
      </c>
      <c r="I1322">
        <v>2</v>
      </c>
      <c r="J1322">
        <v>2014</v>
      </c>
      <c r="K1322" t="s">
        <v>2206</v>
      </c>
      <c r="L1322" t="str">
        <f>TEXT(maintable_2[[#This Row],[Order Date]],"mmmm")</f>
        <v>June</v>
      </c>
    </row>
    <row r="1323" spans="1:12" x14ac:dyDescent="0.3">
      <c r="A1323" s="1">
        <v>41802</v>
      </c>
      <c r="B1323" s="1">
        <v>41804</v>
      </c>
      <c r="C1323" t="s">
        <v>638</v>
      </c>
      <c r="D1323" t="s">
        <v>17</v>
      </c>
      <c r="E1323" t="s">
        <v>413</v>
      </c>
      <c r="F1323">
        <v>18.288</v>
      </c>
      <c r="G1323">
        <v>6</v>
      </c>
      <c r="H1323">
        <v>6.6294000000000004</v>
      </c>
      <c r="I1323">
        <v>2</v>
      </c>
      <c r="J1323">
        <v>2014</v>
      </c>
      <c r="K1323" t="s">
        <v>2206</v>
      </c>
      <c r="L1323" t="str">
        <f>TEXT(maintable_2[[#This Row],[Order Date]],"mmmm")</f>
        <v>June</v>
      </c>
    </row>
    <row r="1324" spans="1:12" x14ac:dyDescent="0.3">
      <c r="A1324" s="1">
        <v>41802</v>
      </c>
      <c r="B1324" s="1">
        <v>41804</v>
      </c>
      <c r="C1324" t="s">
        <v>638</v>
      </c>
      <c r="D1324" t="s">
        <v>494</v>
      </c>
      <c r="E1324" t="s">
        <v>1393</v>
      </c>
      <c r="F1324">
        <v>385.8</v>
      </c>
      <c r="G1324">
        <v>5</v>
      </c>
      <c r="H1324">
        <v>130.20750000000001</v>
      </c>
      <c r="I1324">
        <v>2</v>
      </c>
      <c r="J1324">
        <v>2014</v>
      </c>
      <c r="K1324" t="s">
        <v>2206</v>
      </c>
      <c r="L1324" t="str">
        <f>TEXT(maintable_2[[#This Row],[Order Date]],"mmmm")</f>
        <v>June</v>
      </c>
    </row>
    <row r="1325" spans="1:12" x14ac:dyDescent="0.3">
      <c r="A1325" s="1">
        <v>41802</v>
      </c>
      <c r="B1325" s="1">
        <v>41804</v>
      </c>
      <c r="C1325" t="s">
        <v>638</v>
      </c>
      <c r="D1325" t="s">
        <v>27</v>
      </c>
      <c r="E1325" t="s">
        <v>645</v>
      </c>
      <c r="F1325">
        <v>102.96</v>
      </c>
      <c r="G1325">
        <v>2</v>
      </c>
      <c r="H1325">
        <v>1.0296000000000001</v>
      </c>
      <c r="I1325">
        <v>2</v>
      </c>
      <c r="J1325">
        <v>2014</v>
      </c>
      <c r="K1325" t="s">
        <v>2206</v>
      </c>
      <c r="L1325" t="str">
        <f>TEXT(maintable_2[[#This Row],[Order Date]],"mmmm")</f>
        <v>June</v>
      </c>
    </row>
    <row r="1326" spans="1:12" x14ac:dyDescent="0.3">
      <c r="A1326" s="1">
        <v>41802</v>
      </c>
      <c r="B1326" s="1">
        <v>41804</v>
      </c>
      <c r="C1326" t="s">
        <v>638</v>
      </c>
      <c r="D1326" t="s">
        <v>196</v>
      </c>
      <c r="E1326" t="s">
        <v>1394</v>
      </c>
      <c r="F1326">
        <v>174.42</v>
      </c>
      <c r="G1326">
        <v>3</v>
      </c>
      <c r="H1326">
        <v>41.860799999999998</v>
      </c>
      <c r="I1326">
        <v>2</v>
      </c>
      <c r="J1326">
        <v>2014</v>
      </c>
      <c r="K1326" t="s">
        <v>2206</v>
      </c>
      <c r="L1326" t="str">
        <f>TEXT(maintable_2[[#This Row],[Order Date]],"mmmm")</f>
        <v>June</v>
      </c>
    </row>
    <row r="1327" spans="1:12" x14ac:dyDescent="0.3">
      <c r="A1327" s="1">
        <v>40913</v>
      </c>
      <c r="B1327" s="1">
        <v>40918</v>
      </c>
      <c r="C1327" t="s">
        <v>1395</v>
      </c>
      <c r="D1327" t="s">
        <v>71</v>
      </c>
      <c r="E1327" t="s">
        <v>1094</v>
      </c>
      <c r="F1327">
        <v>61.584000000000003</v>
      </c>
      <c r="G1327">
        <v>1</v>
      </c>
      <c r="H1327">
        <v>-6.9282000000000004</v>
      </c>
      <c r="I1327">
        <v>5</v>
      </c>
      <c r="J1327">
        <v>2012</v>
      </c>
      <c r="K1327" t="s">
        <v>2210</v>
      </c>
      <c r="L1327" t="str">
        <f>TEXT(maintable_2[[#This Row],[Order Date]],"mmmm")</f>
        <v>January</v>
      </c>
    </row>
    <row r="1328" spans="1:12" x14ac:dyDescent="0.3">
      <c r="A1328" s="1">
        <v>41725</v>
      </c>
      <c r="B1328" s="1">
        <v>41727</v>
      </c>
      <c r="C1328" t="s">
        <v>910</v>
      </c>
      <c r="D1328" t="s">
        <v>13</v>
      </c>
      <c r="E1328" t="s">
        <v>1396</v>
      </c>
      <c r="F1328">
        <v>19.829999999999998</v>
      </c>
      <c r="G1328">
        <v>1</v>
      </c>
      <c r="H1328">
        <v>5.9489999999999998</v>
      </c>
      <c r="I1328">
        <v>2</v>
      </c>
      <c r="J1328">
        <v>2014</v>
      </c>
      <c r="K1328" t="s">
        <v>2208</v>
      </c>
      <c r="L1328" t="str">
        <f>TEXT(maintable_2[[#This Row],[Order Date]],"mmmm")</f>
        <v>March</v>
      </c>
    </row>
    <row r="1329" spans="1:12" x14ac:dyDescent="0.3">
      <c r="A1329" s="1">
        <v>40806</v>
      </c>
      <c r="B1329" s="1">
        <v>40812</v>
      </c>
      <c r="C1329" t="s">
        <v>1397</v>
      </c>
      <c r="D1329" t="s">
        <v>19</v>
      </c>
      <c r="E1329" t="s">
        <v>105</v>
      </c>
      <c r="F1329">
        <v>43.92</v>
      </c>
      <c r="G1329">
        <v>4</v>
      </c>
      <c r="H1329">
        <v>11.8584</v>
      </c>
      <c r="I1329">
        <v>6</v>
      </c>
      <c r="J1329">
        <v>2011</v>
      </c>
      <c r="K1329" t="s">
        <v>2209</v>
      </c>
      <c r="L1329" t="str">
        <f>TEXT(maintable_2[[#This Row],[Order Date]],"mmmm")</f>
        <v>September</v>
      </c>
    </row>
    <row r="1330" spans="1:12" x14ac:dyDescent="0.3">
      <c r="A1330" s="1">
        <v>40806</v>
      </c>
      <c r="B1330" s="1">
        <v>40812</v>
      </c>
      <c r="C1330" t="s">
        <v>1397</v>
      </c>
      <c r="D1330" t="s">
        <v>17</v>
      </c>
      <c r="E1330" t="s">
        <v>387</v>
      </c>
      <c r="F1330">
        <v>20.231999999999999</v>
      </c>
      <c r="G1330">
        <v>3</v>
      </c>
      <c r="H1330">
        <v>6.5754000000000001</v>
      </c>
      <c r="I1330">
        <v>6</v>
      </c>
      <c r="J1330">
        <v>2011</v>
      </c>
      <c r="K1330" t="s">
        <v>2209</v>
      </c>
      <c r="L1330" t="str">
        <f>TEXT(maintable_2[[#This Row],[Order Date]],"mmmm")</f>
        <v>September</v>
      </c>
    </row>
    <row r="1331" spans="1:12" x14ac:dyDescent="0.3">
      <c r="A1331" s="1">
        <v>40628</v>
      </c>
      <c r="B1331" s="1">
        <v>40632</v>
      </c>
      <c r="C1331" t="s">
        <v>1309</v>
      </c>
      <c r="D1331" t="s">
        <v>37</v>
      </c>
      <c r="E1331" t="s">
        <v>113</v>
      </c>
      <c r="F1331">
        <v>66.3</v>
      </c>
      <c r="G1331">
        <v>3</v>
      </c>
      <c r="H1331">
        <v>8.6189999999999998</v>
      </c>
      <c r="I1331">
        <v>4</v>
      </c>
      <c r="J1331">
        <v>2011</v>
      </c>
      <c r="K1331" t="s">
        <v>2208</v>
      </c>
      <c r="L1331" t="str">
        <f>TEXT(maintable_2[[#This Row],[Order Date]],"mmmm")</f>
        <v>March</v>
      </c>
    </row>
    <row r="1332" spans="1:12" x14ac:dyDescent="0.3">
      <c r="A1332" s="1">
        <v>41156</v>
      </c>
      <c r="B1332" s="1">
        <v>41161</v>
      </c>
      <c r="C1332" t="s">
        <v>1398</v>
      </c>
      <c r="D1332" t="s">
        <v>17</v>
      </c>
      <c r="E1332" t="s">
        <v>1212</v>
      </c>
      <c r="F1332">
        <v>9.7620000000000005</v>
      </c>
      <c r="G1332">
        <v>2</v>
      </c>
      <c r="H1332">
        <v>-6.8334000000000001</v>
      </c>
      <c r="I1332">
        <v>5</v>
      </c>
      <c r="J1332">
        <v>2012</v>
      </c>
      <c r="K1332" t="s">
        <v>2209</v>
      </c>
      <c r="L1332" t="str">
        <f>TEXT(maintable_2[[#This Row],[Order Date]],"mmmm")</f>
        <v>September</v>
      </c>
    </row>
    <row r="1333" spans="1:12" x14ac:dyDescent="0.3">
      <c r="A1333" s="1">
        <v>41348</v>
      </c>
      <c r="B1333" s="1">
        <v>41350</v>
      </c>
      <c r="C1333" t="s">
        <v>1399</v>
      </c>
      <c r="D1333" t="s">
        <v>71</v>
      </c>
      <c r="E1333" t="s">
        <v>765</v>
      </c>
      <c r="F1333">
        <v>196.78399999999999</v>
      </c>
      <c r="G1333">
        <v>2</v>
      </c>
      <c r="H1333">
        <v>-22.138200000000001</v>
      </c>
      <c r="I1333">
        <v>2</v>
      </c>
      <c r="J1333">
        <v>2013</v>
      </c>
      <c r="K1333" t="s">
        <v>2208</v>
      </c>
      <c r="L1333" t="str">
        <f>TEXT(maintable_2[[#This Row],[Order Date]],"mmmm")</f>
        <v>March</v>
      </c>
    </row>
    <row r="1334" spans="1:12" x14ac:dyDescent="0.3">
      <c r="A1334" s="1">
        <v>41816</v>
      </c>
      <c r="B1334" s="1">
        <v>41820</v>
      </c>
      <c r="C1334" t="s">
        <v>974</v>
      </c>
      <c r="D1334" t="s">
        <v>21</v>
      </c>
      <c r="E1334" t="s">
        <v>1400</v>
      </c>
      <c r="F1334">
        <v>871.4</v>
      </c>
      <c r="G1334">
        <v>4</v>
      </c>
      <c r="H1334">
        <v>148.13800000000001</v>
      </c>
      <c r="I1334">
        <v>4</v>
      </c>
      <c r="J1334">
        <v>2014</v>
      </c>
      <c r="K1334" t="s">
        <v>2206</v>
      </c>
      <c r="L1334" t="str">
        <f>TEXT(maintable_2[[#This Row],[Order Date]],"mmmm")</f>
        <v>June</v>
      </c>
    </row>
    <row r="1335" spans="1:12" x14ac:dyDescent="0.3">
      <c r="A1335" s="1">
        <v>41842</v>
      </c>
      <c r="B1335" s="1">
        <v>41842</v>
      </c>
      <c r="C1335" t="s">
        <v>286</v>
      </c>
      <c r="D1335" t="s">
        <v>15</v>
      </c>
      <c r="E1335" t="s">
        <v>1401</v>
      </c>
      <c r="F1335">
        <v>71.927999999999997</v>
      </c>
      <c r="G1335">
        <v>9</v>
      </c>
      <c r="H1335">
        <v>6.2937000000000003</v>
      </c>
      <c r="I1335">
        <v>0</v>
      </c>
      <c r="J1335">
        <v>2014</v>
      </c>
      <c r="K1335" t="s">
        <v>2206</v>
      </c>
      <c r="L1335" t="str">
        <f>TEXT(maintable_2[[#This Row],[Order Date]],"mmmm")</f>
        <v>July</v>
      </c>
    </row>
    <row r="1336" spans="1:12" x14ac:dyDescent="0.3">
      <c r="A1336" s="1">
        <v>41842</v>
      </c>
      <c r="B1336" s="1">
        <v>41842</v>
      </c>
      <c r="C1336" t="s">
        <v>286</v>
      </c>
      <c r="D1336" t="s">
        <v>13</v>
      </c>
      <c r="E1336" t="s">
        <v>844</v>
      </c>
      <c r="F1336">
        <v>25.99</v>
      </c>
      <c r="G1336">
        <v>1</v>
      </c>
      <c r="H1336">
        <v>7.5370999999999997</v>
      </c>
      <c r="I1336">
        <v>0</v>
      </c>
      <c r="J1336">
        <v>2014</v>
      </c>
      <c r="K1336" t="s">
        <v>2206</v>
      </c>
      <c r="L1336" t="str">
        <f>TEXT(maintable_2[[#This Row],[Order Date]],"mmmm")</f>
        <v>July</v>
      </c>
    </row>
    <row r="1337" spans="1:12" x14ac:dyDescent="0.3">
      <c r="A1337" s="1">
        <v>41205</v>
      </c>
      <c r="B1337" s="1">
        <v>41210</v>
      </c>
      <c r="C1337" t="s">
        <v>1402</v>
      </c>
      <c r="D1337" t="s">
        <v>17</v>
      </c>
      <c r="E1337" t="s">
        <v>165</v>
      </c>
      <c r="F1337">
        <v>3.5920000000000001</v>
      </c>
      <c r="G1337">
        <v>1</v>
      </c>
      <c r="H1337">
        <v>1.1225000000000001</v>
      </c>
      <c r="I1337">
        <v>5</v>
      </c>
      <c r="J1337">
        <v>2012</v>
      </c>
      <c r="K1337" t="s">
        <v>2209</v>
      </c>
      <c r="L1337" t="str">
        <f>TEXT(maintable_2[[#This Row],[Order Date]],"mmmm")</f>
        <v>October</v>
      </c>
    </row>
    <row r="1338" spans="1:12" x14ac:dyDescent="0.3">
      <c r="A1338" s="1">
        <v>41870</v>
      </c>
      <c r="B1338" s="1">
        <v>41874</v>
      </c>
      <c r="C1338" t="s">
        <v>1403</v>
      </c>
      <c r="D1338" t="s">
        <v>27</v>
      </c>
      <c r="E1338" t="s">
        <v>439</v>
      </c>
      <c r="F1338">
        <v>323.10000000000002</v>
      </c>
      <c r="G1338">
        <v>2</v>
      </c>
      <c r="H1338">
        <v>61.389000000000003</v>
      </c>
      <c r="I1338">
        <v>4</v>
      </c>
      <c r="J1338">
        <v>2014</v>
      </c>
      <c r="K1338" t="s">
        <v>2206</v>
      </c>
      <c r="L1338" t="str">
        <f>TEXT(maintable_2[[#This Row],[Order Date]],"mmmm")</f>
        <v>August</v>
      </c>
    </row>
    <row r="1339" spans="1:12" x14ac:dyDescent="0.3">
      <c r="A1339" s="1">
        <v>41983</v>
      </c>
      <c r="B1339" s="1">
        <v>41987</v>
      </c>
      <c r="C1339" t="s">
        <v>504</v>
      </c>
      <c r="D1339" t="s">
        <v>13</v>
      </c>
      <c r="E1339" t="s">
        <v>1271</v>
      </c>
      <c r="F1339">
        <v>11.16</v>
      </c>
      <c r="G1339">
        <v>2</v>
      </c>
      <c r="H1339">
        <v>2.79</v>
      </c>
      <c r="I1339">
        <v>4</v>
      </c>
      <c r="J1339">
        <v>2014</v>
      </c>
      <c r="K1339" t="s">
        <v>2207</v>
      </c>
      <c r="L1339" t="str">
        <f>TEXT(maintable_2[[#This Row],[Order Date]],"mmmm")</f>
        <v>December</v>
      </c>
    </row>
    <row r="1340" spans="1:12" x14ac:dyDescent="0.3">
      <c r="A1340" s="1">
        <v>41983</v>
      </c>
      <c r="B1340" s="1">
        <v>41987</v>
      </c>
      <c r="C1340" t="s">
        <v>504</v>
      </c>
      <c r="D1340" t="s">
        <v>21</v>
      </c>
      <c r="E1340" t="s">
        <v>449</v>
      </c>
      <c r="F1340">
        <v>896.32799999999997</v>
      </c>
      <c r="G1340">
        <v>9</v>
      </c>
      <c r="H1340">
        <v>22.408200000000001</v>
      </c>
      <c r="I1340">
        <v>4</v>
      </c>
      <c r="J1340">
        <v>2014</v>
      </c>
      <c r="K1340" t="s">
        <v>2207</v>
      </c>
      <c r="L1340" t="str">
        <f>TEXT(maintable_2[[#This Row],[Order Date]],"mmmm")</f>
        <v>December</v>
      </c>
    </row>
    <row r="1341" spans="1:12" x14ac:dyDescent="0.3">
      <c r="A1341" s="1">
        <v>41983</v>
      </c>
      <c r="B1341" s="1">
        <v>41987</v>
      </c>
      <c r="C1341" t="s">
        <v>504</v>
      </c>
      <c r="D1341" t="s">
        <v>19</v>
      </c>
      <c r="E1341" t="s">
        <v>1404</v>
      </c>
      <c r="F1341">
        <v>189</v>
      </c>
      <c r="G1341">
        <v>1</v>
      </c>
      <c r="H1341">
        <v>68.040000000000006</v>
      </c>
      <c r="I1341">
        <v>4</v>
      </c>
      <c r="J1341">
        <v>2014</v>
      </c>
      <c r="K1341" t="s">
        <v>2207</v>
      </c>
      <c r="L1341" t="str">
        <f>TEXT(maintable_2[[#This Row],[Order Date]],"mmmm")</f>
        <v>December</v>
      </c>
    </row>
    <row r="1342" spans="1:12" x14ac:dyDescent="0.3">
      <c r="A1342" s="1">
        <v>41935</v>
      </c>
      <c r="B1342" s="1">
        <v>41940</v>
      </c>
      <c r="C1342" t="s">
        <v>1405</v>
      </c>
      <c r="D1342" t="s">
        <v>21</v>
      </c>
      <c r="E1342" t="s">
        <v>350</v>
      </c>
      <c r="F1342">
        <v>177.22499999999999</v>
      </c>
      <c r="G1342">
        <v>5</v>
      </c>
      <c r="H1342">
        <v>-120.51300000000001</v>
      </c>
      <c r="I1342">
        <v>5</v>
      </c>
      <c r="J1342">
        <v>2014</v>
      </c>
      <c r="K1342" t="s">
        <v>2209</v>
      </c>
      <c r="L1342" t="str">
        <f>TEXT(maintable_2[[#This Row],[Order Date]],"mmmm")</f>
        <v>October</v>
      </c>
    </row>
    <row r="1343" spans="1:12" x14ac:dyDescent="0.3">
      <c r="A1343" s="1">
        <v>41824</v>
      </c>
      <c r="B1343" s="1">
        <v>41831</v>
      </c>
      <c r="C1343" t="s">
        <v>610</v>
      </c>
      <c r="D1343" t="s">
        <v>11</v>
      </c>
      <c r="E1343" t="s">
        <v>1356</v>
      </c>
      <c r="F1343">
        <v>129.38999999999999</v>
      </c>
      <c r="G1343">
        <v>3</v>
      </c>
      <c r="H1343">
        <v>54.343800000000002</v>
      </c>
      <c r="I1343">
        <v>7</v>
      </c>
      <c r="J1343">
        <v>2014</v>
      </c>
      <c r="K1343" t="s">
        <v>2206</v>
      </c>
      <c r="L1343" t="str">
        <f>TEXT(maintable_2[[#This Row],[Order Date]],"mmmm")</f>
        <v>July</v>
      </c>
    </row>
    <row r="1344" spans="1:12" x14ac:dyDescent="0.3">
      <c r="A1344" s="1">
        <v>41887</v>
      </c>
      <c r="B1344" s="1">
        <v>41893</v>
      </c>
      <c r="C1344" t="s">
        <v>1406</v>
      </c>
      <c r="D1344" t="s">
        <v>27</v>
      </c>
      <c r="E1344" t="s">
        <v>1407</v>
      </c>
      <c r="F1344">
        <v>54.32</v>
      </c>
      <c r="G1344">
        <v>4</v>
      </c>
      <c r="H1344">
        <v>0.54320000000000002</v>
      </c>
      <c r="I1344">
        <v>6</v>
      </c>
      <c r="J1344">
        <v>2014</v>
      </c>
      <c r="K1344" t="s">
        <v>2209</v>
      </c>
      <c r="L1344" t="str">
        <f>TEXT(maintable_2[[#This Row],[Order Date]],"mmmm")</f>
        <v>September</v>
      </c>
    </row>
    <row r="1345" spans="1:12" x14ac:dyDescent="0.3">
      <c r="A1345" s="1">
        <v>40842</v>
      </c>
      <c r="B1345" s="1">
        <v>40846</v>
      </c>
      <c r="C1345" t="s">
        <v>1408</v>
      </c>
      <c r="D1345" t="s">
        <v>11</v>
      </c>
      <c r="E1345" t="s">
        <v>261</v>
      </c>
      <c r="F1345">
        <v>63.92</v>
      </c>
      <c r="G1345">
        <v>4</v>
      </c>
      <c r="H1345">
        <v>3.1960000000000002</v>
      </c>
      <c r="I1345">
        <v>4</v>
      </c>
      <c r="J1345">
        <v>2011</v>
      </c>
      <c r="K1345" t="s">
        <v>2209</v>
      </c>
      <c r="L1345" t="str">
        <f>TEXT(maintable_2[[#This Row],[Order Date]],"mmmm")</f>
        <v>October</v>
      </c>
    </row>
    <row r="1346" spans="1:12" x14ac:dyDescent="0.3">
      <c r="A1346" s="1">
        <v>40842</v>
      </c>
      <c r="B1346" s="1">
        <v>40846</v>
      </c>
      <c r="C1346" t="s">
        <v>1408</v>
      </c>
      <c r="D1346" t="s">
        <v>15</v>
      </c>
      <c r="E1346" t="s">
        <v>1409</v>
      </c>
      <c r="F1346">
        <v>383.96</v>
      </c>
      <c r="G1346">
        <v>5</v>
      </c>
      <c r="H1346">
        <v>38.396000000000001</v>
      </c>
      <c r="I1346">
        <v>4</v>
      </c>
      <c r="J1346">
        <v>2011</v>
      </c>
      <c r="K1346" t="s">
        <v>2209</v>
      </c>
      <c r="L1346" t="str">
        <f>TEXT(maintable_2[[#This Row],[Order Date]],"mmmm")</f>
        <v>October</v>
      </c>
    </row>
    <row r="1347" spans="1:12" x14ac:dyDescent="0.3">
      <c r="A1347" s="1">
        <v>41454</v>
      </c>
      <c r="B1347" s="1">
        <v>41454</v>
      </c>
      <c r="C1347" t="s">
        <v>1410</v>
      </c>
      <c r="D1347" t="s">
        <v>17</v>
      </c>
      <c r="E1347" t="s">
        <v>297</v>
      </c>
      <c r="F1347">
        <v>7.7519999999999998</v>
      </c>
      <c r="G1347">
        <v>3</v>
      </c>
      <c r="H1347">
        <v>2.8100999999999998</v>
      </c>
      <c r="I1347">
        <v>0</v>
      </c>
      <c r="J1347">
        <v>2013</v>
      </c>
      <c r="K1347" t="s">
        <v>2206</v>
      </c>
      <c r="L1347" t="str">
        <f>TEXT(maintable_2[[#This Row],[Order Date]],"mmmm")</f>
        <v>June</v>
      </c>
    </row>
    <row r="1348" spans="1:12" x14ac:dyDescent="0.3">
      <c r="A1348" s="1">
        <v>41454</v>
      </c>
      <c r="B1348" s="1">
        <v>41454</v>
      </c>
      <c r="C1348" t="s">
        <v>1410</v>
      </c>
      <c r="D1348" t="s">
        <v>17</v>
      </c>
      <c r="E1348" t="s">
        <v>1411</v>
      </c>
      <c r="F1348">
        <v>33.567999999999998</v>
      </c>
      <c r="G1348">
        <v>2</v>
      </c>
      <c r="H1348">
        <v>11.748799999999999</v>
      </c>
      <c r="I1348">
        <v>0</v>
      </c>
      <c r="J1348">
        <v>2013</v>
      </c>
      <c r="K1348" t="s">
        <v>2206</v>
      </c>
      <c r="L1348" t="str">
        <f>TEXT(maintable_2[[#This Row],[Order Date]],"mmmm")</f>
        <v>June</v>
      </c>
    </row>
    <row r="1349" spans="1:12" x14ac:dyDescent="0.3">
      <c r="A1349" s="1">
        <v>40851</v>
      </c>
      <c r="B1349" s="1">
        <v>40858</v>
      </c>
      <c r="C1349" t="s">
        <v>858</v>
      </c>
      <c r="D1349" t="s">
        <v>15</v>
      </c>
      <c r="E1349" t="s">
        <v>1412</v>
      </c>
      <c r="F1349">
        <v>666.34400000000005</v>
      </c>
      <c r="G1349">
        <v>7</v>
      </c>
      <c r="H1349">
        <v>66.634399999999999</v>
      </c>
      <c r="I1349">
        <v>7</v>
      </c>
      <c r="J1349">
        <v>2011</v>
      </c>
      <c r="K1349" t="s">
        <v>2209</v>
      </c>
      <c r="L1349" t="str">
        <f>TEXT(maintable_2[[#This Row],[Order Date]],"mmmm")</f>
        <v>November</v>
      </c>
    </row>
    <row r="1350" spans="1:12" x14ac:dyDescent="0.3">
      <c r="A1350" s="1">
        <v>40851</v>
      </c>
      <c r="B1350" s="1">
        <v>40858</v>
      </c>
      <c r="C1350" t="s">
        <v>858</v>
      </c>
      <c r="D1350" t="s">
        <v>21</v>
      </c>
      <c r="E1350" t="s">
        <v>192</v>
      </c>
      <c r="F1350">
        <v>573.72799999999995</v>
      </c>
      <c r="G1350">
        <v>4</v>
      </c>
      <c r="H1350">
        <v>-64.544399999999996</v>
      </c>
      <c r="I1350">
        <v>7</v>
      </c>
      <c r="J1350">
        <v>2011</v>
      </c>
      <c r="K1350" t="s">
        <v>2209</v>
      </c>
      <c r="L1350" t="str">
        <f>TEXT(maintable_2[[#This Row],[Order Date]],"mmmm")</f>
        <v>November</v>
      </c>
    </row>
    <row r="1351" spans="1:12" x14ac:dyDescent="0.3">
      <c r="A1351" s="1">
        <v>40851</v>
      </c>
      <c r="B1351" s="1">
        <v>40858</v>
      </c>
      <c r="C1351" t="s">
        <v>858</v>
      </c>
      <c r="D1351" t="s">
        <v>17</v>
      </c>
      <c r="E1351" t="s">
        <v>567</v>
      </c>
      <c r="F1351">
        <v>21.936</v>
      </c>
      <c r="G1351">
        <v>3</v>
      </c>
      <c r="H1351">
        <v>8.2260000000000009</v>
      </c>
      <c r="I1351">
        <v>7</v>
      </c>
      <c r="J1351">
        <v>2011</v>
      </c>
      <c r="K1351" t="s">
        <v>2209</v>
      </c>
      <c r="L1351" t="str">
        <f>TEXT(maintable_2[[#This Row],[Order Date]],"mmmm")</f>
        <v>November</v>
      </c>
    </row>
    <row r="1352" spans="1:12" x14ac:dyDescent="0.3">
      <c r="A1352" s="1">
        <v>40851</v>
      </c>
      <c r="B1352" s="1">
        <v>40858</v>
      </c>
      <c r="C1352" t="s">
        <v>858</v>
      </c>
      <c r="D1352" t="s">
        <v>44</v>
      </c>
      <c r="E1352" t="s">
        <v>1413</v>
      </c>
      <c r="F1352">
        <v>19.440000000000001</v>
      </c>
      <c r="G1352">
        <v>3</v>
      </c>
      <c r="H1352">
        <v>9.3312000000000008</v>
      </c>
      <c r="I1352">
        <v>7</v>
      </c>
      <c r="J1352">
        <v>2011</v>
      </c>
      <c r="K1352" t="s">
        <v>2209</v>
      </c>
      <c r="L1352" t="str">
        <f>TEXT(maintable_2[[#This Row],[Order Date]],"mmmm")</f>
        <v>November</v>
      </c>
    </row>
    <row r="1353" spans="1:12" x14ac:dyDescent="0.3">
      <c r="A1353" s="1">
        <v>40851</v>
      </c>
      <c r="B1353" s="1">
        <v>40858</v>
      </c>
      <c r="C1353" t="s">
        <v>858</v>
      </c>
      <c r="D1353" t="s">
        <v>494</v>
      </c>
      <c r="E1353" t="s">
        <v>1414</v>
      </c>
      <c r="F1353">
        <v>447.96800000000002</v>
      </c>
      <c r="G1353">
        <v>4</v>
      </c>
      <c r="H1353">
        <v>139.99</v>
      </c>
      <c r="I1353">
        <v>7</v>
      </c>
      <c r="J1353">
        <v>2011</v>
      </c>
      <c r="K1353" t="s">
        <v>2209</v>
      </c>
      <c r="L1353" t="str">
        <f>TEXT(maintable_2[[#This Row],[Order Date]],"mmmm")</f>
        <v>November</v>
      </c>
    </row>
    <row r="1354" spans="1:12" x14ac:dyDescent="0.3">
      <c r="A1354" s="1">
        <v>41085</v>
      </c>
      <c r="B1354" s="1">
        <v>41091</v>
      </c>
      <c r="C1354" t="s">
        <v>328</v>
      </c>
      <c r="D1354" t="s">
        <v>13</v>
      </c>
      <c r="E1354" t="s">
        <v>105</v>
      </c>
      <c r="F1354">
        <v>20.96</v>
      </c>
      <c r="G1354">
        <v>2</v>
      </c>
      <c r="H1354">
        <v>5.24</v>
      </c>
      <c r="I1354">
        <v>6</v>
      </c>
      <c r="J1354">
        <v>2012</v>
      </c>
      <c r="K1354" t="s">
        <v>2206</v>
      </c>
      <c r="L1354" t="str">
        <f>TEXT(maintable_2[[#This Row],[Order Date]],"mmmm")</f>
        <v>June</v>
      </c>
    </row>
    <row r="1355" spans="1:12" x14ac:dyDescent="0.3">
      <c r="A1355" s="1">
        <v>41085</v>
      </c>
      <c r="B1355" s="1">
        <v>41091</v>
      </c>
      <c r="C1355" t="s">
        <v>328</v>
      </c>
      <c r="D1355" t="s">
        <v>17</v>
      </c>
      <c r="E1355" t="s">
        <v>705</v>
      </c>
      <c r="F1355">
        <v>88.751999999999995</v>
      </c>
      <c r="G1355">
        <v>3</v>
      </c>
      <c r="H1355">
        <v>27.734999999999999</v>
      </c>
      <c r="I1355">
        <v>6</v>
      </c>
      <c r="J1355">
        <v>2012</v>
      </c>
      <c r="K1355" t="s">
        <v>2206</v>
      </c>
      <c r="L1355" t="str">
        <f>TEXT(maintable_2[[#This Row],[Order Date]],"mmmm")</f>
        <v>June</v>
      </c>
    </row>
    <row r="1356" spans="1:12" x14ac:dyDescent="0.3">
      <c r="A1356" s="1">
        <v>41085</v>
      </c>
      <c r="B1356" s="1">
        <v>41091</v>
      </c>
      <c r="C1356" t="s">
        <v>328</v>
      </c>
      <c r="D1356" t="s">
        <v>27</v>
      </c>
      <c r="E1356" t="s">
        <v>311</v>
      </c>
      <c r="F1356">
        <v>304.23</v>
      </c>
      <c r="G1356">
        <v>3</v>
      </c>
      <c r="H1356">
        <v>9.1268999999999991</v>
      </c>
      <c r="I1356">
        <v>6</v>
      </c>
      <c r="J1356">
        <v>2012</v>
      </c>
      <c r="K1356" t="s">
        <v>2206</v>
      </c>
      <c r="L1356" t="str">
        <f>TEXT(maintable_2[[#This Row],[Order Date]],"mmmm")</f>
        <v>June</v>
      </c>
    </row>
    <row r="1357" spans="1:12" x14ac:dyDescent="0.3">
      <c r="A1357" s="1">
        <v>41116</v>
      </c>
      <c r="B1357" s="1">
        <v>41123</v>
      </c>
      <c r="C1357" t="s">
        <v>89</v>
      </c>
      <c r="D1357" t="s">
        <v>86</v>
      </c>
      <c r="E1357" t="s">
        <v>1415</v>
      </c>
      <c r="F1357">
        <v>167.86</v>
      </c>
      <c r="G1357">
        <v>2</v>
      </c>
      <c r="H1357">
        <v>78.894199999999998</v>
      </c>
      <c r="I1357">
        <v>7</v>
      </c>
      <c r="J1357">
        <v>2012</v>
      </c>
      <c r="K1357" t="s">
        <v>2206</v>
      </c>
      <c r="L1357" t="str">
        <f>TEXT(maintable_2[[#This Row],[Order Date]],"mmmm")</f>
        <v>July</v>
      </c>
    </row>
    <row r="1358" spans="1:12" x14ac:dyDescent="0.3">
      <c r="A1358" s="1">
        <v>40906</v>
      </c>
      <c r="B1358" s="1">
        <v>40911</v>
      </c>
      <c r="C1358" t="s">
        <v>1416</v>
      </c>
      <c r="D1358" t="s">
        <v>15</v>
      </c>
      <c r="E1358" t="s">
        <v>1417</v>
      </c>
      <c r="F1358">
        <v>23.975999999999999</v>
      </c>
      <c r="G1358">
        <v>3</v>
      </c>
      <c r="H1358">
        <v>-5.6943000000000001</v>
      </c>
      <c r="I1358">
        <v>5</v>
      </c>
      <c r="J1358">
        <v>2011</v>
      </c>
      <c r="K1358" t="s">
        <v>2207</v>
      </c>
      <c r="L1358" t="str">
        <f>TEXT(maintable_2[[#This Row],[Order Date]],"mmmm")</f>
        <v>December</v>
      </c>
    </row>
    <row r="1359" spans="1:12" x14ac:dyDescent="0.3">
      <c r="A1359" s="1">
        <v>40906</v>
      </c>
      <c r="B1359" s="1">
        <v>40911</v>
      </c>
      <c r="C1359" t="s">
        <v>1416</v>
      </c>
      <c r="D1359" t="s">
        <v>27</v>
      </c>
      <c r="E1359" t="s">
        <v>915</v>
      </c>
      <c r="F1359">
        <v>33.29</v>
      </c>
      <c r="G1359">
        <v>1</v>
      </c>
      <c r="H1359">
        <v>7.9896000000000003</v>
      </c>
      <c r="I1359">
        <v>5</v>
      </c>
      <c r="J1359">
        <v>2011</v>
      </c>
      <c r="K1359" t="s">
        <v>2207</v>
      </c>
      <c r="L1359" t="str">
        <f>TEXT(maintable_2[[#This Row],[Order Date]],"mmmm")</f>
        <v>December</v>
      </c>
    </row>
    <row r="1360" spans="1:12" x14ac:dyDescent="0.3">
      <c r="A1360" s="1">
        <v>41884</v>
      </c>
      <c r="B1360" s="1">
        <v>41889</v>
      </c>
      <c r="C1360" t="s">
        <v>1418</v>
      </c>
      <c r="D1360" t="s">
        <v>37</v>
      </c>
      <c r="E1360" t="s">
        <v>1419</v>
      </c>
      <c r="F1360">
        <v>19.989999999999998</v>
      </c>
      <c r="G1360">
        <v>1</v>
      </c>
      <c r="H1360">
        <v>6.7965999999999998</v>
      </c>
      <c r="I1360">
        <v>5</v>
      </c>
      <c r="J1360">
        <v>2014</v>
      </c>
      <c r="K1360" t="s">
        <v>2209</v>
      </c>
      <c r="L1360" t="str">
        <f>TEXT(maintable_2[[#This Row],[Order Date]],"mmmm")</f>
        <v>September</v>
      </c>
    </row>
    <row r="1361" spans="1:12" x14ac:dyDescent="0.3">
      <c r="A1361" s="1">
        <v>41884</v>
      </c>
      <c r="B1361" s="1">
        <v>41889</v>
      </c>
      <c r="C1361" t="s">
        <v>1418</v>
      </c>
      <c r="D1361" t="s">
        <v>17</v>
      </c>
      <c r="E1361" t="s">
        <v>1420</v>
      </c>
      <c r="F1361">
        <v>22.92</v>
      </c>
      <c r="G1361">
        <v>5</v>
      </c>
      <c r="H1361">
        <v>8.0220000000000002</v>
      </c>
      <c r="I1361">
        <v>5</v>
      </c>
      <c r="J1361">
        <v>2014</v>
      </c>
      <c r="K1361" t="s">
        <v>2209</v>
      </c>
      <c r="L1361" t="str">
        <f>TEXT(maintable_2[[#This Row],[Order Date]],"mmmm")</f>
        <v>September</v>
      </c>
    </row>
    <row r="1362" spans="1:12" x14ac:dyDescent="0.3">
      <c r="A1362" s="1">
        <v>41263</v>
      </c>
      <c r="B1362" s="1">
        <v>41267</v>
      </c>
      <c r="C1362" t="s">
        <v>347</v>
      </c>
      <c r="D1362" t="s">
        <v>86</v>
      </c>
      <c r="E1362" t="s">
        <v>1421</v>
      </c>
      <c r="F1362">
        <v>7.92</v>
      </c>
      <c r="G1362">
        <v>1</v>
      </c>
      <c r="H1362">
        <v>2.7719999999999998</v>
      </c>
      <c r="I1362">
        <v>4</v>
      </c>
      <c r="J1362">
        <v>2012</v>
      </c>
      <c r="K1362" t="s">
        <v>2207</v>
      </c>
      <c r="L1362" t="str">
        <f>TEXT(maintable_2[[#This Row],[Order Date]],"mmmm")</f>
        <v>December</v>
      </c>
    </row>
    <row r="1363" spans="1:12" x14ac:dyDescent="0.3">
      <c r="A1363" s="1">
        <v>41263</v>
      </c>
      <c r="B1363" s="1">
        <v>41267</v>
      </c>
      <c r="C1363" t="s">
        <v>347</v>
      </c>
      <c r="D1363" t="s">
        <v>11</v>
      </c>
      <c r="E1363" t="s">
        <v>1422</v>
      </c>
      <c r="F1363">
        <v>14.368</v>
      </c>
      <c r="G1363">
        <v>2</v>
      </c>
      <c r="H1363">
        <v>3.9512</v>
      </c>
      <c r="I1363">
        <v>4</v>
      </c>
      <c r="J1363">
        <v>2012</v>
      </c>
      <c r="K1363" t="s">
        <v>2207</v>
      </c>
      <c r="L1363" t="str">
        <f>TEXT(maintable_2[[#This Row],[Order Date]],"mmmm")</f>
        <v>December</v>
      </c>
    </row>
    <row r="1364" spans="1:12" x14ac:dyDescent="0.3">
      <c r="A1364" s="1">
        <v>41240</v>
      </c>
      <c r="B1364" s="1">
        <v>41244</v>
      </c>
      <c r="C1364" t="s">
        <v>1360</v>
      </c>
      <c r="D1364" t="s">
        <v>37</v>
      </c>
      <c r="E1364" t="s">
        <v>189</v>
      </c>
      <c r="F1364">
        <v>107.97</v>
      </c>
      <c r="G1364">
        <v>3</v>
      </c>
      <c r="H1364">
        <v>22.6737</v>
      </c>
      <c r="I1364">
        <v>4</v>
      </c>
      <c r="J1364">
        <v>2012</v>
      </c>
      <c r="K1364" t="s">
        <v>2209</v>
      </c>
      <c r="L1364" t="str">
        <f>TEXT(maintable_2[[#This Row],[Order Date]],"mmmm")</f>
        <v>November</v>
      </c>
    </row>
    <row r="1365" spans="1:12" x14ac:dyDescent="0.3">
      <c r="A1365" s="1">
        <v>41240</v>
      </c>
      <c r="B1365" s="1">
        <v>41244</v>
      </c>
      <c r="C1365" t="s">
        <v>1360</v>
      </c>
      <c r="D1365" t="s">
        <v>44</v>
      </c>
      <c r="E1365" t="s">
        <v>1104</v>
      </c>
      <c r="F1365">
        <v>113.82</v>
      </c>
      <c r="G1365">
        <v>3</v>
      </c>
      <c r="H1365">
        <v>53.495399999999997</v>
      </c>
      <c r="I1365">
        <v>4</v>
      </c>
      <c r="J1365">
        <v>2012</v>
      </c>
      <c r="K1365" t="s">
        <v>2209</v>
      </c>
      <c r="L1365" t="str">
        <f>TEXT(maintable_2[[#This Row],[Order Date]],"mmmm")</f>
        <v>November</v>
      </c>
    </row>
    <row r="1366" spans="1:12" x14ac:dyDescent="0.3">
      <c r="A1366" s="1">
        <v>41718</v>
      </c>
      <c r="B1366" s="1">
        <v>41721</v>
      </c>
      <c r="C1366" t="s">
        <v>1078</v>
      </c>
      <c r="D1366" t="s">
        <v>17</v>
      </c>
      <c r="E1366" t="s">
        <v>537</v>
      </c>
      <c r="F1366">
        <v>19.824000000000002</v>
      </c>
      <c r="G1366">
        <v>6</v>
      </c>
      <c r="H1366">
        <v>6.6905999999999999</v>
      </c>
      <c r="I1366">
        <v>3</v>
      </c>
      <c r="J1366">
        <v>2014</v>
      </c>
      <c r="K1366" t="s">
        <v>2208</v>
      </c>
      <c r="L1366" t="str">
        <f>TEXT(maintable_2[[#This Row],[Order Date]],"mmmm")</f>
        <v>March</v>
      </c>
    </row>
    <row r="1367" spans="1:12" x14ac:dyDescent="0.3">
      <c r="A1367" s="1">
        <v>41718</v>
      </c>
      <c r="B1367" s="1">
        <v>41721</v>
      </c>
      <c r="C1367" t="s">
        <v>1078</v>
      </c>
      <c r="D1367" t="s">
        <v>15</v>
      </c>
      <c r="E1367" t="s">
        <v>689</v>
      </c>
      <c r="F1367">
        <v>657.50400000000002</v>
      </c>
      <c r="G1367">
        <v>6</v>
      </c>
      <c r="H1367">
        <v>-131.5008</v>
      </c>
      <c r="I1367">
        <v>3</v>
      </c>
      <c r="J1367">
        <v>2014</v>
      </c>
      <c r="K1367" t="s">
        <v>2208</v>
      </c>
      <c r="L1367" t="str">
        <f>TEXT(maintable_2[[#This Row],[Order Date]],"mmmm")</f>
        <v>March</v>
      </c>
    </row>
    <row r="1368" spans="1:12" x14ac:dyDescent="0.3">
      <c r="A1368" s="1">
        <v>41718</v>
      </c>
      <c r="B1368" s="1">
        <v>41721</v>
      </c>
      <c r="C1368" t="s">
        <v>1078</v>
      </c>
      <c r="D1368" t="s">
        <v>37</v>
      </c>
      <c r="E1368" t="s">
        <v>62</v>
      </c>
      <c r="F1368">
        <v>99.54</v>
      </c>
      <c r="G1368">
        <v>2</v>
      </c>
      <c r="H1368">
        <v>10.949400000000001</v>
      </c>
      <c r="I1368">
        <v>3</v>
      </c>
      <c r="J1368">
        <v>2014</v>
      </c>
      <c r="K1368" t="s">
        <v>2208</v>
      </c>
      <c r="L1368" t="str">
        <f>TEXT(maintable_2[[#This Row],[Order Date]],"mmmm")</f>
        <v>March</v>
      </c>
    </row>
    <row r="1369" spans="1:12" x14ac:dyDescent="0.3">
      <c r="A1369" s="1">
        <v>41718</v>
      </c>
      <c r="B1369" s="1">
        <v>41721</v>
      </c>
      <c r="C1369" t="s">
        <v>1078</v>
      </c>
      <c r="D1369" t="s">
        <v>37</v>
      </c>
      <c r="E1369" t="s">
        <v>841</v>
      </c>
      <c r="F1369">
        <v>199.96</v>
      </c>
      <c r="G1369">
        <v>4</v>
      </c>
      <c r="H1369">
        <v>85.982799999999997</v>
      </c>
      <c r="I1369">
        <v>3</v>
      </c>
      <c r="J1369">
        <v>2014</v>
      </c>
      <c r="K1369" t="s">
        <v>2208</v>
      </c>
      <c r="L1369" t="str">
        <f>TEXT(maintable_2[[#This Row],[Order Date]],"mmmm")</f>
        <v>March</v>
      </c>
    </row>
    <row r="1370" spans="1:12" x14ac:dyDescent="0.3">
      <c r="A1370" s="1">
        <v>41968</v>
      </c>
      <c r="B1370" s="1">
        <v>41973</v>
      </c>
      <c r="C1370" t="s">
        <v>1423</v>
      </c>
      <c r="D1370" t="s">
        <v>17</v>
      </c>
      <c r="E1370" t="s">
        <v>651</v>
      </c>
      <c r="F1370">
        <v>20.724</v>
      </c>
      <c r="G1370">
        <v>2</v>
      </c>
      <c r="H1370">
        <v>-15.1976</v>
      </c>
      <c r="I1370">
        <v>5</v>
      </c>
      <c r="J1370">
        <v>2014</v>
      </c>
      <c r="K1370" t="s">
        <v>2209</v>
      </c>
      <c r="L1370" t="str">
        <f>TEXT(maintable_2[[#This Row],[Order Date]],"mmmm")</f>
        <v>November</v>
      </c>
    </row>
    <row r="1371" spans="1:12" x14ac:dyDescent="0.3">
      <c r="A1371" s="1">
        <v>41968</v>
      </c>
      <c r="B1371" s="1">
        <v>41973</v>
      </c>
      <c r="C1371" t="s">
        <v>1423</v>
      </c>
      <c r="D1371" t="s">
        <v>27</v>
      </c>
      <c r="E1371" t="s">
        <v>1191</v>
      </c>
      <c r="F1371">
        <v>415.87200000000001</v>
      </c>
      <c r="G1371">
        <v>8</v>
      </c>
      <c r="H1371">
        <v>-41.587200000000003</v>
      </c>
      <c r="I1371">
        <v>5</v>
      </c>
      <c r="J1371">
        <v>2014</v>
      </c>
      <c r="K1371" t="s">
        <v>2209</v>
      </c>
      <c r="L1371" t="str">
        <f>TEXT(maintable_2[[#This Row],[Order Date]],"mmmm")</f>
        <v>November</v>
      </c>
    </row>
    <row r="1372" spans="1:12" x14ac:dyDescent="0.3">
      <c r="A1372" s="1">
        <v>41984</v>
      </c>
      <c r="B1372" s="1">
        <v>41986</v>
      </c>
      <c r="C1372" t="s">
        <v>1424</v>
      </c>
      <c r="D1372" t="s">
        <v>15</v>
      </c>
      <c r="E1372" t="s">
        <v>1359</v>
      </c>
      <c r="F1372">
        <v>95.84</v>
      </c>
      <c r="G1372">
        <v>4</v>
      </c>
      <c r="H1372">
        <v>34.741999999999997</v>
      </c>
      <c r="I1372">
        <v>2</v>
      </c>
      <c r="J1372">
        <v>2014</v>
      </c>
      <c r="K1372" t="s">
        <v>2207</v>
      </c>
      <c r="L1372" t="str">
        <f>TEXT(maintable_2[[#This Row],[Order Date]],"mmmm")</f>
        <v>December</v>
      </c>
    </row>
    <row r="1373" spans="1:12" x14ac:dyDescent="0.3">
      <c r="A1373" s="1">
        <v>41984</v>
      </c>
      <c r="B1373" s="1">
        <v>41986</v>
      </c>
      <c r="C1373" t="s">
        <v>1424</v>
      </c>
      <c r="D1373" t="s">
        <v>44</v>
      </c>
      <c r="E1373" t="s">
        <v>300</v>
      </c>
      <c r="F1373">
        <v>12.96</v>
      </c>
      <c r="G1373">
        <v>2</v>
      </c>
      <c r="H1373">
        <v>6.2207999999999997</v>
      </c>
      <c r="I1373">
        <v>2</v>
      </c>
      <c r="J1373">
        <v>2014</v>
      </c>
      <c r="K1373" t="s">
        <v>2207</v>
      </c>
      <c r="L1373" t="str">
        <f>TEXT(maintable_2[[#This Row],[Order Date]],"mmmm")</f>
        <v>December</v>
      </c>
    </row>
    <row r="1374" spans="1:12" x14ac:dyDescent="0.3">
      <c r="A1374" s="1">
        <v>40658</v>
      </c>
      <c r="B1374" s="1">
        <v>40663</v>
      </c>
      <c r="C1374" t="s">
        <v>588</v>
      </c>
      <c r="D1374" t="s">
        <v>11</v>
      </c>
      <c r="E1374" t="s">
        <v>970</v>
      </c>
      <c r="F1374">
        <v>303.25</v>
      </c>
      <c r="G1374">
        <v>5</v>
      </c>
      <c r="H1374">
        <v>63.682499999999997</v>
      </c>
      <c r="I1374">
        <v>5</v>
      </c>
      <c r="J1374">
        <v>2011</v>
      </c>
      <c r="K1374" t="s">
        <v>2208</v>
      </c>
      <c r="L1374" t="str">
        <f>TEXT(maintable_2[[#This Row],[Order Date]],"mmmm")</f>
        <v>April</v>
      </c>
    </row>
    <row r="1375" spans="1:12" x14ac:dyDescent="0.3">
      <c r="A1375" s="1">
        <v>40658</v>
      </c>
      <c r="B1375" s="1">
        <v>40663</v>
      </c>
      <c r="C1375" t="s">
        <v>588</v>
      </c>
      <c r="D1375" t="s">
        <v>19</v>
      </c>
      <c r="E1375" t="s">
        <v>904</v>
      </c>
      <c r="F1375">
        <v>270.72000000000003</v>
      </c>
      <c r="G1375">
        <v>3</v>
      </c>
      <c r="H1375">
        <v>78.508799999999994</v>
      </c>
      <c r="I1375">
        <v>5</v>
      </c>
      <c r="J1375">
        <v>2011</v>
      </c>
      <c r="K1375" t="s">
        <v>2208</v>
      </c>
      <c r="L1375" t="str">
        <f>TEXT(maintable_2[[#This Row],[Order Date]],"mmmm")</f>
        <v>April</v>
      </c>
    </row>
    <row r="1376" spans="1:12" x14ac:dyDescent="0.3">
      <c r="A1376" s="1">
        <v>40658</v>
      </c>
      <c r="B1376" s="1">
        <v>40663</v>
      </c>
      <c r="C1376" t="s">
        <v>588</v>
      </c>
      <c r="D1376" t="s">
        <v>71</v>
      </c>
      <c r="E1376" t="s">
        <v>513</v>
      </c>
      <c r="F1376">
        <v>1487.04</v>
      </c>
      <c r="G1376">
        <v>5</v>
      </c>
      <c r="H1376">
        <v>148.70400000000001</v>
      </c>
      <c r="I1376">
        <v>5</v>
      </c>
      <c r="J1376">
        <v>2011</v>
      </c>
      <c r="K1376" t="s">
        <v>2208</v>
      </c>
      <c r="L1376" t="str">
        <f>TEXT(maintable_2[[#This Row],[Order Date]],"mmmm")</f>
        <v>April</v>
      </c>
    </row>
    <row r="1377" spans="1:12" x14ac:dyDescent="0.3">
      <c r="A1377" s="1">
        <v>41207</v>
      </c>
      <c r="B1377" s="1">
        <v>41212</v>
      </c>
      <c r="C1377" t="s">
        <v>1425</v>
      </c>
      <c r="D1377" t="s">
        <v>13</v>
      </c>
      <c r="E1377" t="s">
        <v>1206</v>
      </c>
      <c r="F1377">
        <v>60.45</v>
      </c>
      <c r="G1377">
        <v>3</v>
      </c>
      <c r="H1377">
        <v>16.3215</v>
      </c>
      <c r="I1377">
        <v>5</v>
      </c>
      <c r="J1377">
        <v>2012</v>
      </c>
      <c r="K1377" t="s">
        <v>2209</v>
      </c>
      <c r="L1377" t="str">
        <f>TEXT(maintable_2[[#This Row],[Order Date]],"mmmm")</f>
        <v>October</v>
      </c>
    </row>
    <row r="1378" spans="1:12" x14ac:dyDescent="0.3">
      <c r="A1378" s="1">
        <v>41207</v>
      </c>
      <c r="B1378" s="1">
        <v>41212</v>
      </c>
      <c r="C1378" t="s">
        <v>1425</v>
      </c>
      <c r="D1378" t="s">
        <v>21</v>
      </c>
      <c r="E1378" t="s">
        <v>1426</v>
      </c>
      <c r="F1378">
        <v>253.17599999999999</v>
      </c>
      <c r="G1378">
        <v>3</v>
      </c>
      <c r="H1378">
        <v>-31.646999999999998</v>
      </c>
      <c r="I1378">
        <v>5</v>
      </c>
      <c r="J1378">
        <v>2012</v>
      </c>
      <c r="K1378" t="s">
        <v>2209</v>
      </c>
      <c r="L1378" t="str">
        <f>TEXT(maintable_2[[#This Row],[Order Date]],"mmmm")</f>
        <v>October</v>
      </c>
    </row>
    <row r="1379" spans="1:12" x14ac:dyDescent="0.3">
      <c r="A1379" s="1">
        <v>41575</v>
      </c>
      <c r="B1379" s="1">
        <v>41581</v>
      </c>
      <c r="C1379" t="s">
        <v>1427</v>
      </c>
      <c r="D1379" t="s">
        <v>19</v>
      </c>
      <c r="E1379" t="s">
        <v>105</v>
      </c>
      <c r="F1379">
        <v>43.92</v>
      </c>
      <c r="G1379">
        <v>4</v>
      </c>
      <c r="H1379">
        <v>11.8584</v>
      </c>
      <c r="I1379">
        <v>6</v>
      </c>
      <c r="J1379">
        <v>2013</v>
      </c>
      <c r="K1379" t="s">
        <v>2209</v>
      </c>
      <c r="L1379" t="str">
        <f>TEXT(maintable_2[[#This Row],[Order Date]],"mmmm")</f>
        <v>October</v>
      </c>
    </row>
    <row r="1380" spans="1:12" x14ac:dyDescent="0.3">
      <c r="A1380" s="1">
        <v>41575</v>
      </c>
      <c r="B1380" s="1">
        <v>41581</v>
      </c>
      <c r="C1380" t="s">
        <v>1427</v>
      </c>
      <c r="D1380" t="s">
        <v>17</v>
      </c>
      <c r="E1380" t="s">
        <v>868</v>
      </c>
      <c r="F1380">
        <v>25.032</v>
      </c>
      <c r="G1380">
        <v>3</v>
      </c>
      <c r="H1380">
        <v>7.8224999999999998</v>
      </c>
      <c r="I1380">
        <v>6</v>
      </c>
      <c r="J1380">
        <v>2013</v>
      </c>
      <c r="K1380" t="s">
        <v>2209</v>
      </c>
      <c r="L1380" t="str">
        <f>TEXT(maintable_2[[#This Row],[Order Date]],"mmmm")</f>
        <v>October</v>
      </c>
    </row>
    <row r="1381" spans="1:12" x14ac:dyDescent="0.3">
      <c r="A1381" s="1">
        <v>41594</v>
      </c>
      <c r="B1381" s="1">
        <v>41598</v>
      </c>
      <c r="C1381" t="s">
        <v>1428</v>
      </c>
      <c r="D1381" t="s">
        <v>15</v>
      </c>
      <c r="E1381" t="s">
        <v>1429</v>
      </c>
      <c r="F1381">
        <v>361.37599999999998</v>
      </c>
      <c r="G1381">
        <v>2</v>
      </c>
      <c r="H1381">
        <v>27.103200000000001</v>
      </c>
      <c r="I1381">
        <v>4</v>
      </c>
      <c r="J1381">
        <v>2013</v>
      </c>
      <c r="K1381" t="s">
        <v>2209</v>
      </c>
      <c r="L1381" t="str">
        <f>TEXT(maintable_2[[#This Row],[Order Date]],"mmmm")</f>
        <v>November</v>
      </c>
    </row>
    <row r="1382" spans="1:12" x14ac:dyDescent="0.3">
      <c r="A1382" s="1">
        <v>41635</v>
      </c>
      <c r="B1382" s="1">
        <v>41636</v>
      </c>
      <c r="C1382" t="s">
        <v>547</v>
      </c>
      <c r="D1382" t="s">
        <v>13</v>
      </c>
      <c r="E1382" t="s">
        <v>1430</v>
      </c>
      <c r="F1382">
        <v>11.327999999999999</v>
      </c>
      <c r="G1382">
        <v>2</v>
      </c>
      <c r="H1382">
        <v>2.5488</v>
      </c>
      <c r="I1382">
        <v>1</v>
      </c>
      <c r="J1382">
        <v>2013</v>
      </c>
      <c r="K1382" t="s">
        <v>2207</v>
      </c>
      <c r="L1382" t="str">
        <f>TEXT(maintable_2[[#This Row],[Order Date]],"mmmm")</f>
        <v>December</v>
      </c>
    </row>
    <row r="1383" spans="1:12" x14ac:dyDescent="0.3">
      <c r="A1383" s="1">
        <v>40669</v>
      </c>
      <c r="B1383" s="1">
        <v>40674</v>
      </c>
      <c r="C1383" t="s">
        <v>1360</v>
      </c>
      <c r="D1383" t="s">
        <v>8</v>
      </c>
      <c r="E1383" t="s">
        <v>105</v>
      </c>
      <c r="F1383">
        <v>5.78</v>
      </c>
      <c r="G1383">
        <v>2</v>
      </c>
      <c r="H1383">
        <v>2.7166000000000001</v>
      </c>
      <c r="I1383">
        <v>5</v>
      </c>
      <c r="J1383">
        <v>2011</v>
      </c>
      <c r="K1383" t="s">
        <v>2208</v>
      </c>
      <c r="L1383" t="str">
        <f>TEXT(maintable_2[[#This Row],[Order Date]],"mmmm")</f>
        <v>May</v>
      </c>
    </row>
    <row r="1384" spans="1:12" x14ac:dyDescent="0.3">
      <c r="A1384" s="1">
        <v>40669</v>
      </c>
      <c r="B1384" s="1">
        <v>40674</v>
      </c>
      <c r="C1384" t="s">
        <v>1360</v>
      </c>
      <c r="D1384" t="s">
        <v>13</v>
      </c>
      <c r="E1384" t="s">
        <v>375</v>
      </c>
      <c r="F1384">
        <v>107.94</v>
      </c>
      <c r="G1384">
        <v>6</v>
      </c>
      <c r="H1384">
        <v>30.223199999999999</v>
      </c>
      <c r="I1384">
        <v>5</v>
      </c>
      <c r="J1384">
        <v>2011</v>
      </c>
      <c r="K1384" t="s">
        <v>2208</v>
      </c>
      <c r="L1384" t="str">
        <f>TEXT(maintable_2[[#This Row],[Order Date]],"mmmm")</f>
        <v>May</v>
      </c>
    </row>
    <row r="1385" spans="1:12" x14ac:dyDescent="0.3">
      <c r="A1385" s="1">
        <v>40876</v>
      </c>
      <c r="B1385" s="1">
        <v>40883</v>
      </c>
      <c r="C1385" t="s">
        <v>131</v>
      </c>
      <c r="D1385" t="s">
        <v>15</v>
      </c>
      <c r="E1385" t="s">
        <v>1431</v>
      </c>
      <c r="F1385">
        <v>575.91999999999996</v>
      </c>
      <c r="G1385">
        <v>2</v>
      </c>
      <c r="H1385">
        <v>71.989999999999995</v>
      </c>
      <c r="I1385">
        <v>7</v>
      </c>
      <c r="J1385">
        <v>2011</v>
      </c>
      <c r="K1385" t="s">
        <v>2209</v>
      </c>
      <c r="L1385" t="str">
        <f>TEXT(maintable_2[[#This Row],[Order Date]],"mmmm")</f>
        <v>November</v>
      </c>
    </row>
    <row r="1386" spans="1:12" x14ac:dyDescent="0.3">
      <c r="A1386" s="1">
        <v>40876</v>
      </c>
      <c r="B1386" s="1">
        <v>40883</v>
      </c>
      <c r="C1386" t="s">
        <v>131</v>
      </c>
      <c r="D1386" t="s">
        <v>78</v>
      </c>
      <c r="E1386" t="s">
        <v>105</v>
      </c>
      <c r="F1386">
        <v>30.4</v>
      </c>
      <c r="G1386">
        <v>5</v>
      </c>
      <c r="H1386">
        <v>15.2</v>
      </c>
      <c r="I1386">
        <v>7</v>
      </c>
      <c r="J1386">
        <v>2011</v>
      </c>
      <c r="K1386" t="s">
        <v>2209</v>
      </c>
      <c r="L1386" t="str">
        <f>TEXT(maintable_2[[#This Row],[Order Date]],"mmmm")</f>
        <v>November</v>
      </c>
    </row>
    <row r="1387" spans="1:12" x14ac:dyDescent="0.3">
      <c r="A1387" s="1">
        <v>41905</v>
      </c>
      <c r="B1387" s="1">
        <v>41911</v>
      </c>
      <c r="C1387" t="s">
        <v>1405</v>
      </c>
      <c r="D1387" t="s">
        <v>44</v>
      </c>
      <c r="E1387" t="s">
        <v>1432</v>
      </c>
      <c r="F1387">
        <v>27.18</v>
      </c>
      <c r="G1387">
        <v>3</v>
      </c>
      <c r="H1387">
        <v>12.231</v>
      </c>
      <c r="I1387">
        <v>6</v>
      </c>
      <c r="J1387">
        <v>2014</v>
      </c>
      <c r="K1387" t="s">
        <v>2209</v>
      </c>
      <c r="L1387" t="str">
        <f>TEXT(maintable_2[[#This Row],[Order Date]],"mmmm")</f>
        <v>September</v>
      </c>
    </row>
    <row r="1388" spans="1:12" x14ac:dyDescent="0.3">
      <c r="A1388" s="1">
        <v>41079</v>
      </c>
      <c r="B1388" s="1">
        <v>41083</v>
      </c>
      <c r="C1388" t="s">
        <v>126</v>
      </c>
      <c r="D1388" t="s">
        <v>11</v>
      </c>
      <c r="E1388" t="s">
        <v>1433</v>
      </c>
      <c r="F1388">
        <v>12.56</v>
      </c>
      <c r="G1388">
        <v>2</v>
      </c>
      <c r="H1388">
        <v>4.0191999999999997</v>
      </c>
      <c r="I1388">
        <v>4</v>
      </c>
      <c r="J1388">
        <v>2012</v>
      </c>
      <c r="K1388" t="s">
        <v>2206</v>
      </c>
      <c r="L1388" t="str">
        <f>TEXT(maintable_2[[#This Row],[Order Date]],"mmmm")</f>
        <v>June</v>
      </c>
    </row>
    <row r="1389" spans="1:12" x14ac:dyDescent="0.3">
      <c r="A1389" s="1">
        <v>41079</v>
      </c>
      <c r="B1389" s="1">
        <v>41083</v>
      </c>
      <c r="C1389" t="s">
        <v>126</v>
      </c>
      <c r="D1389" t="s">
        <v>44</v>
      </c>
      <c r="E1389" t="s">
        <v>1434</v>
      </c>
      <c r="F1389">
        <v>6.48</v>
      </c>
      <c r="G1389">
        <v>1</v>
      </c>
      <c r="H1389">
        <v>3.1103999999999998</v>
      </c>
      <c r="I1389">
        <v>4</v>
      </c>
      <c r="J1389">
        <v>2012</v>
      </c>
      <c r="K1389" t="s">
        <v>2206</v>
      </c>
      <c r="L1389" t="str">
        <f>TEXT(maintable_2[[#This Row],[Order Date]],"mmmm")</f>
        <v>June</v>
      </c>
    </row>
    <row r="1390" spans="1:12" x14ac:dyDescent="0.3">
      <c r="A1390" s="1">
        <v>41079</v>
      </c>
      <c r="B1390" s="1">
        <v>41083</v>
      </c>
      <c r="C1390" t="s">
        <v>126</v>
      </c>
      <c r="D1390" t="s">
        <v>86</v>
      </c>
      <c r="E1390" t="s">
        <v>989</v>
      </c>
      <c r="F1390">
        <v>186.69</v>
      </c>
      <c r="G1390">
        <v>3</v>
      </c>
      <c r="H1390">
        <v>87.744299999999996</v>
      </c>
      <c r="I1390">
        <v>4</v>
      </c>
      <c r="J1390">
        <v>2012</v>
      </c>
      <c r="K1390" t="s">
        <v>2206</v>
      </c>
      <c r="L1390" t="str">
        <f>TEXT(maintable_2[[#This Row],[Order Date]],"mmmm")</f>
        <v>June</v>
      </c>
    </row>
    <row r="1391" spans="1:12" x14ac:dyDescent="0.3">
      <c r="A1391" s="1">
        <v>41460</v>
      </c>
      <c r="B1391" s="1">
        <v>41462</v>
      </c>
      <c r="C1391" t="s">
        <v>1435</v>
      </c>
      <c r="D1391" t="s">
        <v>11</v>
      </c>
      <c r="E1391" t="s">
        <v>1436</v>
      </c>
      <c r="F1391">
        <v>25.4</v>
      </c>
      <c r="G1391">
        <v>5</v>
      </c>
      <c r="H1391">
        <v>8.6359999999999992</v>
      </c>
      <c r="I1391">
        <v>2</v>
      </c>
      <c r="J1391">
        <v>2013</v>
      </c>
      <c r="K1391" t="s">
        <v>2206</v>
      </c>
      <c r="L1391" t="str">
        <f>TEXT(maintable_2[[#This Row],[Order Date]],"mmmm")</f>
        <v>July</v>
      </c>
    </row>
    <row r="1392" spans="1:12" x14ac:dyDescent="0.3">
      <c r="A1392" s="1">
        <v>41460</v>
      </c>
      <c r="B1392" s="1">
        <v>41462</v>
      </c>
      <c r="C1392" t="s">
        <v>1435</v>
      </c>
      <c r="D1392" t="s">
        <v>86</v>
      </c>
      <c r="E1392" t="s">
        <v>1437</v>
      </c>
      <c r="F1392">
        <v>43.96</v>
      </c>
      <c r="G1392">
        <v>2</v>
      </c>
      <c r="H1392">
        <v>20.661200000000001</v>
      </c>
      <c r="I1392">
        <v>2</v>
      </c>
      <c r="J1392">
        <v>2013</v>
      </c>
      <c r="K1392" t="s">
        <v>2206</v>
      </c>
      <c r="L1392" t="str">
        <f>TEXT(maintable_2[[#This Row],[Order Date]],"mmmm")</f>
        <v>July</v>
      </c>
    </row>
    <row r="1393" spans="1:12" x14ac:dyDescent="0.3">
      <c r="A1393" s="1">
        <v>41460</v>
      </c>
      <c r="B1393" s="1">
        <v>41462</v>
      </c>
      <c r="C1393" t="s">
        <v>1435</v>
      </c>
      <c r="D1393" t="s">
        <v>196</v>
      </c>
      <c r="E1393" t="s">
        <v>1174</v>
      </c>
      <c r="F1393">
        <v>1279.165</v>
      </c>
      <c r="G1393">
        <v>5</v>
      </c>
      <c r="H1393">
        <v>225.73500000000001</v>
      </c>
      <c r="I1393">
        <v>2</v>
      </c>
      <c r="J1393">
        <v>2013</v>
      </c>
      <c r="K1393" t="s">
        <v>2206</v>
      </c>
      <c r="L1393" t="str">
        <f>TEXT(maintable_2[[#This Row],[Order Date]],"mmmm")</f>
        <v>July</v>
      </c>
    </row>
    <row r="1394" spans="1:12" x14ac:dyDescent="0.3">
      <c r="A1394" s="1">
        <v>41460</v>
      </c>
      <c r="B1394" s="1">
        <v>41462</v>
      </c>
      <c r="C1394" t="s">
        <v>1435</v>
      </c>
      <c r="D1394" t="s">
        <v>27</v>
      </c>
      <c r="E1394" t="s">
        <v>398</v>
      </c>
      <c r="F1394">
        <v>27.92</v>
      </c>
      <c r="G1394">
        <v>4</v>
      </c>
      <c r="H1394">
        <v>0.55840000000000001</v>
      </c>
      <c r="I1394">
        <v>2</v>
      </c>
      <c r="J1394">
        <v>2013</v>
      </c>
      <c r="K1394" t="s">
        <v>2206</v>
      </c>
      <c r="L1394" t="str">
        <f>TEXT(maintable_2[[#This Row],[Order Date]],"mmmm")</f>
        <v>July</v>
      </c>
    </row>
    <row r="1395" spans="1:12" x14ac:dyDescent="0.3">
      <c r="A1395" s="1">
        <v>41155</v>
      </c>
      <c r="B1395" s="1">
        <v>41160</v>
      </c>
      <c r="C1395" t="s">
        <v>1438</v>
      </c>
      <c r="D1395" t="s">
        <v>71</v>
      </c>
      <c r="E1395" t="s">
        <v>846</v>
      </c>
      <c r="F1395">
        <v>129.56800000000001</v>
      </c>
      <c r="G1395">
        <v>2</v>
      </c>
      <c r="H1395">
        <v>-12.956799999999999</v>
      </c>
      <c r="I1395">
        <v>5</v>
      </c>
      <c r="J1395">
        <v>2012</v>
      </c>
      <c r="K1395" t="s">
        <v>2209</v>
      </c>
      <c r="L1395" t="str">
        <f>TEXT(maintable_2[[#This Row],[Order Date]],"mmmm")</f>
        <v>September</v>
      </c>
    </row>
    <row r="1396" spans="1:12" x14ac:dyDescent="0.3">
      <c r="A1396" s="1">
        <v>41155</v>
      </c>
      <c r="B1396" s="1">
        <v>41160</v>
      </c>
      <c r="C1396" t="s">
        <v>1438</v>
      </c>
      <c r="D1396" t="s">
        <v>17</v>
      </c>
      <c r="E1396" t="s">
        <v>68</v>
      </c>
      <c r="F1396">
        <v>6.3680000000000003</v>
      </c>
      <c r="G1396">
        <v>2</v>
      </c>
      <c r="H1396">
        <v>2.1492</v>
      </c>
      <c r="I1396">
        <v>5</v>
      </c>
      <c r="J1396">
        <v>2012</v>
      </c>
      <c r="K1396" t="s">
        <v>2209</v>
      </c>
      <c r="L1396" t="str">
        <f>TEXT(maintable_2[[#This Row],[Order Date]],"mmmm")</f>
        <v>September</v>
      </c>
    </row>
    <row r="1397" spans="1:12" x14ac:dyDescent="0.3">
      <c r="A1397" s="1">
        <v>41859</v>
      </c>
      <c r="B1397" s="1">
        <v>41864</v>
      </c>
      <c r="C1397" t="s">
        <v>748</v>
      </c>
      <c r="D1397" t="s">
        <v>44</v>
      </c>
      <c r="E1397" t="s">
        <v>1000</v>
      </c>
      <c r="F1397">
        <v>244.55</v>
      </c>
      <c r="G1397">
        <v>5</v>
      </c>
      <c r="H1397">
        <v>114.9385</v>
      </c>
      <c r="I1397">
        <v>5</v>
      </c>
      <c r="J1397">
        <v>2014</v>
      </c>
      <c r="K1397" t="s">
        <v>2206</v>
      </c>
      <c r="L1397" t="str">
        <f>TEXT(maintable_2[[#This Row],[Order Date]],"mmmm")</f>
        <v>August</v>
      </c>
    </row>
    <row r="1398" spans="1:12" x14ac:dyDescent="0.3">
      <c r="A1398" s="1">
        <v>41712</v>
      </c>
      <c r="B1398" s="1">
        <v>41719</v>
      </c>
      <c r="C1398" t="s">
        <v>1042</v>
      </c>
      <c r="D1398" t="s">
        <v>81</v>
      </c>
      <c r="E1398" t="s">
        <v>1439</v>
      </c>
      <c r="F1398">
        <v>1332.4960000000001</v>
      </c>
      <c r="G1398">
        <v>2</v>
      </c>
      <c r="H1398">
        <v>-299.8116</v>
      </c>
      <c r="I1398">
        <v>7</v>
      </c>
      <c r="J1398">
        <v>2014</v>
      </c>
      <c r="K1398" t="s">
        <v>2208</v>
      </c>
      <c r="L1398" t="str">
        <f>TEXT(maintable_2[[#This Row],[Order Date]],"mmmm")</f>
        <v>March</v>
      </c>
    </row>
    <row r="1399" spans="1:12" x14ac:dyDescent="0.3">
      <c r="A1399" s="1">
        <v>41911</v>
      </c>
      <c r="B1399" s="1">
        <v>41914</v>
      </c>
      <c r="C1399" t="s">
        <v>340</v>
      </c>
      <c r="D1399" t="s">
        <v>11</v>
      </c>
      <c r="E1399" t="s">
        <v>305</v>
      </c>
      <c r="F1399">
        <v>32.776000000000003</v>
      </c>
      <c r="G1399">
        <v>1</v>
      </c>
      <c r="H1399">
        <v>3.2776000000000001</v>
      </c>
      <c r="I1399">
        <v>3</v>
      </c>
      <c r="J1399">
        <v>2014</v>
      </c>
      <c r="K1399" t="s">
        <v>2209</v>
      </c>
      <c r="L1399" t="str">
        <f>TEXT(maintable_2[[#This Row],[Order Date]],"mmmm")</f>
        <v>September</v>
      </c>
    </row>
    <row r="1400" spans="1:12" x14ac:dyDescent="0.3">
      <c r="A1400" s="1">
        <v>41911</v>
      </c>
      <c r="B1400" s="1">
        <v>41914</v>
      </c>
      <c r="C1400" t="s">
        <v>340</v>
      </c>
      <c r="D1400" t="s">
        <v>27</v>
      </c>
      <c r="E1400" t="s">
        <v>1440</v>
      </c>
      <c r="F1400">
        <v>147.184</v>
      </c>
      <c r="G1400">
        <v>2</v>
      </c>
      <c r="H1400">
        <v>-29.436800000000002</v>
      </c>
      <c r="I1400">
        <v>3</v>
      </c>
      <c r="J1400">
        <v>2014</v>
      </c>
      <c r="K1400" t="s">
        <v>2209</v>
      </c>
      <c r="L1400" t="str">
        <f>TEXT(maintable_2[[#This Row],[Order Date]],"mmmm")</f>
        <v>September</v>
      </c>
    </row>
    <row r="1401" spans="1:12" x14ac:dyDescent="0.3">
      <c r="A1401" s="1">
        <v>41911</v>
      </c>
      <c r="B1401" s="1">
        <v>41914</v>
      </c>
      <c r="C1401" t="s">
        <v>340</v>
      </c>
      <c r="D1401" t="s">
        <v>37</v>
      </c>
      <c r="E1401" t="s">
        <v>1441</v>
      </c>
      <c r="F1401">
        <v>54.384</v>
      </c>
      <c r="G1401">
        <v>2</v>
      </c>
      <c r="H1401">
        <v>1.3595999999999999</v>
      </c>
      <c r="I1401">
        <v>3</v>
      </c>
      <c r="J1401">
        <v>2014</v>
      </c>
      <c r="K1401" t="s">
        <v>2209</v>
      </c>
      <c r="L1401" t="str">
        <f>TEXT(maintable_2[[#This Row],[Order Date]],"mmmm")</f>
        <v>September</v>
      </c>
    </row>
    <row r="1402" spans="1:12" x14ac:dyDescent="0.3">
      <c r="A1402" s="1">
        <v>41911</v>
      </c>
      <c r="B1402" s="1">
        <v>41914</v>
      </c>
      <c r="C1402" t="s">
        <v>340</v>
      </c>
      <c r="D1402" t="s">
        <v>17</v>
      </c>
      <c r="E1402" t="s">
        <v>873</v>
      </c>
      <c r="F1402">
        <v>76.775999999999996</v>
      </c>
      <c r="G1402">
        <v>4</v>
      </c>
      <c r="H1402">
        <v>-58.861600000000003</v>
      </c>
      <c r="I1402">
        <v>3</v>
      </c>
      <c r="J1402">
        <v>2014</v>
      </c>
      <c r="K1402" t="s">
        <v>2209</v>
      </c>
      <c r="L1402" t="str">
        <f>TEXT(maintable_2[[#This Row],[Order Date]],"mmmm")</f>
        <v>September</v>
      </c>
    </row>
    <row r="1403" spans="1:12" x14ac:dyDescent="0.3">
      <c r="A1403" s="1">
        <v>41911</v>
      </c>
      <c r="B1403" s="1">
        <v>41914</v>
      </c>
      <c r="C1403" t="s">
        <v>340</v>
      </c>
      <c r="D1403" t="s">
        <v>44</v>
      </c>
      <c r="E1403" t="s">
        <v>1442</v>
      </c>
      <c r="F1403">
        <v>14.352</v>
      </c>
      <c r="G1403">
        <v>3</v>
      </c>
      <c r="H1403">
        <v>5.2026000000000003</v>
      </c>
      <c r="I1403">
        <v>3</v>
      </c>
      <c r="J1403">
        <v>2014</v>
      </c>
      <c r="K1403" t="s">
        <v>2209</v>
      </c>
      <c r="L1403" t="str">
        <f>TEXT(maintable_2[[#This Row],[Order Date]],"mmmm")</f>
        <v>September</v>
      </c>
    </row>
    <row r="1404" spans="1:12" x14ac:dyDescent="0.3">
      <c r="A1404" s="1">
        <v>41911</v>
      </c>
      <c r="B1404" s="1">
        <v>41914</v>
      </c>
      <c r="C1404" t="s">
        <v>340</v>
      </c>
      <c r="D1404" t="s">
        <v>19</v>
      </c>
      <c r="E1404" t="s">
        <v>1229</v>
      </c>
      <c r="F1404">
        <v>209.792</v>
      </c>
      <c r="G1404">
        <v>2</v>
      </c>
      <c r="H1404">
        <v>26.224</v>
      </c>
      <c r="I1404">
        <v>3</v>
      </c>
      <c r="J1404">
        <v>2014</v>
      </c>
      <c r="K1404" t="s">
        <v>2209</v>
      </c>
      <c r="L1404" t="str">
        <f>TEXT(maintable_2[[#This Row],[Order Date]],"mmmm")</f>
        <v>September</v>
      </c>
    </row>
    <row r="1405" spans="1:12" x14ac:dyDescent="0.3">
      <c r="A1405" s="1">
        <v>41128</v>
      </c>
      <c r="B1405" s="1">
        <v>41132</v>
      </c>
      <c r="C1405" t="s">
        <v>479</v>
      </c>
      <c r="D1405" t="s">
        <v>17</v>
      </c>
      <c r="E1405" t="s">
        <v>537</v>
      </c>
      <c r="F1405">
        <v>3.3039999999999998</v>
      </c>
      <c r="G1405">
        <v>1</v>
      </c>
      <c r="H1405">
        <v>1.1151</v>
      </c>
      <c r="I1405">
        <v>4</v>
      </c>
      <c r="J1405">
        <v>2012</v>
      </c>
      <c r="K1405" t="s">
        <v>2206</v>
      </c>
      <c r="L1405" t="str">
        <f>TEXT(maintable_2[[#This Row],[Order Date]],"mmmm")</f>
        <v>August</v>
      </c>
    </row>
    <row r="1406" spans="1:12" x14ac:dyDescent="0.3">
      <c r="A1406" s="1">
        <v>41582</v>
      </c>
      <c r="B1406" s="1">
        <v>41587</v>
      </c>
      <c r="C1406" t="s">
        <v>230</v>
      </c>
      <c r="D1406" t="s">
        <v>78</v>
      </c>
      <c r="E1406" t="s">
        <v>492</v>
      </c>
      <c r="F1406">
        <v>15.26</v>
      </c>
      <c r="G1406">
        <v>7</v>
      </c>
      <c r="H1406">
        <v>5.0358000000000001</v>
      </c>
      <c r="I1406">
        <v>5</v>
      </c>
      <c r="J1406">
        <v>2013</v>
      </c>
      <c r="K1406" t="s">
        <v>2209</v>
      </c>
      <c r="L1406" t="str">
        <f>TEXT(maintable_2[[#This Row],[Order Date]],"mmmm")</f>
        <v>November</v>
      </c>
    </row>
    <row r="1407" spans="1:12" x14ac:dyDescent="0.3">
      <c r="A1407" s="1">
        <v>41582</v>
      </c>
      <c r="B1407" s="1">
        <v>41587</v>
      </c>
      <c r="C1407" t="s">
        <v>230</v>
      </c>
      <c r="D1407" t="s">
        <v>19</v>
      </c>
      <c r="E1407" t="s">
        <v>1443</v>
      </c>
      <c r="F1407">
        <v>43.32</v>
      </c>
      <c r="G1407">
        <v>2</v>
      </c>
      <c r="H1407">
        <v>14.2956</v>
      </c>
      <c r="I1407">
        <v>5</v>
      </c>
      <c r="J1407">
        <v>2013</v>
      </c>
      <c r="K1407" t="s">
        <v>2209</v>
      </c>
      <c r="L1407" t="str">
        <f>TEXT(maintable_2[[#This Row],[Order Date]],"mmmm")</f>
        <v>November</v>
      </c>
    </row>
    <row r="1408" spans="1:12" x14ac:dyDescent="0.3">
      <c r="A1408" s="1">
        <v>41582</v>
      </c>
      <c r="B1408" s="1">
        <v>41587</v>
      </c>
      <c r="C1408" t="s">
        <v>230</v>
      </c>
      <c r="D1408" t="s">
        <v>17</v>
      </c>
      <c r="E1408" t="s">
        <v>626</v>
      </c>
      <c r="F1408">
        <v>43.584000000000003</v>
      </c>
      <c r="G1408">
        <v>12</v>
      </c>
      <c r="H1408">
        <v>15.799200000000001</v>
      </c>
      <c r="I1408">
        <v>5</v>
      </c>
      <c r="J1408">
        <v>2013</v>
      </c>
      <c r="K1408" t="s">
        <v>2209</v>
      </c>
      <c r="L1408" t="str">
        <f>TEXT(maintable_2[[#This Row],[Order Date]],"mmmm")</f>
        <v>November</v>
      </c>
    </row>
    <row r="1409" spans="1:12" x14ac:dyDescent="0.3">
      <c r="A1409" s="1">
        <v>41582</v>
      </c>
      <c r="B1409" s="1">
        <v>41587</v>
      </c>
      <c r="C1409" t="s">
        <v>230</v>
      </c>
      <c r="D1409" t="s">
        <v>44</v>
      </c>
      <c r="E1409" t="s">
        <v>1444</v>
      </c>
      <c r="F1409">
        <v>116.28</v>
      </c>
      <c r="G1409">
        <v>3</v>
      </c>
      <c r="H1409">
        <v>56.977200000000003</v>
      </c>
      <c r="I1409">
        <v>5</v>
      </c>
      <c r="J1409">
        <v>2013</v>
      </c>
      <c r="K1409" t="s">
        <v>2209</v>
      </c>
      <c r="L1409" t="str">
        <f>TEXT(maintable_2[[#This Row],[Order Date]],"mmmm")</f>
        <v>November</v>
      </c>
    </row>
    <row r="1410" spans="1:12" x14ac:dyDescent="0.3">
      <c r="A1410" s="1">
        <v>41582</v>
      </c>
      <c r="B1410" s="1">
        <v>41587</v>
      </c>
      <c r="C1410" t="s">
        <v>230</v>
      </c>
      <c r="D1410" t="s">
        <v>17</v>
      </c>
      <c r="E1410" t="s">
        <v>397</v>
      </c>
      <c r="F1410">
        <v>9.2959999999999994</v>
      </c>
      <c r="G1410">
        <v>2</v>
      </c>
      <c r="H1410">
        <v>3.0211999999999999</v>
      </c>
      <c r="I1410">
        <v>5</v>
      </c>
      <c r="J1410">
        <v>2013</v>
      </c>
      <c r="K1410" t="s">
        <v>2209</v>
      </c>
      <c r="L1410" t="str">
        <f>TEXT(maintable_2[[#This Row],[Order Date]],"mmmm")</f>
        <v>November</v>
      </c>
    </row>
    <row r="1411" spans="1:12" x14ac:dyDescent="0.3">
      <c r="A1411" s="1">
        <v>41582</v>
      </c>
      <c r="B1411" s="1">
        <v>41587</v>
      </c>
      <c r="C1411" t="s">
        <v>230</v>
      </c>
      <c r="D1411" t="s">
        <v>44</v>
      </c>
      <c r="E1411" t="s">
        <v>905</v>
      </c>
      <c r="F1411">
        <v>19.440000000000001</v>
      </c>
      <c r="G1411">
        <v>3</v>
      </c>
      <c r="H1411">
        <v>9.3312000000000008</v>
      </c>
      <c r="I1411">
        <v>5</v>
      </c>
      <c r="J1411">
        <v>2013</v>
      </c>
      <c r="K1411" t="s">
        <v>2209</v>
      </c>
      <c r="L1411" t="str">
        <f>TEXT(maintable_2[[#This Row],[Order Date]],"mmmm")</f>
        <v>November</v>
      </c>
    </row>
    <row r="1412" spans="1:12" x14ac:dyDescent="0.3">
      <c r="A1412" s="1">
        <v>41582</v>
      </c>
      <c r="B1412" s="1">
        <v>41587</v>
      </c>
      <c r="C1412" t="s">
        <v>230</v>
      </c>
      <c r="D1412" t="s">
        <v>44</v>
      </c>
      <c r="E1412" t="s">
        <v>693</v>
      </c>
      <c r="F1412">
        <v>314.55</v>
      </c>
      <c r="G1412">
        <v>3</v>
      </c>
      <c r="H1412">
        <v>150.98400000000001</v>
      </c>
      <c r="I1412">
        <v>5</v>
      </c>
      <c r="J1412">
        <v>2013</v>
      </c>
      <c r="K1412" t="s">
        <v>2209</v>
      </c>
      <c r="L1412" t="str">
        <f>TEXT(maintable_2[[#This Row],[Order Date]],"mmmm")</f>
        <v>November</v>
      </c>
    </row>
    <row r="1413" spans="1:12" x14ac:dyDescent="0.3">
      <c r="A1413" s="1">
        <v>41866</v>
      </c>
      <c r="B1413" s="1">
        <v>41873</v>
      </c>
      <c r="C1413" t="s">
        <v>1445</v>
      </c>
      <c r="D1413" t="s">
        <v>21</v>
      </c>
      <c r="E1413" t="s">
        <v>1446</v>
      </c>
      <c r="F1413">
        <v>418.29599999999999</v>
      </c>
      <c r="G1413">
        <v>3</v>
      </c>
      <c r="H1413">
        <v>5.2286999999999999</v>
      </c>
      <c r="I1413">
        <v>7</v>
      </c>
      <c r="J1413">
        <v>2014</v>
      </c>
      <c r="K1413" t="s">
        <v>2206</v>
      </c>
      <c r="L1413" t="str">
        <f>TEXT(maintable_2[[#This Row],[Order Date]],"mmmm")</f>
        <v>August</v>
      </c>
    </row>
    <row r="1414" spans="1:12" x14ac:dyDescent="0.3">
      <c r="A1414" s="1">
        <v>41809</v>
      </c>
      <c r="B1414" s="1">
        <v>41814</v>
      </c>
      <c r="C1414" t="s">
        <v>785</v>
      </c>
      <c r="D1414" t="s">
        <v>196</v>
      </c>
      <c r="E1414" t="s">
        <v>649</v>
      </c>
      <c r="F1414">
        <v>917.92349999999999</v>
      </c>
      <c r="G1414">
        <v>9</v>
      </c>
      <c r="H1414">
        <v>75.593699999999998</v>
      </c>
      <c r="I1414">
        <v>5</v>
      </c>
      <c r="J1414">
        <v>2014</v>
      </c>
      <c r="K1414" t="s">
        <v>2206</v>
      </c>
      <c r="L1414" t="str">
        <f>TEXT(maintable_2[[#This Row],[Order Date]],"mmmm")</f>
        <v>June</v>
      </c>
    </row>
    <row r="1415" spans="1:12" x14ac:dyDescent="0.3">
      <c r="A1415" s="1">
        <v>41809</v>
      </c>
      <c r="B1415" s="1">
        <v>41814</v>
      </c>
      <c r="C1415" t="s">
        <v>785</v>
      </c>
      <c r="D1415" t="s">
        <v>44</v>
      </c>
      <c r="E1415" t="s">
        <v>1447</v>
      </c>
      <c r="F1415">
        <v>38.880000000000003</v>
      </c>
      <c r="G1415">
        <v>6</v>
      </c>
      <c r="H1415">
        <v>19.051200000000001</v>
      </c>
      <c r="I1415">
        <v>5</v>
      </c>
      <c r="J1415">
        <v>2014</v>
      </c>
      <c r="K1415" t="s">
        <v>2206</v>
      </c>
      <c r="L1415" t="str">
        <f>TEXT(maintable_2[[#This Row],[Order Date]],"mmmm")</f>
        <v>June</v>
      </c>
    </row>
    <row r="1416" spans="1:12" x14ac:dyDescent="0.3">
      <c r="A1416" s="1">
        <v>40868</v>
      </c>
      <c r="B1416" s="1">
        <v>40873</v>
      </c>
      <c r="C1416" t="s">
        <v>1448</v>
      </c>
      <c r="D1416" t="s">
        <v>44</v>
      </c>
      <c r="E1416" t="s">
        <v>1449</v>
      </c>
      <c r="F1416">
        <v>12.96</v>
      </c>
      <c r="G1416">
        <v>2</v>
      </c>
      <c r="H1416">
        <v>6.2207999999999997</v>
      </c>
      <c r="I1416">
        <v>5</v>
      </c>
      <c r="J1416">
        <v>2011</v>
      </c>
      <c r="K1416" t="s">
        <v>2209</v>
      </c>
      <c r="L1416" t="str">
        <f>TEXT(maintable_2[[#This Row],[Order Date]],"mmmm")</f>
        <v>November</v>
      </c>
    </row>
    <row r="1417" spans="1:12" x14ac:dyDescent="0.3">
      <c r="A1417" s="1">
        <v>41375</v>
      </c>
      <c r="B1417" s="1">
        <v>41381</v>
      </c>
      <c r="C1417" t="s">
        <v>755</v>
      </c>
      <c r="D1417" t="s">
        <v>44</v>
      </c>
      <c r="E1417" t="s">
        <v>1450</v>
      </c>
      <c r="F1417">
        <v>12.96</v>
      </c>
      <c r="G1417">
        <v>2</v>
      </c>
      <c r="H1417">
        <v>6.2207999999999997</v>
      </c>
      <c r="I1417">
        <v>6</v>
      </c>
      <c r="J1417">
        <v>2013</v>
      </c>
      <c r="K1417" t="s">
        <v>2208</v>
      </c>
      <c r="L1417" t="str">
        <f>TEXT(maintable_2[[#This Row],[Order Date]],"mmmm")</f>
        <v>April</v>
      </c>
    </row>
    <row r="1418" spans="1:12" x14ac:dyDescent="0.3">
      <c r="A1418" s="1">
        <v>41375</v>
      </c>
      <c r="B1418" s="1">
        <v>41381</v>
      </c>
      <c r="C1418" t="s">
        <v>755</v>
      </c>
      <c r="D1418" t="s">
        <v>17</v>
      </c>
      <c r="E1418" t="s">
        <v>1111</v>
      </c>
      <c r="F1418">
        <v>23.2</v>
      </c>
      <c r="G1418">
        <v>5</v>
      </c>
      <c r="H1418">
        <v>8.1199999999999992</v>
      </c>
      <c r="I1418">
        <v>6</v>
      </c>
      <c r="J1418">
        <v>2013</v>
      </c>
      <c r="K1418" t="s">
        <v>2208</v>
      </c>
      <c r="L1418" t="str">
        <f>TEXT(maintable_2[[#This Row],[Order Date]],"mmmm")</f>
        <v>April</v>
      </c>
    </row>
    <row r="1419" spans="1:12" x14ac:dyDescent="0.3">
      <c r="A1419" s="1">
        <v>40901</v>
      </c>
      <c r="B1419" s="1">
        <v>40906</v>
      </c>
      <c r="C1419" t="s">
        <v>519</v>
      </c>
      <c r="D1419" t="s">
        <v>15</v>
      </c>
      <c r="E1419" t="s">
        <v>1451</v>
      </c>
      <c r="F1419">
        <v>173.65600000000001</v>
      </c>
      <c r="G1419">
        <v>7</v>
      </c>
      <c r="H1419">
        <v>17.365600000000001</v>
      </c>
      <c r="I1419">
        <v>5</v>
      </c>
      <c r="J1419">
        <v>2011</v>
      </c>
      <c r="K1419" t="s">
        <v>2207</v>
      </c>
      <c r="L1419" t="str">
        <f>TEXT(maintable_2[[#This Row],[Order Date]],"mmmm")</f>
        <v>December</v>
      </c>
    </row>
    <row r="1420" spans="1:12" x14ac:dyDescent="0.3">
      <c r="A1420" s="1">
        <v>40901</v>
      </c>
      <c r="B1420" s="1">
        <v>40906</v>
      </c>
      <c r="C1420" t="s">
        <v>519</v>
      </c>
      <c r="D1420" t="s">
        <v>19</v>
      </c>
      <c r="E1420" t="s">
        <v>1452</v>
      </c>
      <c r="F1420">
        <v>361.96</v>
      </c>
      <c r="G1420">
        <v>2</v>
      </c>
      <c r="H1420">
        <v>101.3488</v>
      </c>
      <c r="I1420">
        <v>5</v>
      </c>
      <c r="J1420">
        <v>2011</v>
      </c>
      <c r="K1420" t="s">
        <v>2207</v>
      </c>
      <c r="L1420" t="str">
        <f>TEXT(maintable_2[[#This Row],[Order Date]],"mmmm")</f>
        <v>December</v>
      </c>
    </row>
    <row r="1421" spans="1:12" x14ac:dyDescent="0.3">
      <c r="A1421" s="1">
        <v>40901</v>
      </c>
      <c r="B1421" s="1">
        <v>40906</v>
      </c>
      <c r="C1421" t="s">
        <v>519</v>
      </c>
      <c r="D1421" t="s">
        <v>37</v>
      </c>
      <c r="E1421" t="s">
        <v>1453</v>
      </c>
      <c r="F1421">
        <v>62.85</v>
      </c>
      <c r="G1421">
        <v>3</v>
      </c>
      <c r="H1421">
        <v>13.198499999999999</v>
      </c>
      <c r="I1421">
        <v>5</v>
      </c>
      <c r="J1421">
        <v>2011</v>
      </c>
      <c r="K1421" t="s">
        <v>2207</v>
      </c>
      <c r="L1421" t="str">
        <f>TEXT(maintable_2[[#This Row],[Order Date]],"mmmm")</f>
        <v>December</v>
      </c>
    </row>
    <row r="1422" spans="1:12" x14ac:dyDescent="0.3">
      <c r="A1422" s="1">
        <v>40901</v>
      </c>
      <c r="B1422" s="1">
        <v>40906</v>
      </c>
      <c r="C1422" t="s">
        <v>519</v>
      </c>
      <c r="D1422" t="s">
        <v>15</v>
      </c>
      <c r="E1422" t="s">
        <v>1224</v>
      </c>
      <c r="F1422">
        <v>818.37599999999998</v>
      </c>
      <c r="G1422">
        <v>3</v>
      </c>
      <c r="H1422">
        <v>51.148499999999999</v>
      </c>
      <c r="I1422">
        <v>5</v>
      </c>
      <c r="J1422">
        <v>2011</v>
      </c>
      <c r="K1422" t="s">
        <v>2207</v>
      </c>
      <c r="L1422" t="str">
        <f>TEXT(maintable_2[[#This Row],[Order Date]],"mmmm")</f>
        <v>December</v>
      </c>
    </row>
    <row r="1423" spans="1:12" x14ac:dyDescent="0.3">
      <c r="A1423" s="1">
        <v>40901</v>
      </c>
      <c r="B1423" s="1">
        <v>40906</v>
      </c>
      <c r="C1423" t="s">
        <v>519</v>
      </c>
      <c r="D1423" t="s">
        <v>27</v>
      </c>
      <c r="E1423" t="s">
        <v>1454</v>
      </c>
      <c r="F1423">
        <v>20.34</v>
      </c>
      <c r="G1423">
        <v>1</v>
      </c>
      <c r="H1423">
        <v>0.2034</v>
      </c>
      <c r="I1423">
        <v>5</v>
      </c>
      <c r="J1423">
        <v>2011</v>
      </c>
      <c r="K1423" t="s">
        <v>2207</v>
      </c>
      <c r="L1423" t="str">
        <f>TEXT(maintable_2[[#This Row],[Order Date]],"mmmm")</f>
        <v>December</v>
      </c>
    </row>
    <row r="1424" spans="1:12" x14ac:dyDescent="0.3">
      <c r="A1424" s="1">
        <v>40901</v>
      </c>
      <c r="B1424" s="1">
        <v>40906</v>
      </c>
      <c r="C1424" t="s">
        <v>519</v>
      </c>
      <c r="D1424" t="s">
        <v>11</v>
      </c>
      <c r="E1424" t="s">
        <v>1455</v>
      </c>
      <c r="F1424">
        <v>23.99</v>
      </c>
      <c r="G1424">
        <v>1</v>
      </c>
      <c r="H1424">
        <v>5.5176999999999996</v>
      </c>
      <c r="I1424">
        <v>5</v>
      </c>
      <c r="J1424">
        <v>2011</v>
      </c>
      <c r="K1424" t="s">
        <v>2207</v>
      </c>
      <c r="L1424" t="str">
        <f>TEXT(maintable_2[[#This Row],[Order Date]],"mmmm")</f>
        <v>December</v>
      </c>
    </row>
    <row r="1425" spans="1:12" x14ac:dyDescent="0.3">
      <c r="A1425" s="1">
        <v>41783</v>
      </c>
      <c r="B1425" s="1">
        <v>41789</v>
      </c>
      <c r="C1425" t="s">
        <v>1456</v>
      </c>
      <c r="D1425" t="s">
        <v>21</v>
      </c>
      <c r="E1425" t="s">
        <v>1142</v>
      </c>
      <c r="F1425">
        <v>171.28800000000001</v>
      </c>
      <c r="G1425">
        <v>3</v>
      </c>
      <c r="H1425">
        <v>-6.4233000000000002</v>
      </c>
      <c r="I1425">
        <v>6</v>
      </c>
      <c r="J1425">
        <v>2014</v>
      </c>
      <c r="K1425" t="s">
        <v>2208</v>
      </c>
      <c r="L1425" t="str">
        <f>TEXT(maintable_2[[#This Row],[Order Date]],"mmmm")</f>
        <v>May</v>
      </c>
    </row>
    <row r="1426" spans="1:12" x14ac:dyDescent="0.3">
      <c r="A1426" s="1">
        <v>41550</v>
      </c>
      <c r="B1426" s="1">
        <v>41551</v>
      </c>
      <c r="C1426" t="s">
        <v>1457</v>
      </c>
      <c r="D1426" t="s">
        <v>17</v>
      </c>
      <c r="E1426" t="s">
        <v>1458</v>
      </c>
      <c r="F1426">
        <v>54.792000000000002</v>
      </c>
      <c r="G1426">
        <v>6</v>
      </c>
      <c r="H1426">
        <v>-40.180799999999998</v>
      </c>
      <c r="I1426">
        <v>1</v>
      </c>
      <c r="J1426">
        <v>2013</v>
      </c>
      <c r="K1426" t="s">
        <v>2209</v>
      </c>
      <c r="L1426" t="str">
        <f>TEXT(maintable_2[[#This Row],[Order Date]],"mmmm")</f>
        <v>October</v>
      </c>
    </row>
    <row r="1427" spans="1:12" x14ac:dyDescent="0.3">
      <c r="A1427" s="1">
        <v>41533</v>
      </c>
      <c r="B1427" s="1">
        <v>41538</v>
      </c>
      <c r="C1427" t="s">
        <v>1459</v>
      </c>
      <c r="D1427" t="s">
        <v>44</v>
      </c>
      <c r="E1427" t="s">
        <v>1460</v>
      </c>
      <c r="F1427">
        <v>21.4</v>
      </c>
      <c r="G1427">
        <v>5</v>
      </c>
      <c r="H1427">
        <v>10.058</v>
      </c>
      <c r="I1427">
        <v>5</v>
      </c>
      <c r="J1427">
        <v>2013</v>
      </c>
      <c r="K1427" t="s">
        <v>2209</v>
      </c>
      <c r="L1427" t="str">
        <f>TEXT(maintable_2[[#This Row],[Order Date]],"mmmm")</f>
        <v>September</v>
      </c>
    </row>
    <row r="1428" spans="1:12" x14ac:dyDescent="0.3">
      <c r="A1428" s="1">
        <v>41533</v>
      </c>
      <c r="B1428" s="1">
        <v>41538</v>
      </c>
      <c r="C1428" t="s">
        <v>1459</v>
      </c>
      <c r="D1428" t="s">
        <v>17</v>
      </c>
      <c r="E1428" t="s">
        <v>544</v>
      </c>
      <c r="F1428">
        <v>48.664000000000001</v>
      </c>
      <c r="G1428">
        <v>7</v>
      </c>
      <c r="H1428">
        <v>15.815799999999999</v>
      </c>
      <c r="I1428">
        <v>5</v>
      </c>
      <c r="J1428">
        <v>2013</v>
      </c>
      <c r="K1428" t="s">
        <v>2209</v>
      </c>
      <c r="L1428" t="str">
        <f>TEXT(maintable_2[[#This Row],[Order Date]],"mmmm")</f>
        <v>September</v>
      </c>
    </row>
    <row r="1429" spans="1:12" x14ac:dyDescent="0.3">
      <c r="A1429" s="1">
        <v>41543</v>
      </c>
      <c r="B1429" s="1">
        <v>41549</v>
      </c>
      <c r="C1429" t="s">
        <v>1461</v>
      </c>
      <c r="D1429" t="s">
        <v>13</v>
      </c>
      <c r="E1429" t="s">
        <v>1462</v>
      </c>
      <c r="F1429">
        <v>16.559999999999999</v>
      </c>
      <c r="G1429">
        <v>4</v>
      </c>
      <c r="H1429">
        <v>6.9551999999999996</v>
      </c>
      <c r="I1429">
        <v>6</v>
      </c>
      <c r="J1429">
        <v>2013</v>
      </c>
      <c r="K1429" t="s">
        <v>2209</v>
      </c>
      <c r="L1429" t="str">
        <f>TEXT(maintable_2[[#This Row],[Order Date]],"mmmm")</f>
        <v>September</v>
      </c>
    </row>
    <row r="1430" spans="1:12" x14ac:dyDescent="0.3">
      <c r="A1430" s="1">
        <v>41691</v>
      </c>
      <c r="B1430" s="1">
        <v>41696</v>
      </c>
      <c r="C1430" t="s">
        <v>1427</v>
      </c>
      <c r="D1430" t="s">
        <v>78</v>
      </c>
      <c r="E1430" t="s">
        <v>105</v>
      </c>
      <c r="F1430">
        <v>9.4320000000000004</v>
      </c>
      <c r="G1430">
        <v>3</v>
      </c>
      <c r="H1430">
        <v>3.0653999999999999</v>
      </c>
      <c r="I1430">
        <v>5</v>
      </c>
      <c r="J1430">
        <v>2014</v>
      </c>
      <c r="K1430" t="s">
        <v>2210</v>
      </c>
      <c r="L1430" t="str">
        <f>TEXT(maintable_2[[#This Row],[Order Date]],"mmmm")</f>
        <v>February</v>
      </c>
    </row>
    <row r="1431" spans="1:12" x14ac:dyDescent="0.3">
      <c r="A1431" s="1">
        <v>40826</v>
      </c>
      <c r="B1431" s="1">
        <v>40826</v>
      </c>
      <c r="C1431" t="s">
        <v>216</v>
      </c>
      <c r="D1431" t="s">
        <v>71</v>
      </c>
      <c r="E1431" t="s">
        <v>920</v>
      </c>
      <c r="F1431">
        <v>122.352</v>
      </c>
      <c r="G1431">
        <v>3</v>
      </c>
      <c r="H1431">
        <v>13.7646</v>
      </c>
      <c r="I1431">
        <v>0</v>
      </c>
      <c r="J1431">
        <v>2011</v>
      </c>
      <c r="K1431" t="s">
        <v>2209</v>
      </c>
      <c r="L1431" t="str">
        <f>TEXT(maintable_2[[#This Row],[Order Date]],"mmmm")</f>
        <v>October</v>
      </c>
    </row>
    <row r="1432" spans="1:12" x14ac:dyDescent="0.3">
      <c r="A1432" s="1">
        <v>40826</v>
      </c>
      <c r="B1432" s="1">
        <v>40826</v>
      </c>
      <c r="C1432" t="s">
        <v>216</v>
      </c>
      <c r="D1432" t="s">
        <v>86</v>
      </c>
      <c r="E1432" t="s">
        <v>521</v>
      </c>
      <c r="F1432">
        <v>15.28</v>
      </c>
      <c r="G1432">
        <v>2</v>
      </c>
      <c r="H1432">
        <v>7.4871999999999996</v>
      </c>
      <c r="I1432">
        <v>0</v>
      </c>
      <c r="J1432">
        <v>2011</v>
      </c>
      <c r="K1432" t="s">
        <v>2209</v>
      </c>
      <c r="L1432" t="str">
        <f>TEXT(maintable_2[[#This Row],[Order Date]],"mmmm")</f>
        <v>October</v>
      </c>
    </row>
    <row r="1433" spans="1:12" x14ac:dyDescent="0.3">
      <c r="A1433" s="1">
        <v>40987</v>
      </c>
      <c r="B1433" s="1">
        <v>40994</v>
      </c>
      <c r="C1433" t="s">
        <v>1463</v>
      </c>
      <c r="D1433" t="s">
        <v>44</v>
      </c>
      <c r="E1433" t="s">
        <v>359</v>
      </c>
      <c r="F1433">
        <v>11.96</v>
      </c>
      <c r="G1433">
        <v>2</v>
      </c>
      <c r="H1433">
        <v>5.8604000000000003</v>
      </c>
      <c r="I1433">
        <v>7</v>
      </c>
      <c r="J1433">
        <v>2012</v>
      </c>
      <c r="K1433" t="s">
        <v>2208</v>
      </c>
      <c r="L1433" t="str">
        <f>TEXT(maintable_2[[#This Row],[Order Date]],"mmmm")</f>
        <v>March</v>
      </c>
    </row>
    <row r="1434" spans="1:12" x14ac:dyDescent="0.3">
      <c r="A1434" s="1">
        <v>41829</v>
      </c>
      <c r="B1434" s="1">
        <v>41833</v>
      </c>
      <c r="C1434" t="s">
        <v>1279</v>
      </c>
      <c r="D1434" t="s">
        <v>11</v>
      </c>
      <c r="E1434" t="s">
        <v>1464</v>
      </c>
      <c r="F1434">
        <v>15.84</v>
      </c>
      <c r="G1434">
        <v>3</v>
      </c>
      <c r="H1434">
        <v>4.9104000000000001</v>
      </c>
      <c r="I1434">
        <v>4</v>
      </c>
      <c r="J1434">
        <v>2014</v>
      </c>
      <c r="K1434" t="s">
        <v>2206</v>
      </c>
      <c r="L1434" t="str">
        <f>TEXT(maintable_2[[#This Row],[Order Date]],"mmmm")</f>
        <v>July</v>
      </c>
    </row>
    <row r="1435" spans="1:12" x14ac:dyDescent="0.3">
      <c r="A1435" s="1">
        <v>41829</v>
      </c>
      <c r="B1435" s="1">
        <v>41833</v>
      </c>
      <c r="C1435" t="s">
        <v>1279</v>
      </c>
      <c r="D1435" t="s">
        <v>17</v>
      </c>
      <c r="E1435" t="s">
        <v>1136</v>
      </c>
      <c r="F1435">
        <v>86.376000000000005</v>
      </c>
      <c r="G1435">
        <v>3</v>
      </c>
      <c r="H1435">
        <v>30.2316</v>
      </c>
      <c r="I1435">
        <v>4</v>
      </c>
      <c r="J1435">
        <v>2014</v>
      </c>
      <c r="K1435" t="s">
        <v>2206</v>
      </c>
      <c r="L1435" t="str">
        <f>TEXT(maintable_2[[#This Row],[Order Date]],"mmmm")</f>
        <v>July</v>
      </c>
    </row>
    <row r="1436" spans="1:12" x14ac:dyDescent="0.3">
      <c r="A1436" s="1">
        <v>41829</v>
      </c>
      <c r="B1436" s="1">
        <v>41833</v>
      </c>
      <c r="C1436" t="s">
        <v>1279</v>
      </c>
      <c r="D1436" t="s">
        <v>13</v>
      </c>
      <c r="E1436" t="s">
        <v>1465</v>
      </c>
      <c r="F1436">
        <v>18.239999999999998</v>
      </c>
      <c r="G1436">
        <v>3</v>
      </c>
      <c r="H1436">
        <v>6.2016</v>
      </c>
      <c r="I1436">
        <v>4</v>
      </c>
      <c r="J1436">
        <v>2014</v>
      </c>
      <c r="K1436" t="s">
        <v>2206</v>
      </c>
      <c r="L1436" t="str">
        <f>TEXT(maintable_2[[#This Row],[Order Date]],"mmmm")</f>
        <v>July</v>
      </c>
    </row>
    <row r="1437" spans="1:12" x14ac:dyDescent="0.3">
      <c r="A1437" s="1">
        <v>41829</v>
      </c>
      <c r="B1437" s="1">
        <v>41833</v>
      </c>
      <c r="C1437" t="s">
        <v>1279</v>
      </c>
      <c r="D1437" t="s">
        <v>13</v>
      </c>
      <c r="E1437" t="s">
        <v>1290</v>
      </c>
      <c r="F1437">
        <v>13.12</v>
      </c>
      <c r="G1437">
        <v>4</v>
      </c>
      <c r="H1437">
        <v>4.3296000000000001</v>
      </c>
      <c r="I1437">
        <v>4</v>
      </c>
      <c r="J1437">
        <v>2014</v>
      </c>
      <c r="K1437" t="s">
        <v>2206</v>
      </c>
      <c r="L1437" t="str">
        <f>TEXT(maintable_2[[#This Row],[Order Date]],"mmmm")</f>
        <v>July</v>
      </c>
    </row>
    <row r="1438" spans="1:12" x14ac:dyDescent="0.3">
      <c r="A1438" s="1">
        <v>40737</v>
      </c>
      <c r="B1438" s="1">
        <v>40741</v>
      </c>
      <c r="C1438" t="s">
        <v>159</v>
      </c>
      <c r="D1438" t="s">
        <v>21</v>
      </c>
      <c r="E1438" t="s">
        <v>1466</v>
      </c>
      <c r="F1438">
        <v>351.21600000000001</v>
      </c>
      <c r="G1438">
        <v>3</v>
      </c>
      <c r="H1438">
        <v>4.3902000000000001</v>
      </c>
      <c r="I1438">
        <v>4</v>
      </c>
      <c r="J1438">
        <v>2011</v>
      </c>
      <c r="K1438" t="s">
        <v>2206</v>
      </c>
      <c r="L1438" t="str">
        <f>TEXT(maintable_2[[#This Row],[Order Date]],"mmmm")</f>
        <v>July</v>
      </c>
    </row>
    <row r="1439" spans="1:12" x14ac:dyDescent="0.3">
      <c r="A1439" s="1">
        <v>40904</v>
      </c>
      <c r="B1439" s="1">
        <v>40910</v>
      </c>
      <c r="C1439" t="s">
        <v>277</v>
      </c>
      <c r="D1439" t="s">
        <v>71</v>
      </c>
      <c r="E1439" t="s">
        <v>204</v>
      </c>
      <c r="F1439">
        <v>230.28</v>
      </c>
      <c r="G1439">
        <v>3</v>
      </c>
      <c r="H1439">
        <v>23.027999999999999</v>
      </c>
      <c r="I1439">
        <v>6</v>
      </c>
      <c r="J1439">
        <v>2011</v>
      </c>
      <c r="K1439" t="s">
        <v>2207</v>
      </c>
      <c r="L1439" t="str">
        <f>TEXT(maintable_2[[#This Row],[Order Date]],"mmmm")</f>
        <v>December</v>
      </c>
    </row>
    <row r="1440" spans="1:12" x14ac:dyDescent="0.3">
      <c r="A1440" s="1">
        <v>40904</v>
      </c>
      <c r="B1440" s="1">
        <v>40910</v>
      </c>
      <c r="C1440" t="s">
        <v>277</v>
      </c>
      <c r="D1440" t="s">
        <v>44</v>
      </c>
      <c r="E1440" t="s">
        <v>360</v>
      </c>
      <c r="F1440">
        <v>12.84</v>
      </c>
      <c r="G1440">
        <v>3</v>
      </c>
      <c r="H1440">
        <v>5.7779999999999996</v>
      </c>
      <c r="I1440">
        <v>6</v>
      </c>
      <c r="J1440">
        <v>2011</v>
      </c>
      <c r="K1440" t="s">
        <v>2207</v>
      </c>
      <c r="L1440" t="str">
        <f>TEXT(maintable_2[[#This Row],[Order Date]],"mmmm")</f>
        <v>December</v>
      </c>
    </row>
    <row r="1441" spans="1:12" x14ac:dyDescent="0.3">
      <c r="A1441" s="1">
        <v>41934</v>
      </c>
      <c r="B1441" s="1">
        <v>41941</v>
      </c>
      <c r="C1441" t="s">
        <v>1078</v>
      </c>
      <c r="D1441" t="s">
        <v>17</v>
      </c>
      <c r="E1441" t="s">
        <v>498</v>
      </c>
      <c r="F1441">
        <v>8.5589999999999993</v>
      </c>
      <c r="G1441">
        <v>1</v>
      </c>
      <c r="H1441">
        <v>-6.5618999999999996</v>
      </c>
      <c r="I1441">
        <v>7</v>
      </c>
      <c r="J1441">
        <v>2014</v>
      </c>
      <c r="K1441" t="s">
        <v>2209</v>
      </c>
      <c r="L1441" t="str">
        <f>TEXT(maintable_2[[#This Row],[Order Date]],"mmmm")</f>
        <v>October</v>
      </c>
    </row>
    <row r="1442" spans="1:12" x14ac:dyDescent="0.3">
      <c r="A1442" s="1">
        <v>41247</v>
      </c>
      <c r="B1442" s="1">
        <v>41252</v>
      </c>
      <c r="C1442" t="s">
        <v>969</v>
      </c>
      <c r="D1442" t="s">
        <v>86</v>
      </c>
      <c r="E1442" t="s">
        <v>1467</v>
      </c>
      <c r="F1442">
        <v>271.44</v>
      </c>
      <c r="G1442">
        <v>3</v>
      </c>
      <c r="H1442">
        <v>122.148</v>
      </c>
      <c r="I1442">
        <v>5</v>
      </c>
      <c r="J1442">
        <v>2012</v>
      </c>
      <c r="K1442" t="s">
        <v>2207</v>
      </c>
      <c r="L1442" t="str">
        <f>TEXT(maintable_2[[#This Row],[Order Date]],"mmmm")</f>
        <v>December</v>
      </c>
    </row>
    <row r="1443" spans="1:12" x14ac:dyDescent="0.3">
      <c r="A1443" s="1">
        <v>41247</v>
      </c>
      <c r="B1443" s="1">
        <v>41252</v>
      </c>
      <c r="C1443" t="s">
        <v>969</v>
      </c>
      <c r="D1443" t="s">
        <v>15</v>
      </c>
      <c r="E1443" t="s">
        <v>1468</v>
      </c>
      <c r="F1443">
        <v>110.352</v>
      </c>
      <c r="G1443">
        <v>3</v>
      </c>
      <c r="H1443">
        <v>8.2764000000000006</v>
      </c>
      <c r="I1443">
        <v>5</v>
      </c>
      <c r="J1443">
        <v>2012</v>
      </c>
      <c r="K1443" t="s">
        <v>2207</v>
      </c>
      <c r="L1443" t="str">
        <f>TEXT(maintable_2[[#This Row],[Order Date]],"mmmm")</f>
        <v>December</v>
      </c>
    </row>
    <row r="1444" spans="1:12" x14ac:dyDescent="0.3">
      <c r="A1444" s="1">
        <v>41247</v>
      </c>
      <c r="B1444" s="1">
        <v>41252</v>
      </c>
      <c r="C1444" t="s">
        <v>969</v>
      </c>
      <c r="D1444" t="s">
        <v>11</v>
      </c>
      <c r="E1444" t="s">
        <v>1469</v>
      </c>
      <c r="F1444">
        <v>36.4</v>
      </c>
      <c r="G1444">
        <v>5</v>
      </c>
      <c r="H1444">
        <v>13.832000000000001</v>
      </c>
      <c r="I1444">
        <v>5</v>
      </c>
      <c r="J1444">
        <v>2012</v>
      </c>
      <c r="K1444" t="s">
        <v>2207</v>
      </c>
      <c r="L1444" t="str">
        <f>TEXT(maintable_2[[#This Row],[Order Date]],"mmmm")</f>
        <v>December</v>
      </c>
    </row>
    <row r="1445" spans="1:12" x14ac:dyDescent="0.3">
      <c r="A1445" s="1">
        <v>40886</v>
      </c>
      <c r="B1445" s="1">
        <v>40891</v>
      </c>
      <c r="C1445" t="s">
        <v>1249</v>
      </c>
      <c r="D1445" t="s">
        <v>27</v>
      </c>
      <c r="E1445" t="s">
        <v>1470</v>
      </c>
      <c r="F1445">
        <v>100.70399999999999</v>
      </c>
      <c r="G1445">
        <v>6</v>
      </c>
      <c r="H1445">
        <v>-1.2587999999999999</v>
      </c>
      <c r="I1445">
        <v>5</v>
      </c>
      <c r="J1445">
        <v>2011</v>
      </c>
      <c r="K1445" t="s">
        <v>2207</v>
      </c>
      <c r="L1445" t="str">
        <f>TEXT(maintable_2[[#This Row],[Order Date]],"mmmm")</f>
        <v>December</v>
      </c>
    </row>
    <row r="1446" spans="1:12" x14ac:dyDescent="0.3">
      <c r="A1446" s="1">
        <v>40652</v>
      </c>
      <c r="B1446" s="1">
        <v>40654</v>
      </c>
      <c r="C1446" t="s">
        <v>1403</v>
      </c>
      <c r="D1446" t="s">
        <v>11</v>
      </c>
      <c r="E1446" t="s">
        <v>1471</v>
      </c>
      <c r="F1446">
        <v>76.14</v>
      </c>
      <c r="G1446">
        <v>3</v>
      </c>
      <c r="H1446">
        <v>26.649000000000001</v>
      </c>
      <c r="I1446">
        <v>2</v>
      </c>
      <c r="J1446">
        <v>2011</v>
      </c>
      <c r="K1446" t="s">
        <v>2208</v>
      </c>
      <c r="L1446" t="str">
        <f>TEXT(maintable_2[[#This Row],[Order Date]],"mmmm")</f>
        <v>April</v>
      </c>
    </row>
    <row r="1447" spans="1:12" x14ac:dyDescent="0.3">
      <c r="A1447" s="1">
        <v>41838</v>
      </c>
      <c r="B1447" s="1">
        <v>41842</v>
      </c>
      <c r="C1447" t="s">
        <v>1036</v>
      </c>
      <c r="D1447" t="s">
        <v>163</v>
      </c>
      <c r="E1447" t="s">
        <v>1472</v>
      </c>
      <c r="F1447">
        <v>479.98399999999998</v>
      </c>
      <c r="G1447">
        <v>2</v>
      </c>
      <c r="H1447">
        <v>89.997</v>
      </c>
      <c r="I1447">
        <v>4</v>
      </c>
      <c r="J1447">
        <v>2014</v>
      </c>
      <c r="K1447" t="s">
        <v>2206</v>
      </c>
      <c r="L1447" t="str">
        <f>TEXT(maintable_2[[#This Row],[Order Date]],"mmmm")</f>
        <v>July</v>
      </c>
    </row>
    <row r="1448" spans="1:12" x14ac:dyDescent="0.3">
      <c r="A1448" s="1">
        <v>40644</v>
      </c>
      <c r="B1448" s="1">
        <v>40649</v>
      </c>
      <c r="C1448" t="s">
        <v>1042</v>
      </c>
      <c r="D1448" t="s">
        <v>17</v>
      </c>
      <c r="E1448" t="s">
        <v>816</v>
      </c>
      <c r="F1448">
        <v>9.5839999999999996</v>
      </c>
      <c r="G1448">
        <v>1</v>
      </c>
      <c r="H1448">
        <v>3.3544</v>
      </c>
      <c r="I1448">
        <v>5</v>
      </c>
      <c r="J1448">
        <v>2011</v>
      </c>
      <c r="K1448" t="s">
        <v>2208</v>
      </c>
      <c r="L1448" t="str">
        <f>TEXT(maintable_2[[#This Row],[Order Date]],"mmmm")</f>
        <v>April</v>
      </c>
    </row>
    <row r="1449" spans="1:12" x14ac:dyDescent="0.3">
      <c r="A1449" s="1">
        <v>41513</v>
      </c>
      <c r="B1449" s="1">
        <v>41515</v>
      </c>
      <c r="C1449" t="s">
        <v>1473</v>
      </c>
      <c r="D1449" t="s">
        <v>13</v>
      </c>
      <c r="E1449" t="s">
        <v>1474</v>
      </c>
      <c r="F1449">
        <v>8.26</v>
      </c>
      <c r="G1449">
        <v>2</v>
      </c>
      <c r="H1449">
        <v>3.7995999999999999</v>
      </c>
      <c r="I1449">
        <v>2</v>
      </c>
      <c r="J1449">
        <v>2013</v>
      </c>
      <c r="K1449" t="s">
        <v>2206</v>
      </c>
      <c r="L1449" t="str">
        <f>TEXT(maintable_2[[#This Row],[Order Date]],"mmmm")</f>
        <v>August</v>
      </c>
    </row>
    <row r="1450" spans="1:12" x14ac:dyDescent="0.3">
      <c r="A1450" s="1">
        <v>41946</v>
      </c>
      <c r="B1450" s="1">
        <v>41948</v>
      </c>
      <c r="C1450" t="s">
        <v>1026</v>
      </c>
      <c r="D1450" t="s">
        <v>86</v>
      </c>
      <c r="E1450" t="s">
        <v>427</v>
      </c>
      <c r="F1450">
        <v>76.58</v>
      </c>
      <c r="G1450">
        <v>7</v>
      </c>
      <c r="H1450">
        <v>38.29</v>
      </c>
      <c r="I1450">
        <v>2</v>
      </c>
      <c r="J1450">
        <v>2014</v>
      </c>
      <c r="K1450" t="s">
        <v>2209</v>
      </c>
      <c r="L1450" t="str">
        <f>TEXT(maintable_2[[#This Row],[Order Date]],"mmmm")</f>
        <v>November</v>
      </c>
    </row>
    <row r="1451" spans="1:12" x14ac:dyDescent="0.3">
      <c r="A1451" s="1">
        <v>41946</v>
      </c>
      <c r="B1451" s="1">
        <v>41948</v>
      </c>
      <c r="C1451" t="s">
        <v>1026</v>
      </c>
      <c r="D1451" t="s">
        <v>13</v>
      </c>
      <c r="E1451" t="s">
        <v>1475</v>
      </c>
      <c r="F1451">
        <v>8.8000000000000007</v>
      </c>
      <c r="G1451">
        <v>5</v>
      </c>
      <c r="H1451">
        <v>4.2240000000000002</v>
      </c>
      <c r="I1451">
        <v>2</v>
      </c>
      <c r="J1451">
        <v>2014</v>
      </c>
      <c r="K1451" t="s">
        <v>2209</v>
      </c>
      <c r="L1451" t="str">
        <f>TEXT(maintable_2[[#This Row],[Order Date]],"mmmm")</f>
        <v>November</v>
      </c>
    </row>
    <row r="1452" spans="1:12" x14ac:dyDescent="0.3">
      <c r="A1452" s="1">
        <v>41946</v>
      </c>
      <c r="B1452" s="1">
        <v>41948</v>
      </c>
      <c r="C1452" t="s">
        <v>1026</v>
      </c>
      <c r="D1452" t="s">
        <v>17</v>
      </c>
      <c r="E1452" t="s">
        <v>1476</v>
      </c>
      <c r="F1452">
        <v>590.35199999999998</v>
      </c>
      <c r="G1452">
        <v>6</v>
      </c>
      <c r="H1452">
        <v>206.6232</v>
      </c>
      <c r="I1452">
        <v>2</v>
      </c>
      <c r="J1452">
        <v>2014</v>
      </c>
      <c r="K1452" t="s">
        <v>2209</v>
      </c>
      <c r="L1452" t="str">
        <f>TEXT(maintable_2[[#This Row],[Order Date]],"mmmm")</f>
        <v>November</v>
      </c>
    </row>
    <row r="1453" spans="1:12" x14ac:dyDescent="0.3">
      <c r="A1453" s="1">
        <v>41946</v>
      </c>
      <c r="B1453" s="1">
        <v>41948</v>
      </c>
      <c r="C1453" t="s">
        <v>1026</v>
      </c>
      <c r="D1453" t="s">
        <v>78</v>
      </c>
      <c r="E1453" t="s">
        <v>1477</v>
      </c>
      <c r="F1453">
        <v>5.58</v>
      </c>
      <c r="G1453">
        <v>3</v>
      </c>
      <c r="H1453">
        <v>0.16739999999999999</v>
      </c>
      <c r="I1453">
        <v>2</v>
      </c>
      <c r="J1453">
        <v>2014</v>
      </c>
      <c r="K1453" t="s">
        <v>2209</v>
      </c>
      <c r="L1453" t="str">
        <f>TEXT(maintable_2[[#This Row],[Order Date]],"mmmm")</f>
        <v>November</v>
      </c>
    </row>
    <row r="1454" spans="1:12" x14ac:dyDescent="0.3">
      <c r="A1454" s="1">
        <v>41946</v>
      </c>
      <c r="B1454" s="1">
        <v>41948</v>
      </c>
      <c r="C1454" t="s">
        <v>1026</v>
      </c>
      <c r="D1454" t="s">
        <v>11</v>
      </c>
      <c r="E1454" t="s">
        <v>1478</v>
      </c>
      <c r="F1454">
        <v>25.02</v>
      </c>
      <c r="G1454">
        <v>3</v>
      </c>
      <c r="H1454">
        <v>10.5084</v>
      </c>
      <c r="I1454">
        <v>2</v>
      </c>
      <c r="J1454">
        <v>2014</v>
      </c>
      <c r="K1454" t="s">
        <v>2209</v>
      </c>
      <c r="L1454" t="str">
        <f>TEXT(maintable_2[[#This Row],[Order Date]],"mmmm")</f>
        <v>November</v>
      </c>
    </row>
    <row r="1455" spans="1:12" x14ac:dyDescent="0.3">
      <c r="A1455" s="1">
        <v>41946</v>
      </c>
      <c r="B1455" s="1">
        <v>41948</v>
      </c>
      <c r="C1455" t="s">
        <v>1026</v>
      </c>
      <c r="D1455" t="s">
        <v>27</v>
      </c>
      <c r="E1455" t="s">
        <v>1099</v>
      </c>
      <c r="F1455">
        <v>452.55</v>
      </c>
      <c r="G1455">
        <v>7</v>
      </c>
      <c r="H1455">
        <v>22.627500000000001</v>
      </c>
      <c r="I1455">
        <v>2</v>
      </c>
      <c r="J1455">
        <v>2014</v>
      </c>
      <c r="K1455" t="s">
        <v>2209</v>
      </c>
      <c r="L1455" t="str">
        <f>TEXT(maintable_2[[#This Row],[Order Date]],"mmmm")</f>
        <v>November</v>
      </c>
    </row>
    <row r="1456" spans="1:12" x14ac:dyDescent="0.3">
      <c r="A1456" s="1">
        <v>41635</v>
      </c>
      <c r="B1456" s="1">
        <v>41640</v>
      </c>
      <c r="C1456" t="s">
        <v>1463</v>
      </c>
      <c r="D1456" t="s">
        <v>81</v>
      </c>
      <c r="E1456" t="s">
        <v>893</v>
      </c>
      <c r="F1456">
        <v>17.760000000000002</v>
      </c>
      <c r="G1456">
        <v>2</v>
      </c>
      <c r="H1456">
        <v>4.9728000000000003</v>
      </c>
      <c r="I1456">
        <v>5</v>
      </c>
      <c r="J1456">
        <v>2013</v>
      </c>
      <c r="K1456" t="s">
        <v>2207</v>
      </c>
      <c r="L1456" t="str">
        <f>TEXT(maintable_2[[#This Row],[Order Date]],"mmmm")</f>
        <v>December</v>
      </c>
    </row>
    <row r="1457" spans="1:12" x14ac:dyDescent="0.3">
      <c r="A1457" s="1">
        <v>41635</v>
      </c>
      <c r="B1457" s="1">
        <v>41640</v>
      </c>
      <c r="C1457" t="s">
        <v>1463</v>
      </c>
      <c r="D1457" t="s">
        <v>15</v>
      </c>
      <c r="E1457" t="s">
        <v>16</v>
      </c>
      <c r="F1457">
        <v>302.38400000000001</v>
      </c>
      <c r="G1457">
        <v>2</v>
      </c>
      <c r="H1457">
        <v>30.238399999999999</v>
      </c>
      <c r="I1457">
        <v>5</v>
      </c>
      <c r="J1457">
        <v>2013</v>
      </c>
      <c r="K1457" t="s">
        <v>2207</v>
      </c>
      <c r="L1457" t="str">
        <f>TEXT(maintable_2[[#This Row],[Order Date]],"mmmm")</f>
        <v>December</v>
      </c>
    </row>
    <row r="1458" spans="1:12" x14ac:dyDescent="0.3">
      <c r="A1458" s="1">
        <v>41635</v>
      </c>
      <c r="B1458" s="1">
        <v>41640</v>
      </c>
      <c r="C1458" t="s">
        <v>1463</v>
      </c>
      <c r="D1458" t="s">
        <v>71</v>
      </c>
      <c r="E1458" t="s">
        <v>1479</v>
      </c>
      <c r="F1458">
        <v>146.352</v>
      </c>
      <c r="G1458">
        <v>3</v>
      </c>
      <c r="H1458">
        <v>-5.4882</v>
      </c>
      <c r="I1458">
        <v>5</v>
      </c>
      <c r="J1458">
        <v>2013</v>
      </c>
      <c r="K1458" t="s">
        <v>2207</v>
      </c>
      <c r="L1458" t="str">
        <f>TEXT(maintable_2[[#This Row],[Order Date]],"mmmm")</f>
        <v>December</v>
      </c>
    </row>
    <row r="1459" spans="1:12" x14ac:dyDescent="0.3">
      <c r="A1459" s="1">
        <v>41635</v>
      </c>
      <c r="B1459" s="1">
        <v>41640</v>
      </c>
      <c r="C1459" t="s">
        <v>1463</v>
      </c>
      <c r="D1459" t="s">
        <v>19</v>
      </c>
      <c r="E1459" t="s">
        <v>1480</v>
      </c>
      <c r="F1459">
        <v>7.9</v>
      </c>
      <c r="G1459">
        <v>2</v>
      </c>
      <c r="H1459">
        <v>2.0539999999999998</v>
      </c>
      <c r="I1459">
        <v>5</v>
      </c>
      <c r="J1459">
        <v>2013</v>
      </c>
      <c r="K1459" t="s">
        <v>2207</v>
      </c>
      <c r="L1459" t="str">
        <f>TEXT(maintable_2[[#This Row],[Order Date]],"mmmm")</f>
        <v>December</v>
      </c>
    </row>
    <row r="1460" spans="1:12" x14ac:dyDescent="0.3">
      <c r="A1460" s="1">
        <v>41635</v>
      </c>
      <c r="B1460" s="1">
        <v>41640</v>
      </c>
      <c r="C1460" t="s">
        <v>1463</v>
      </c>
      <c r="D1460" t="s">
        <v>21</v>
      </c>
      <c r="E1460" t="s">
        <v>529</v>
      </c>
      <c r="F1460">
        <v>902.71199999999999</v>
      </c>
      <c r="G1460">
        <v>3</v>
      </c>
      <c r="H1460">
        <v>33.851700000000001</v>
      </c>
      <c r="I1460">
        <v>5</v>
      </c>
      <c r="J1460">
        <v>2013</v>
      </c>
      <c r="K1460" t="s">
        <v>2207</v>
      </c>
      <c r="L1460" t="str">
        <f>TEXT(maintable_2[[#This Row],[Order Date]],"mmmm")</f>
        <v>December</v>
      </c>
    </row>
    <row r="1461" spans="1:12" x14ac:dyDescent="0.3">
      <c r="A1461" s="1">
        <v>41635</v>
      </c>
      <c r="B1461" s="1">
        <v>41640</v>
      </c>
      <c r="C1461" t="s">
        <v>1463</v>
      </c>
      <c r="D1461" t="s">
        <v>13</v>
      </c>
      <c r="E1461" t="s">
        <v>375</v>
      </c>
      <c r="F1461">
        <v>53.97</v>
      </c>
      <c r="G1461">
        <v>3</v>
      </c>
      <c r="H1461">
        <v>15.111599999999999</v>
      </c>
      <c r="I1461">
        <v>5</v>
      </c>
      <c r="J1461">
        <v>2013</v>
      </c>
      <c r="K1461" t="s">
        <v>2207</v>
      </c>
      <c r="L1461" t="str">
        <f>TEXT(maintable_2[[#This Row],[Order Date]],"mmmm")</f>
        <v>December</v>
      </c>
    </row>
    <row r="1462" spans="1:12" x14ac:dyDescent="0.3">
      <c r="A1462" s="1">
        <v>41953</v>
      </c>
      <c r="B1462" s="1">
        <v>41958</v>
      </c>
      <c r="C1462" t="s">
        <v>208</v>
      </c>
      <c r="D1462" t="s">
        <v>11</v>
      </c>
      <c r="E1462" t="s">
        <v>217</v>
      </c>
      <c r="F1462">
        <v>47.12</v>
      </c>
      <c r="G1462">
        <v>8</v>
      </c>
      <c r="H1462">
        <v>20.732800000000001</v>
      </c>
      <c r="I1462">
        <v>5</v>
      </c>
      <c r="J1462">
        <v>2014</v>
      </c>
      <c r="K1462" t="s">
        <v>2209</v>
      </c>
      <c r="L1462" t="str">
        <f>TEXT(maintable_2[[#This Row],[Order Date]],"mmmm")</f>
        <v>November</v>
      </c>
    </row>
    <row r="1463" spans="1:12" x14ac:dyDescent="0.3">
      <c r="A1463" s="1">
        <v>41998</v>
      </c>
      <c r="B1463" s="1">
        <v>41999</v>
      </c>
      <c r="C1463" t="s">
        <v>1481</v>
      </c>
      <c r="D1463" t="s">
        <v>163</v>
      </c>
      <c r="E1463" t="s">
        <v>164</v>
      </c>
      <c r="F1463">
        <v>2879.9520000000002</v>
      </c>
      <c r="G1463">
        <v>6</v>
      </c>
      <c r="H1463">
        <v>1007.9832</v>
      </c>
      <c r="I1463">
        <v>1</v>
      </c>
      <c r="J1463">
        <v>2014</v>
      </c>
      <c r="K1463" t="s">
        <v>2207</v>
      </c>
      <c r="L1463" t="str">
        <f>TEXT(maintable_2[[#This Row],[Order Date]],"mmmm")</f>
        <v>December</v>
      </c>
    </row>
    <row r="1464" spans="1:12" x14ac:dyDescent="0.3">
      <c r="A1464" s="1">
        <v>41998</v>
      </c>
      <c r="B1464" s="1">
        <v>41999</v>
      </c>
      <c r="C1464" t="s">
        <v>1481</v>
      </c>
      <c r="D1464" t="s">
        <v>17</v>
      </c>
      <c r="E1464" t="s">
        <v>243</v>
      </c>
      <c r="F1464">
        <v>90.48</v>
      </c>
      <c r="G1464">
        <v>3</v>
      </c>
      <c r="H1464">
        <v>33.93</v>
      </c>
      <c r="I1464">
        <v>1</v>
      </c>
      <c r="J1464">
        <v>2014</v>
      </c>
      <c r="K1464" t="s">
        <v>2207</v>
      </c>
      <c r="L1464" t="str">
        <f>TEXT(maintable_2[[#This Row],[Order Date]],"mmmm")</f>
        <v>December</v>
      </c>
    </row>
    <row r="1465" spans="1:12" x14ac:dyDescent="0.3">
      <c r="A1465" s="1">
        <v>41855</v>
      </c>
      <c r="B1465" s="1">
        <v>41860</v>
      </c>
      <c r="C1465" t="s">
        <v>1482</v>
      </c>
      <c r="D1465" t="s">
        <v>8</v>
      </c>
      <c r="E1465" t="s">
        <v>271</v>
      </c>
      <c r="F1465">
        <v>51.75</v>
      </c>
      <c r="G1465">
        <v>5</v>
      </c>
      <c r="H1465">
        <v>24.84</v>
      </c>
      <c r="I1465">
        <v>5</v>
      </c>
      <c r="J1465">
        <v>2014</v>
      </c>
      <c r="K1465" t="s">
        <v>2206</v>
      </c>
      <c r="L1465" t="str">
        <f>TEXT(maintable_2[[#This Row],[Order Date]],"mmmm")</f>
        <v>August</v>
      </c>
    </row>
    <row r="1466" spans="1:12" x14ac:dyDescent="0.3">
      <c r="A1466" s="1">
        <v>41855</v>
      </c>
      <c r="B1466" s="1">
        <v>41860</v>
      </c>
      <c r="C1466" t="s">
        <v>1482</v>
      </c>
      <c r="D1466" t="s">
        <v>11</v>
      </c>
      <c r="E1466" t="s">
        <v>1483</v>
      </c>
      <c r="F1466">
        <v>123.96</v>
      </c>
      <c r="G1466">
        <v>3</v>
      </c>
      <c r="H1466">
        <v>11.1564</v>
      </c>
      <c r="I1466">
        <v>5</v>
      </c>
      <c r="J1466">
        <v>2014</v>
      </c>
      <c r="K1466" t="s">
        <v>2206</v>
      </c>
      <c r="L1466" t="str">
        <f>TEXT(maintable_2[[#This Row],[Order Date]],"mmmm")</f>
        <v>August</v>
      </c>
    </row>
    <row r="1467" spans="1:12" x14ac:dyDescent="0.3">
      <c r="A1467" s="1">
        <v>41142</v>
      </c>
      <c r="B1467" s="1">
        <v>41147</v>
      </c>
      <c r="C1467" t="s">
        <v>1484</v>
      </c>
      <c r="D1467" t="s">
        <v>196</v>
      </c>
      <c r="E1467" t="s">
        <v>1485</v>
      </c>
      <c r="F1467">
        <v>586.39800000000002</v>
      </c>
      <c r="G1467">
        <v>6</v>
      </c>
      <c r="H1467">
        <v>34.494</v>
      </c>
      <c r="I1467">
        <v>5</v>
      </c>
      <c r="J1467">
        <v>2012</v>
      </c>
      <c r="K1467" t="s">
        <v>2206</v>
      </c>
      <c r="L1467" t="str">
        <f>TEXT(maintable_2[[#This Row],[Order Date]],"mmmm")</f>
        <v>August</v>
      </c>
    </row>
    <row r="1468" spans="1:12" x14ac:dyDescent="0.3">
      <c r="A1468" s="1">
        <v>41142</v>
      </c>
      <c r="B1468" s="1">
        <v>41147</v>
      </c>
      <c r="C1468" t="s">
        <v>1484</v>
      </c>
      <c r="D1468" t="s">
        <v>27</v>
      </c>
      <c r="E1468" t="s">
        <v>341</v>
      </c>
      <c r="F1468">
        <v>80.98</v>
      </c>
      <c r="G1468">
        <v>1</v>
      </c>
      <c r="H1468">
        <v>3.2391999999999999</v>
      </c>
      <c r="I1468">
        <v>5</v>
      </c>
      <c r="J1468">
        <v>2012</v>
      </c>
      <c r="K1468" t="s">
        <v>2206</v>
      </c>
      <c r="L1468" t="str">
        <f>TEXT(maintable_2[[#This Row],[Order Date]],"mmmm")</f>
        <v>August</v>
      </c>
    </row>
    <row r="1469" spans="1:12" x14ac:dyDescent="0.3">
      <c r="A1469" s="1">
        <v>41711</v>
      </c>
      <c r="B1469" s="1">
        <v>41716</v>
      </c>
      <c r="C1469" t="s">
        <v>1486</v>
      </c>
      <c r="D1469" t="s">
        <v>27</v>
      </c>
      <c r="E1469" t="s">
        <v>341</v>
      </c>
      <c r="F1469">
        <v>242.94</v>
      </c>
      <c r="G1469">
        <v>3</v>
      </c>
      <c r="H1469">
        <v>9.7175999999999991</v>
      </c>
      <c r="I1469">
        <v>5</v>
      </c>
      <c r="J1469">
        <v>2014</v>
      </c>
      <c r="K1469" t="s">
        <v>2208</v>
      </c>
      <c r="L1469" t="str">
        <f>TEXT(maintable_2[[#This Row],[Order Date]],"mmmm")</f>
        <v>March</v>
      </c>
    </row>
    <row r="1470" spans="1:12" x14ac:dyDescent="0.3">
      <c r="A1470" s="1">
        <v>41757</v>
      </c>
      <c r="B1470" s="1">
        <v>41759</v>
      </c>
      <c r="C1470" t="s">
        <v>491</v>
      </c>
      <c r="D1470" t="s">
        <v>13</v>
      </c>
      <c r="E1470" t="s">
        <v>1487</v>
      </c>
      <c r="F1470">
        <v>123.92</v>
      </c>
      <c r="G1470">
        <v>4</v>
      </c>
      <c r="H1470">
        <v>33.458399999999997</v>
      </c>
      <c r="I1470">
        <v>2</v>
      </c>
      <c r="J1470">
        <v>2014</v>
      </c>
      <c r="K1470" t="s">
        <v>2208</v>
      </c>
      <c r="L1470" t="str">
        <f>TEXT(maintable_2[[#This Row],[Order Date]],"mmmm")</f>
        <v>April</v>
      </c>
    </row>
    <row r="1471" spans="1:12" x14ac:dyDescent="0.3">
      <c r="A1471" s="1">
        <v>41757</v>
      </c>
      <c r="B1471" s="1">
        <v>41759</v>
      </c>
      <c r="C1471" t="s">
        <v>491</v>
      </c>
      <c r="D1471" t="s">
        <v>13</v>
      </c>
      <c r="E1471" t="s">
        <v>1474</v>
      </c>
      <c r="F1471">
        <v>12.39</v>
      </c>
      <c r="G1471">
        <v>3</v>
      </c>
      <c r="H1471">
        <v>5.6993999999999998</v>
      </c>
      <c r="I1471">
        <v>2</v>
      </c>
      <c r="J1471">
        <v>2014</v>
      </c>
      <c r="K1471" t="s">
        <v>2208</v>
      </c>
      <c r="L1471" t="str">
        <f>TEXT(maintable_2[[#This Row],[Order Date]],"mmmm")</f>
        <v>April</v>
      </c>
    </row>
    <row r="1472" spans="1:12" x14ac:dyDescent="0.3">
      <c r="A1472" s="1">
        <v>41757</v>
      </c>
      <c r="B1472" s="1">
        <v>41759</v>
      </c>
      <c r="C1472" t="s">
        <v>491</v>
      </c>
      <c r="D1472" t="s">
        <v>13</v>
      </c>
      <c r="E1472" t="s">
        <v>1276</v>
      </c>
      <c r="F1472">
        <v>47.3</v>
      </c>
      <c r="G1472">
        <v>2</v>
      </c>
      <c r="H1472">
        <v>12.298</v>
      </c>
      <c r="I1472">
        <v>2</v>
      </c>
      <c r="J1472">
        <v>2014</v>
      </c>
      <c r="K1472" t="s">
        <v>2208</v>
      </c>
      <c r="L1472" t="str">
        <f>TEXT(maintable_2[[#This Row],[Order Date]],"mmmm")</f>
        <v>April</v>
      </c>
    </row>
    <row r="1473" spans="1:12" x14ac:dyDescent="0.3">
      <c r="A1473" s="1">
        <v>41935</v>
      </c>
      <c r="B1473" s="1">
        <v>41937</v>
      </c>
      <c r="C1473" t="s">
        <v>1488</v>
      </c>
      <c r="D1473" t="s">
        <v>17</v>
      </c>
      <c r="E1473" t="s">
        <v>246</v>
      </c>
      <c r="F1473">
        <v>3.1680000000000001</v>
      </c>
      <c r="G1473">
        <v>4</v>
      </c>
      <c r="H1473">
        <v>-2.5344000000000002</v>
      </c>
      <c r="I1473">
        <v>2</v>
      </c>
      <c r="J1473">
        <v>2014</v>
      </c>
      <c r="K1473" t="s">
        <v>2209</v>
      </c>
      <c r="L1473" t="str">
        <f>TEXT(maintable_2[[#This Row],[Order Date]],"mmmm")</f>
        <v>October</v>
      </c>
    </row>
    <row r="1474" spans="1:12" x14ac:dyDescent="0.3">
      <c r="A1474" s="1">
        <v>41935</v>
      </c>
      <c r="B1474" s="1">
        <v>41937</v>
      </c>
      <c r="C1474" t="s">
        <v>1488</v>
      </c>
      <c r="D1474" t="s">
        <v>71</v>
      </c>
      <c r="E1474" t="s">
        <v>1489</v>
      </c>
      <c r="F1474">
        <v>579.13599999999997</v>
      </c>
      <c r="G1474">
        <v>4</v>
      </c>
      <c r="H1474">
        <v>-28.956800000000001</v>
      </c>
      <c r="I1474">
        <v>2</v>
      </c>
      <c r="J1474">
        <v>2014</v>
      </c>
      <c r="K1474" t="s">
        <v>2209</v>
      </c>
      <c r="L1474" t="str">
        <f>TEXT(maintable_2[[#This Row],[Order Date]],"mmmm")</f>
        <v>October</v>
      </c>
    </row>
    <row r="1475" spans="1:12" x14ac:dyDescent="0.3">
      <c r="A1475" s="1">
        <v>41123</v>
      </c>
      <c r="B1475" s="1">
        <v>41127</v>
      </c>
      <c r="C1475" t="s">
        <v>1490</v>
      </c>
      <c r="D1475" t="s">
        <v>17</v>
      </c>
      <c r="E1475" t="s">
        <v>1491</v>
      </c>
      <c r="F1475">
        <v>6.3680000000000003</v>
      </c>
      <c r="G1475">
        <v>2</v>
      </c>
      <c r="H1475">
        <v>2.1492</v>
      </c>
      <c r="I1475">
        <v>4</v>
      </c>
      <c r="J1475">
        <v>2012</v>
      </c>
      <c r="K1475" t="s">
        <v>2206</v>
      </c>
      <c r="L1475" t="str">
        <f>TEXT(maintable_2[[#This Row],[Order Date]],"mmmm")</f>
        <v>August</v>
      </c>
    </row>
    <row r="1476" spans="1:12" x14ac:dyDescent="0.3">
      <c r="A1476" s="1">
        <v>41123</v>
      </c>
      <c r="B1476" s="1">
        <v>41127</v>
      </c>
      <c r="C1476" t="s">
        <v>1490</v>
      </c>
      <c r="D1476" t="s">
        <v>494</v>
      </c>
      <c r="E1476" t="s">
        <v>1159</v>
      </c>
      <c r="F1476">
        <v>558.4</v>
      </c>
      <c r="G1476">
        <v>2</v>
      </c>
      <c r="H1476">
        <v>41.88</v>
      </c>
      <c r="I1476">
        <v>4</v>
      </c>
      <c r="J1476">
        <v>2012</v>
      </c>
      <c r="K1476" t="s">
        <v>2206</v>
      </c>
      <c r="L1476" t="str">
        <f>TEXT(maintable_2[[#This Row],[Order Date]],"mmmm")</f>
        <v>August</v>
      </c>
    </row>
    <row r="1477" spans="1:12" x14ac:dyDescent="0.3">
      <c r="A1477" s="1">
        <v>41774</v>
      </c>
      <c r="B1477" s="1">
        <v>41779</v>
      </c>
      <c r="C1477" t="s">
        <v>1398</v>
      </c>
      <c r="D1477" t="s">
        <v>44</v>
      </c>
      <c r="E1477" t="s">
        <v>1492</v>
      </c>
      <c r="F1477">
        <v>440.19</v>
      </c>
      <c r="G1477">
        <v>9</v>
      </c>
      <c r="H1477">
        <v>206.88929999999999</v>
      </c>
      <c r="I1477">
        <v>5</v>
      </c>
      <c r="J1477">
        <v>2014</v>
      </c>
      <c r="K1477" t="s">
        <v>2208</v>
      </c>
      <c r="L1477" t="str">
        <f>TEXT(maintable_2[[#This Row],[Order Date]],"mmmm")</f>
        <v>May</v>
      </c>
    </row>
    <row r="1478" spans="1:12" x14ac:dyDescent="0.3">
      <c r="A1478" s="1">
        <v>41774</v>
      </c>
      <c r="B1478" s="1">
        <v>41779</v>
      </c>
      <c r="C1478" t="s">
        <v>1398</v>
      </c>
      <c r="D1478" t="s">
        <v>81</v>
      </c>
      <c r="E1478" t="s">
        <v>292</v>
      </c>
      <c r="F1478">
        <v>64.400000000000006</v>
      </c>
      <c r="G1478">
        <v>5</v>
      </c>
      <c r="H1478">
        <v>1.9319999999999999</v>
      </c>
      <c r="I1478">
        <v>5</v>
      </c>
      <c r="J1478">
        <v>2014</v>
      </c>
      <c r="K1478" t="s">
        <v>2208</v>
      </c>
      <c r="L1478" t="str">
        <f>TEXT(maintable_2[[#This Row],[Order Date]],"mmmm")</f>
        <v>May</v>
      </c>
    </row>
    <row r="1479" spans="1:12" x14ac:dyDescent="0.3">
      <c r="A1479" s="1">
        <v>41738</v>
      </c>
      <c r="B1479" s="1">
        <v>41742</v>
      </c>
      <c r="C1479" t="s">
        <v>845</v>
      </c>
      <c r="D1479" t="s">
        <v>44</v>
      </c>
      <c r="E1479" t="s">
        <v>1000</v>
      </c>
      <c r="F1479">
        <v>244.55</v>
      </c>
      <c r="G1479">
        <v>5</v>
      </c>
      <c r="H1479">
        <v>114.9385</v>
      </c>
      <c r="I1479">
        <v>4</v>
      </c>
      <c r="J1479">
        <v>2014</v>
      </c>
      <c r="K1479" t="s">
        <v>2208</v>
      </c>
      <c r="L1479" t="str">
        <f>TEXT(maintable_2[[#This Row],[Order Date]],"mmmm")</f>
        <v>April</v>
      </c>
    </row>
    <row r="1480" spans="1:12" x14ac:dyDescent="0.3">
      <c r="A1480" s="1">
        <v>41738</v>
      </c>
      <c r="B1480" s="1">
        <v>41742</v>
      </c>
      <c r="C1480" t="s">
        <v>845</v>
      </c>
      <c r="D1480" t="s">
        <v>44</v>
      </c>
      <c r="E1480" t="s">
        <v>1351</v>
      </c>
      <c r="F1480">
        <v>195.76</v>
      </c>
      <c r="G1480">
        <v>4</v>
      </c>
      <c r="H1480">
        <v>97.88</v>
      </c>
      <c r="I1480">
        <v>4</v>
      </c>
      <c r="J1480">
        <v>2014</v>
      </c>
      <c r="K1480" t="s">
        <v>2208</v>
      </c>
      <c r="L1480" t="str">
        <f>TEXT(maintable_2[[#This Row],[Order Date]],"mmmm")</f>
        <v>April</v>
      </c>
    </row>
    <row r="1481" spans="1:12" x14ac:dyDescent="0.3">
      <c r="A1481" s="1">
        <v>41815</v>
      </c>
      <c r="B1481" s="1">
        <v>41817</v>
      </c>
      <c r="C1481" t="s">
        <v>842</v>
      </c>
      <c r="D1481" t="s">
        <v>78</v>
      </c>
      <c r="E1481" t="s">
        <v>1493</v>
      </c>
      <c r="F1481">
        <v>2.88</v>
      </c>
      <c r="G1481">
        <v>1</v>
      </c>
      <c r="H1481">
        <v>1.3535999999999999</v>
      </c>
      <c r="I1481">
        <v>2</v>
      </c>
      <c r="J1481">
        <v>2014</v>
      </c>
      <c r="K1481" t="s">
        <v>2206</v>
      </c>
      <c r="L1481" t="str">
        <f>TEXT(maintable_2[[#This Row],[Order Date]],"mmmm")</f>
        <v>June</v>
      </c>
    </row>
    <row r="1482" spans="1:12" x14ac:dyDescent="0.3">
      <c r="A1482" s="1">
        <v>41284</v>
      </c>
      <c r="B1482" s="1">
        <v>41291</v>
      </c>
      <c r="C1482" t="s">
        <v>1398</v>
      </c>
      <c r="D1482" t="s">
        <v>11</v>
      </c>
      <c r="E1482" t="s">
        <v>1016</v>
      </c>
      <c r="F1482">
        <v>79.92</v>
      </c>
      <c r="G1482">
        <v>4</v>
      </c>
      <c r="H1482">
        <v>34.365600000000001</v>
      </c>
      <c r="I1482">
        <v>7</v>
      </c>
      <c r="J1482">
        <v>2013</v>
      </c>
      <c r="K1482" t="s">
        <v>2210</v>
      </c>
      <c r="L1482" t="str">
        <f>TEXT(maintable_2[[#This Row],[Order Date]],"mmmm")</f>
        <v>January</v>
      </c>
    </row>
    <row r="1483" spans="1:12" x14ac:dyDescent="0.3">
      <c r="A1483" s="1">
        <v>41284</v>
      </c>
      <c r="B1483" s="1">
        <v>41291</v>
      </c>
      <c r="C1483" t="s">
        <v>1398</v>
      </c>
      <c r="D1483" t="s">
        <v>37</v>
      </c>
      <c r="E1483" t="s">
        <v>1494</v>
      </c>
      <c r="F1483">
        <v>69.98</v>
      </c>
      <c r="G1483">
        <v>2</v>
      </c>
      <c r="H1483">
        <v>13.296200000000001</v>
      </c>
      <c r="I1483">
        <v>7</v>
      </c>
      <c r="J1483">
        <v>2013</v>
      </c>
      <c r="K1483" t="s">
        <v>2210</v>
      </c>
      <c r="L1483" t="str">
        <f>TEXT(maintable_2[[#This Row],[Order Date]],"mmmm")</f>
        <v>January</v>
      </c>
    </row>
    <row r="1484" spans="1:12" x14ac:dyDescent="0.3">
      <c r="A1484" s="1">
        <v>40616</v>
      </c>
      <c r="B1484" s="1">
        <v>40621</v>
      </c>
      <c r="C1484" t="s">
        <v>1015</v>
      </c>
      <c r="D1484" t="s">
        <v>17</v>
      </c>
      <c r="E1484" t="s">
        <v>1236</v>
      </c>
      <c r="F1484">
        <v>33.088000000000001</v>
      </c>
      <c r="G1484">
        <v>4</v>
      </c>
      <c r="H1484">
        <v>11.167199999999999</v>
      </c>
      <c r="I1484">
        <v>5</v>
      </c>
      <c r="J1484">
        <v>2011</v>
      </c>
      <c r="K1484" t="s">
        <v>2208</v>
      </c>
      <c r="L1484" t="str">
        <f>TEXT(maintable_2[[#This Row],[Order Date]],"mmmm")</f>
        <v>March</v>
      </c>
    </row>
    <row r="1485" spans="1:12" x14ac:dyDescent="0.3">
      <c r="A1485" s="1">
        <v>40616</v>
      </c>
      <c r="B1485" s="1">
        <v>40621</v>
      </c>
      <c r="C1485" t="s">
        <v>1015</v>
      </c>
      <c r="D1485" t="s">
        <v>27</v>
      </c>
      <c r="E1485" t="s">
        <v>341</v>
      </c>
      <c r="F1485">
        <v>80.98</v>
      </c>
      <c r="G1485">
        <v>1</v>
      </c>
      <c r="H1485">
        <v>3.2391999999999999</v>
      </c>
      <c r="I1485">
        <v>5</v>
      </c>
      <c r="J1485">
        <v>2011</v>
      </c>
      <c r="K1485" t="s">
        <v>2208</v>
      </c>
      <c r="L1485" t="str">
        <f>TEXT(maintable_2[[#This Row],[Order Date]],"mmmm")</f>
        <v>March</v>
      </c>
    </row>
    <row r="1486" spans="1:12" x14ac:dyDescent="0.3">
      <c r="A1486" s="1">
        <v>40616</v>
      </c>
      <c r="B1486" s="1">
        <v>40621</v>
      </c>
      <c r="C1486" t="s">
        <v>1015</v>
      </c>
      <c r="D1486" t="s">
        <v>37</v>
      </c>
      <c r="E1486" t="s">
        <v>1495</v>
      </c>
      <c r="F1486">
        <v>82.8</v>
      </c>
      <c r="G1486">
        <v>12</v>
      </c>
      <c r="H1486">
        <v>6.6239999999999997</v>
      </c>
      <c r="I1486">
        <v>5</v>
      </c>
      <c r="J1486">
        <v>2011</v>
      </c>
      <c r="K1486" t="s">
        <v>2208</v>
      </c>
      <c r="L1486" t="str">
        <f>TEXT(maintable_2[[#This Row],[Order Date]],"mmmm")</f>
        <v>March</v>
      </c>
    </row>
    <row r="1487" spans="1:12" x14ac:dyDescent="0.3">
      <c r="A1487" s="1">
        <v>40616</v>
      </c>
      <c r="B1487" s="1">
        <v>40621</v>
      </c>
      <c r="C1487" t="s">
        <v>1015</v>
      </c>
      <c r="D1487" t="s">
        <v>27</v>
      </c>
      <c r="E1487" t="s">
        <v>105</v>
      </c>
      <c r="F1487">
        <v>21.36</v>
      </c>
      <c r="G1487">
        <v>2</v>
      </c>
      <c r="H1487">
        <v>5.7671999999999999</v>
      </c>
      <c r="I1487">
        <v>5</v>
      </c>
      <c r="J1487">
        <v>2011</v>
      </c>
      <c r="K1487" t="s">
        <v>2208</v>
      </c>
      <c r="L1487" t="str">
        <f>TEXT(maintable_2[[#This Row],[Order Date]],"mmmm")</f>
        <v>March</v>
      </c>
    </row>
    <row r="1488" spans="1:12" x14ac:dyDescent="0.3">
      <c r="A1488" s="1">
        <v>40616</v>
      </c>
      <c r="B1488" s="1">
        <v>40621</v>
      </c>
      <c r="C1488" t="s">
        <v>1015</v>
      </c>
      <c r="D1488" t="s">
        <v>17</v>
      </c>
      <c r="E1488" t="s">
        <v>1278</v>
      </c>
      <c r="F1488">
        <v>62.048000000000002</v>
      </c>
      <c r="G1488">
        <v>2</v>
      </c>
      <c r="H1488">
        <v>20.165600000000001</v>
      </c>
      <c r="I1488">
        <v>5</v>
      </c>
      <c r="J1488">
        <v>2011</v>
      </c>
      <c r="K1488" t="s">
        <v>2208</v>
      </c>
      <c r="L1488" t="str">
        <f>TEXT(maintable_2[[#This Row],[Order Date]],"mmmm")</f>
        <v>March</v>
      </c>
    </row>
    <row r="1489" spans="1:12" x14ac:dyDescent="0.3">
      <c r="A1489" s="1">
        <v>40897</v>
      </c>
      <c r="B1489" s="1">
        <v>40899</v>
      </c>
      <c r="C1489" t="s">
        <v>1030</v>
      </c>
      <c r="D1489" t="s">
        <v>11</v>
      </c>
      <c r="E1489" t="s">
        <v>1039</v>
      </c>
      <c r="F1489">
        <v>51.968000000000004</v>
      </c>
      <c r="G1489">
        <v>2</v>
      </c>
      <c r="H1489">
        <v>10.393599999999999</v>
      </c>
      <c r="I1489">
        <v>2</v>
      </c>
      <c r="J1489">
        <v>2011</v>
      </c>
      <c r="K1489" t="s">
        <v>2207</v>
      </c>
      <c r="L1489" t="str">
        <f>TEXT(maintable_2[[#This Row],[Order Date]],"mmmm")</f>
        <v>December</v>
      </c>
    </row>
    <row r="1490" spans="1:12" x14ac:dyDescent="0.3">
      <c r="A1490" s="1">
        <v>40897</v>
      </c>
      <c r="B1490" s="1">
        <v>40899</v>
      </c>
      <c r="C1490" t="s">
        <v>1030</v>
      </c>
      <c r="D1490" t="s">
        <v>37</v>
      </c>
      <c r="E1490" t="s">
        <v>135</v>
      </c>
      <c r="F1490">
        <v>71.975999999999999</v>
      </c>
      <c r="G1490">
        <v>3</v>
      </c>
      <c r="H1490">
        <v>21.5928</v>
      </c>
      <c r="I1490">
        <v>2</v>
      </c>
      <c r="J1490">
        <v>2011</v>
      </c>
      <c r="K1490" t="s">
        <v>2207</v>
      </c>
      <c r="L1490" t="str">
        <f>TEXT(maintable_2[[#This Row],[Order Date]],"mmmm")</f>
        <v>December</v>
      </c>
    </row>
    <row r="1491" spans="1:12" x14ac:dyDescent="0.3">
      <c r="A1491" s="1">
        <v>40897</v>
      </c>
      <c r="B1491" s="1">
        <v>40899</v>
      </c>
      <c r="C1491" t="s">
        <v>1030</v>
      </c>
      <c r="D1491" t="s">
        <v>71</v>
      </c>
      <c r="E1491" t="s">
        <v>1496</v>
      </c>
      <c r="F1491">
        <v>242.352</v>
      </c>
      <c r="G1491">
        <v>3</v>
      </c>
      <c r="H1491">
        <v>-42.4116</v>
      </c>
      <c r="I1491">
        <v>2</v>
      </c>
      <c r="J1491">
        <v>2011</v>
      </c>
      <c r="K1491" t="s">
        <v>2207</v>
      </c>
      <c r="L1491" t="str">
        <f>TEXT(maintable_2[[#This Row],[Order Date]],"mmmm")</f>
        <v>December</v>
      </c>
    </row>
    <row r="1492" spans="1:12" x14ac:dyDescent="0.3">
      <c r="A1492" s="1">
        <v>40897</v>
      </c>
      <c r="B1492" s="1">
        <v>40899</v>
      </c>
      <c r="C1492" t="s">
        <v>1030</v>
      </c>
      <c r="D1492" t="s">
        <v>44</v>
      </c>
      <c r="E1492" t="s">
        <v>1028</v>
      </c>
      <c r="F1492">
        <v>221.92</v>
      </c>
      <c r="G1492">
        <v>5</v>
      </c>
      <c r="H1492">
        <v>77.671999999999997</v>
      </c>
      <c r="I1492">
        <v>2</v>
      </c>
      <c r="J1492">
        <v>2011</v>
      </c>
      <c r="K1492" t="s">
        <v>2207</v>
      </c>
      <c r="L1492" t="str">
        <f>TEXT(maintable_2[[#This Row],[Order Date]],"mmmm")</f>
        <v>December</v>
      </c>
    </row>
    <row r="1493" spans="1:12" x14ac:dyDescent="0.3">
      <c r="A1493" s="1">
        <v>40897</v>
      </c>
      <c r="B1493" s="1">
        <v>40899</v>
      </c>
      <c r="C1493" t="s">
        <v>1030</v>
      </c>
      <c r="D1493" t="s">
        <v>44</v>
      </c>
      <c r="E1493" t="s">
        <v>1497</v>
      </c>
      <c r="F1493">
        <v>8.4480000000000004</v>
      </c>
      <c r="G1493">
        <v>2</v>
      </c>
      <c r="H1493">
        <v>2.64</v>
      </c>
      <c r="I1493">
        <v>2</v>
      </c>
      <c r="J1493">
        <v>2011</v>
      </c>
      <c r="K1493" t="s">
        <v>2207</v>
      </c>
      <c r="L1493" t="str">
        <f>TEXT(maintable_2[[#This Row],[Order Date]],"mmmm")</f>
        <v>December</v>
      </c>
    </row>
    <row r="1494" spans="1:12" x14ac:dyDescent="0.3">
      <c r="A1494" s="1">
        <v>41820</v>
      </c>
      <c r="B1494" s="1">
        <v>41821</v>
      </c>
      <c r="C1494" t="s">
        <v>858</v>
      </c>
      <c r="D1494" t="s">
        <v>17</v>
      </c>
      <c r="E1494" t="s">
        <v>857</v>
      </c>
      <c r="F1494">
        <v>895.92</v>
      </c>
      <c r="G1494">
        <v>5</v>
      </c>
      <c r="H1494">
        <v>302.37299999999999</v>
      </c>
      <c r="I1494">
        <v>1</v>
      </c>
      <c r="J1494">
        <v>2014</v>
      </c>
      <c r="K1494" t="s">
        <v>2206</v>
      </c>
      <c r="L1494" t="str">
        <f>TEXT(maintable_2[[#This Row],[Order Date]],"mmmm")</f>
        <v>June</v>
      </c>
    </row>
    <row r="1495" spans="1:12" x14ac:dyDescent="0.3">
      <c r="A1495" s="1">
        <v>41820</v>
      </c>
      <c r="B1495" s="1">
        <v>41821</v>
      </c>
      <c r="C1495" t="s">
        <v>858</v>
      </c>
      <c r="D1495" t="s">
        <v>27</v>
      </c>
      <c r="E1495" t="s">
        <v>69</v>
      </c>
      <c r="F1495">
        <v>130.71</v>
      </c>
      <c r="G1495">
        <v>3</v>
      </c>
      <c r="H1495">
        <v>39.213000000000001</v>
      </c>
      <c r="I1495">
        <v>1</v>
      </c>
      <c r="J1495">
        <v>2014</v>
      </c>
      <c r="K1495" t="s">
        <v>2206</v>
      </c>
      <c r="L1495" t="str">
        <f>TEXT(maintable_2[[#This Row],[Order Date]],"mmmm")</f>
        <v>June</v>
      </c>
    </row>
    <row r="1496" spans="1:12" x14ac:dyDescent="0.3">
      <c r="A1496" s="1">
        <v>41820</v>
      </c>
      <c r="B1496" s="1">
        <v>41821</v>
      </c>
      <c r="C1496" t="s">
        <v>858</v>
      </c>
      <c r="D1496" t="s">
        <v>13</v>
      </c>
      <c r="E1496" t="s">
        <v>1498</v>
      </c>
      <c r="F1496">
        <v>11.68</v>
      </c>
      <c r="G1496">
        <v>2</v>
      </c>
      <c r="H1496">
        <v>3.0367999999999999</v>
      </c>
      <c r="I1496">
        <v>1</v>
      </c>
      <c r="J1496">
        <v>2014</v>
      </c>
      <c r="K1496" t="s">
        <v>2206</v>
      </c>
      <c r="L1496" t="str">
        <f>TEXT(maintable_2[[#This Row],[Order Date]],"mmmm")</f>
        <v>June</v>
      </c>
    </row>
    <row r="1497" spans="1:12" x14ac:dyDescent="0.3">
      <c r="A1497" s="1">
        <v>41820</v>
      </c>
      <c r="B1497" s="1">
        <v>41821</v>
      </c>
      <c r="C1497" t="s">
        <v>858</v>
      </c>
      <c r="D1497" t="s">
        <v>37</v>
      </c>
      <c r="E1497" t="s">
        <v>788</v>
      </c>
      <c r="F1497">
        <v>62.31</v>
      </c>
      <c r="G1497">
        <v>3</v>
      </c>
      <c r="H1497">
        <v>22.4316</v>
      </c>
      <c r="I1497">
        <v>1</v>
      </c>
      <c r="J1497">
        <v>2014</v>
      </c>
      <c r="K1497" t="s">
        <v>2206</v>
      </c>
      <c r="L1497" t="str">
        <f>TEXT(maintable_2[[#This Row],[Order Date]],"mmmm")</f>
        <v>June</v>
      </c>
    </row>
    <row r="1498" spans="1:12" x14ac:dyDescent="0.3">
      <c r="A1498" s="1">
        <v>41778</v>
      </c>
      <c r="B1498" s="1">
        <v>41780</v>
      </c>
      <c r="C1498" t="s">
        <v>587</v>
      </c>
      <c r="D1498" t="s">
        <v>15</v>
      </c>
      <c r="E1498" t="s">
        <v>1499</v>
      </c>
      <c r="F1498">
        <v>344.70400000000001</v>
      </c>
      <c r="G1498">
        <v>2</v>
      </c>
      <c r="H1498">
        <v>38.779200000000003</v>
      </c>
      <c r="I1498">
        <v>2</v>
      </c>
      <c r="J1498">
        <v>2014</v>
      </c>
      <c r="K1498" t="s">
        <v>2208</v>
      </c>
      <c r="L1498" t="str">
        <f>TEXT(maintable_2[[#This Row],[Order Date]],"mmmm")</f>
        <v>May</v>
      </c>
    </row>
    <row r="1499" spans="1:12" x14ac:dyDescent="0.3">
      <c r="A1499" s="1">
        <v>41041</v>
      </c>
      <c r="B1499" s="1">
        <v>41045</v>
      </c>
      <c r="C1499" t="s">
        <v>501</v>
      </c>
      <c r="D1499" t="s">
        <v>15</v>
      </c>
      <c r="E1499" t="s">
        <v>677</v>
      </c>
      <c r="F1499">
        <v>201.584</v>
      </c>
      <c r="G1499">
        <v>2</v>
      </c>
      <c r="H1499">
        <v>20.1584</v>
      </c>
      <c r="I1499">
        <v>4</v>
      </c>
      <c r="J1499">
        <v>2012</v>
      </c>
      <c r="K1499" t="s">
        <v>2208</v>
      </c>
      <c r="L1499" t="str">
        <f>TEXT(maintable_2[[#This Row],[Order Date]],"mmmm")</f>
        <v>May</v>
      </c>
    </row>
    <row r="1500" spans="1:12" x14ac:dyDescent="0.3">
      <c r="A1500" s="1">
        <v>41977</v>
      </c>
      <c r="B1500" s="1">
        <v>41981</v>
      </c>
      <c r="C1500" t="s">
        <v>621</v>
      </c>
      <c r="D1500" t="s">
        <v>21</v>
      </c>
      <c r="E1500" t="s">
        <v>1500</v>
      </c>
      <c r="F1500">
        <v>521.96</v>
      </c>
      <c r="G1500">
        <v>2</v>
      </c>
      <c r="H1500">
        <v>88.733199999999997</v>
      </c>
      <c r="I1500">
        <v>4</v>
      </c>
      <c r="J1500">
        <v>2014</v>
      </c>
      <c r="K1500" t="s">
        <v>2207</v>
      </c>
      <c r="L1500" t="str">
        <f>TEXT(maintable_2[[#This Row],[Order Date]],"mmmm")</f>
        <v>December</v>
      </c>
    </row>
    <row r="1501" spans="1:12" x14ac:dyDescent="0.3">
      <c r="A1501" s="1">
        <v>41192</v>
      </c>
      <c r="B1501" s="1">
        <v>41193</v>
      </c>
      <c r="C1501" t="s">
        <v>1501</v>
      </c>
      <c r="D1501" t="s">
        <v>44</v>
      </c>
      <c r="E1501" t="s">
        <v>301</v>
      </c>
      <c r="F1501">
        <v>45.36</v>
      </c>
      <c r="G1501">
        <v>7</v>
      </c>
      <c r="H1501">
        <v>21.7728</v>
      </c>
      <c r="I1501">
        <v>1</v>
      </c>
      <c r="J1501">
        <v>2012</v>
      </c>
      <c r="K1501" t="s">
        <v>2209</v>
      </c>
      <c r="L1501" t="str">
        <f>TEXT(maintable_2[[#This Row],[Order Date]],"mmmm")</f>
        <v>October</v>
      </c>
    </row>
    <row r="1502" spans="1:12" x14ac:dyDescent="0.3">
      <c r="A1502" s="1">
        <v>41017</v>
      </c>
      <c r="B1502" s="1">
        <v>41019</v>
      </c>
      <c r="C1502" t="s">
        <v>1502</v>
      </c>
      <c r="D1502" t="s">
        <v>27</v>
      </c>
      <c r="E1502" t="s">
        <v>1503</v>
      </c>
      <c r="F1502">
        <v>947.17</v>
      </c>
      <c r="G1502">
        <v>7</v>
      </c>
      <c r="H1502">
        <v>9.4717000000000002</v>
      </c>
      <c r="I1502">
        <v>2</v>
      </c>
      <c r="J1502">
        <v>2012</v>
      </c>
      <c r="K1502" t="s">
        <v>2208</v>
      </c>
      <c r="L1502" t="str">
        <f>TEXT(maintable_2[[#This Row],[Order Date]],"mmmm")</f>
        <v>April</v>
      </c>
    </row>
    <row r="1503" spans="1:12" x14ac:dyDescent="0.3">
      <c r="A1503" s="1">
        <v>41017</v>
      </c>
      <c r="B1503" s="1">
        <v>41019</v>
      </c>
      <c r="C1503" t="s">
        <v>1502</v>
      </c>
      <c r="D1503" t="s">
        <v>44</v>
      </c>
      <c r="E1503" t="s">
        <v>1504</v>
      </c>
      <c r="F1503">
        <v>61.96</v>
      </c>
      <c r="G1503">
        <v>2</v>
      </c>
      <c r="H1503">
        <v>27.882000000000001</v>
      </c>
      <c r="I1503">
        <v>2</v>
      </c>
      <c r="J1503">
        <v>2012</v>
      </c>
      <c r="K1503" t="s">
        <v>2208</v>
      </c>
      <c r="L1503" t="str">
        <f>TEXT(maintable_2[[#This Row],[Order Date]],"mmmm")</f>
        <v>April</v>
      </c>
    </row>
    <row r="1504" spans="1:12" x14ac:dyDescent="0.3">
      <c r="A1504" s="1">
        <v>41884</v>
      </c>
      <c r="B1504" s="1">
        <v>41890</v>
      </c>
      <c r="C1504" t="s">
        <v>336</v>
      </c>
      <c r="D1504" t="s">
        <v>13</v>
      </c>
      <c r="E1504" t="s">
        <v>105</v>
      </c>
      <c r="F1504">
        <v>7.58</v>
      </c>
      <c r="G1504">
        <v>1</v>
      </c>
      <c r="H1504">
        <v>2.9561999999999999</v>
      </c>
      <c r="I1504">
        <v>6</v>
      </c>
      <c r="J1504">
        <v>2014</v>
      </c>
      <c r="K1504" t="s">
        <v>2209</v>
      </c>
      <c r="L1504" t="str">
        <f>TEXT(maintable_2[[#This Row],[Order Date]],"mmmm")</f>
        <v>September</v>
      </c>
    </row>
    <row r="1505" spans="1:12" x14ac:dyDescent="0.3">
      <c r="A1505" s="1">
        <v>40854</v>
      </c>
      <c r="B1505" s="1">
        <v>40859</v>
      </c>
      <c r="C1505" t="s">
        <v>1505</v>
      </c>
      <c r="D1505" t="s">
        <v>17</v>
      </c>
      <c r="E1505" t="s">
        <v>559</v>
      </c>
      <c r="F1505">
        <v>123.14400000000001</v>
      </c>
      <c r="G1505">
        <v>7</v>
      </c>
      <c r="H1505">
        <v>46.179000000000002</v>
      </c>
      <c r="I1505">
        <v>5</v>
      </c>
      <c r="J1505">
        <v>2011</v>
      </c>
      <c r="K1505" t="s">
        <v>2209</v>
      </c>
      <c r="L1505" t="str">
        <f>TEXT(maintable_2[[#This Row],[Order Date]],"mmmm")</f>
        <v>November</v>
      </c>
    </row>
    <row r="1506" spans="1:12" x14ac:dyDescent="0.3">
      <c r="A1506" s="1">
        <v>40997</v>
      </c>
      <c r="B1506" s="1">
        <v>40999</v>
      </c>
      <c r="C1506" t="s">
        <v>1506</v>
      </c>
      <c r="D1506" t="s">
        <v>44</v>
      </c>
      <c r="E1506" t="s">
        <v>76</v>
      </c>
      <c r="F1506">
        <v>212.64</v>
      </c>
      <c r="G1506">
        <v>6</v>
      </c>
      <c r="H1506">
        <v>99.940799999999996</v>
      </c>
      <c r="I1506">
        <v>2</v>
      </c>
      <c r="J1506">
        <v>2012</v>
      </c>
      <c r="K1506" t="s">
        <v>2208</v>
      </c>
      <c r="L1506" t="str">
        <f>TEXT(maintable_2[[#This Row],[Order Date]],"mmmm")</f>
        <v>March</v>
      </c>
    </row>
    <row r="1507" spans="1:12" x14ac:dyDescent="0.3">
      <c r="A1507" s="1">
        <v>40997</v>
      </c>
      <c r="B1507" s="1">
        <v>40999</v>
      </c>
      <c r="C1507" t="s">
        <v>1506</v>
      </c>
      <c r="D1507" t="s">
        <v>44</v>
      </c>
      <c r="E1507" t="s">
        <v>1507</v>
      </c>
      <c r="F1507">
        <v>9.8699999999999992</v>
      </c>
      <c r="G1507">
        <v>3</v>
      </c>
      <c r="H1507">
        <v>4.5401999999999996</v>
      </c>
      <c r="I1507">
        <v>2</v>
      </c>
      <c r="J1507">
        <v>2012</v>
      </c>
      <c r="K1507" t="s">
        <v>2208</v>
      </c>
      <c r="L1507" t="str">
        <f>TEXT(maintable_2[[#This Row],[Order Date]],"mmmm")</f>
        <v>March</v>
      </c>
    </row>
    <row r="1508" spans="1:12" x14ac:dyDescent="0.3">
      <c r="A1508" s="1">
        <v>40997</v>
      </c>
      <c r="B1508" s="1">
        <v>40999</v>
      </c>
      <c r="C1508" t="s">
        <v>1506</v>
      </c>
      <c r="D1508" t="s">
        <v>37</v>
      </c>
      <c r="E1508" t="s">
        <v>775</v>
      </c>
      <c r="F1508">
        <v>53.25</v>
      </c>
      <c r="G1508">
        <v>3</v>
      </c>
      <c r="H1508">
        <v>20.767499999999998</v>
      </c>
      <c r="I1508">
        <v>2</v>
      </c>
      <c r="J1508">
        <v>2012</v>
      </c>
      <c r="K1508" t="s">
        <v>2208</v>
      </c>
      <c r="L1508" t="str">
        <f>TEXT(maintable_2[[#This Row],[Order Date]],"mmmm")</f>
        <v>March</v>
      </c>
    </row>
    <row r="1509" spans="1:12" x14ac:dyDescent="0.3">
      <c r="A1509" s="1">
        <v>40997</v>
      </c>
      <c r="B1509" s="1">
        <v>40999</v>
      </c>
      <c r="C1509" t="s">
        <v>1506</v>
      </c>
      <c r="D1509" t="s">
        <v>11</v>
      </c>
      <c r="E1509" t="s">
        <v>1508</v>
      </c>
      <c r="F1509">
        <v>19.920000000000002</v>
      </c>
      <c r="G1509">
        <v>3</v>
      </c>
      <c r="H1509">
        <v>9.5616000000000003</v>
      </c>
      <c r="I1509">
        <v>2</v>
      </c>
      <c r="J1509">
        <v>2012</v>
      </c>
      <c r="K1509" t="s">
        <v>2208</v>
      </c>
      <c r="L1509" t="str">
        <f>TEXT(maintable_2[[#This Row],[Order Date]],"mmmm")</f>
        <v>March</v>
      </c>
    </row>
    <row r="1510" spans="1:12" x14ac:dyDescent="0.3">
      <c r="A1510" s="1">
        <v>40957</v>
      </c>
      <c r="B1510" s="1">
        <v>40963</v>
      </c>
      <c r="C1510" t="s">
        <v>1261</v>
      </c>
      <c r="D1510" t="s">
        <v>8</v>
      </c>
      <c r="E1510" t="s">
        <v>600</v>
      </c>
      <c r="F1510">
        <v>61.06</v>
      </c>
      <c r="G1510">
        <v>2</v>
      </c>
      <c r="H1510">
        <v>28.087599999999998</v>
      </c>
      <c r="I1510">
        <v>6</v>
      </c>
      <c r="J1510">
        <v>2012</v>
      </c>
      <c r="K1510" t="s">
        <v>2210</v>
      </c>
      <c r="L1510" t="str">
        <f>TEXT(maintable_2[[#This Row],[Order Date]],"mmmm")</f>
        <v>February</v>
      </c>
    </row>
    <row r="1511" spans="1:12" x14ac:dyDescent="0.3">
      <c r="A1511" s="1">
        <v>40957</v>
      </c>
      <c r="B1511" s="1">
        <v>40963</v>
      </c>
      <c r="C1511" t="s">
        <v>1261</v>
      </c>
      <c r="D1511" t="s">
        <v>21</v>
      </c>
      <c r="E1511" t="s">
        <v>1509</v>
      </c>
      <c r="F1511">
        <v>35.543999999999997</v>
      </c>
      <c r="G1511">
        <v>1</v>
      </c>
      <c r="H1511">
        <v>-0.88859999999999995</v>
      </c>
      <c r="I1511">
        <v>6</v>
      </c>
      <c r="J1511">
        <v>2012</v>
      </c>
      <c r="K1511" t="s">
        <v>2210</v>
      </c>
      <c r="L1511" t="str">
        <f>TEXT(maintable_2[[#This Row],[Order Date]],"mmmm")</f>
        <v>February</v>
      </c>
    </row>
    <row r="1512" spans="1:12" x14ac:dyDescent="0.3">
      <c r="A1512" s="1">
        <v>41956</v>
      </c>
      <c r="B1512" s="1">
        <v>41960</v>
      </c>
      <c r="C1512" t="s">
        <v>1510</v>
      </c>
      <c r="D1512" t="s">
        <v>8</v>
      </c>
      <c r="E1512" t="s">
        <v>1511</v>
      </c>
      <c r="F1512">
        <v>9.9600000000000009</v>
      </c>
      <c r="G1512">
        <v>2</v>
      </c>
      <c r="H1512">
        <v>4.5815999999999999</v>
      </c>
      <c r="I1512">
        <v>4</v>
      </c>
      <c r="J1512">
        <v>2014</v>
      </c>
      <c r="K1512" t="s">
        <v>2209</v>
      </c>
      <c r="L1512" t="str">
        <f>TEXT(maintable_2[[#This Row],[Order Date]],"mmmm")</f>
        <v>November</v>
      </c>
    </row>
    <row r="1513" spans="1:12" x14ac:dyDescent="0.3">
      <c r="A1513" s="1">
        <v>41956</v>
      </c>
      <c r="B1513" s="1">
        <v>41960</v>
      </c>
      <c r="C1513" t="s">
        <v>1510</v>
      </c>
      <c r="D1513" t="s">
        <v>13</v>
      </c>
      <c r="E1513" t="s">
        <v>1512</v>
      </c>
      <c r="F1513">
        <v>9.2100000000000009</v>
      </c>
      <c r="G1513">
        <v>3</v>
      </c>
      <c r="H1513">
        <v>2.3025000000000002</v>
      </c>
      <c r="I1513">
        <v>4</v>
      </c>
      <c r="J1513">
        <v>2014</v>
      </c>
      <c r="K1513" t="s">
        <v>2209</v>
      </c>
      <c r="L1513" t="str">
        <f>TEXT(maintable_2[[#This Row],[Order Date]],"mmmm")</f>
        <v>November</v>
      </c>
    </row>
    <row r="1514" spans="1:12" x14ac:dyDescent="0.3">
      <c r="A1514" s="1">
        <v>41956</v>
      </c>
      <c r="B1514" s="1">
        <v>41960</v>
      </c>
      <c r="C1514" t="s">
        <v>1510</v>
      </c>
      <c r="D1514" t="s">
        <v>81</v>
      </c>
      <c r="E1514" t="s">
        <v>1513</v>
      </c>
      <c r="F1514">
        <v>27.93</v>
      </c>
      <c r="G1514">
        <v>3</v>
      </c>
      <c r="H1514">
        <v>8.0997000000000003</v>
      </c>
      <c r="I1514">
        <v>4</v>
      </c>
      <c r="J1514">
        <v>2014</v>
      </c>
      <c r="K1514" t="s">
        <v>2209</v>
      </c>
      <c r="L1514" t="str">
        <f>TEXT(maintable_2[[#This Row],[Order Date]],"mmmm")</f>
        <v>November</v>
      </c>
    </row>
    <row r="1515" spans="1:12" x14ac:dyDescent="0.3">
      <c r="A1515" s="1">
        <v>41337</v>
      </c>
      <c r="B1515" s="1">
        <v>41337</v>
      </c>
      <c r="C1515" t="s">
        <v>1514</v>
      </c>
      <c r="D1515" t="s">
        <v>81</v>
      </c>
      <c r="E1515" t="s">
        <v>1283</v>
      </c>
      <c r="F1515">
        <v>25.35</v>
      </c>
      <c r="G1515">
        <v>3</v>
      </c>
      <c r="H1515">
        <v>7.6050000000000004</v>
      </c>
      <c r="I1515">
        <v>0</v>
      </c>
      <c r="J1515">
        <v>2013</v>
      </c>
      <c r="K1515" t="s">
        <v>2208</v>
      </c>
      <c r="L1515" t="str">
        <f>TEXT(maintable_2[[#This Row],[Order Date]],"mmmm")</f>
        <v>March</v>
      </c>
    </row>
    <row r="1516" spans="1:12" x14ac:dyDescent="0.3">
      <c r="A1516" s="1">
        <v>41337</v>
      </c>
      <c r="B1516" s="1">
        <v>41337</v>
      </c>
      <c r="C1516" t="s">
        <v>1514</v>
      </c>
      <c r="D1516" t="s">
        <v>11</v>
      </c>
      <c r="E1516" t="s">
        <v>1366</v>
      </c>
      <c r="F1516">
        <v>35.28</v>
      </c>
      <c r="G1516">
        <v>3</v>
      </c>
      <c r="H1516">
        <v>11.995200000000001</v>
      </c>
      <c r="I1516">
        <v>0</v>
      </c>
      <c r="J1516">
        <v>2013</v>
      </c>
      <c r="K1516" t="s">
        <v>2208</v>
      </c>
      <c r="L1516" t="str">
        <f>TEXT(maintable_2[[#This Row],[Order Date]],"mmmm")</f>
        <v>March</v>
      </c>
    </row>
    <row r="1517" spans="1:12" x14ac:dyDescent="0.3">
      <c r="A1517" s="1">
        <v>41633</v>
      </c>
      <c r="B1517" s="1">
        <v>41634</v>
      </c>
      <c r="C1517" t="s">
        <v>1515</v>
      </c>
      <c r="D1517" t="s">
        <v>44</v>
      </c>
      <c r="E1517" t="s">
        <v>548</v>
      </c>
      <c r="F1517">
        <v>33.4</v>
      </c>
      <c r="G1517">
        <v>5</v>
      </c>
      <c r="H1517">
        <v>16.032</v>
      </c>
      <c r="I1517">
        <v>1</v>
      </c>
      <c r="J1517">
        <v>2013</v>
      </c>
      <c r="K1517" t="s">
        <v>2207</v>
      </c>
      <c r="L1517" t="str">
        <f>TEXT(maintable_2[[#This Row],[Order Date]],"mmmm")</f>
        <v>December</v>
      </c>
    </row>
    <row r="1518" spans="1:12" x14ac:dyDescent="0.3">
      <c r="A1518" s="1">
        <v>41555</v>
      </c>
      <c r="B1518" s="1">
        <v>41557</v>
      </c>
      <c r="C1518" t="s">
        <v>489</v>
      </c>
      <c r="D1518" t="s">
        <v>494</v>
      </c>
      <c r="E1518" t="s">
        <v>1159</v>
      </c>
      <c r="F1518">
        <v>837.6</v>
      </c>
      <c r="G1518">
        <v>3</v>
      </c>
      <c r="H1518">
        <v>62.82</v>
      </c>
      <c r="I1518">
        <v>2</v>
      </c>
      <c r="J1518">
        <v>2013</v>
      </c>
      <c r="K1518" t="s">
        <v>2209</v>
      </c>
      <c r="L1518" t="str">
        <f>TEXT(maintable_2[[#This Row],[Order Date]],"mmmm")</f>
        <v>October</v>
      </c>
    </row>
    <row r="1519" spans="1:12" x14ac:dyDescent="0.3">
      <c r="A1519" s="1">
        <v>40803</v>
      </c>
      <c r="B1519" s="1">
        <v>40807</v>
      </c>
      <c r="C1519" t="s">
        <v>1516</v>
      </c>
      <c r="D1519" t="s">
        <v>86</v>
      </c>
      <c r="E1519" t="s">
        <v>1517</v>
      </c>
      <c r="F1519">
        <v>182.94</v>
      </c>
      <c r="G1519">
        <v>3</v>
      </c>
      <c r="H1519">
        <v>85.981800000000007</v>
      </c>
      <c r="I1519">
        <v>4</v>
      </c>
      <c r="J1519">
        <v>2011</v>
      </c>
      <c r="K1519" t="s">
        <v>2209</v>
      </c>
      <c r="L1519" t="str">
        <f>TEXT(maintable_2[[#This Row],[Order Date]],"mmmm")</f>
        <v>September</v>
      </c>
    </row>
    <row r="1520" spans="1:12" x14ac:dyDescent="0.3">
      <c r="A1520" s="1">
        <v>41968</v>
      </c>
      <c r="B1520" s="1">
        <v>41971</v>
      </c>
      <c r="C1520" t="s">
        <v>382</v>
      </c>
      <c r="D1520" t="s">
        <v>13</v>
      </c>
      <c r="E1520" t="s">
        <v>1518</v>
      </c>
      <c r="F1520">
        <v>27.76</v>
      </c>
      <c r="G1520">
        <v>4</v>
      </c>
      <c r="H1520">
        <v>9.9936000000000007</v>
      </c>
      <c r="I1520">
        <v>3</v>
      </c>
      <c r="J1520">
        <v>2014</v>
      </c>
      <c r="K1520" t="s">
        <v>2209</v>
      </c>
      <c r="L1520" t="str">
        <f>TEXT(maintable_2[[#This Row],[Order Date]],"mmmm")</f>
        <v>November</v>
      </c>
    </row>
    <row r="1521" spans="1:12" x14ac:dyDescent="0.3">
      <c r="A1521" s="1">
        <v>41537</v>
      </c>
      <c r="B1521" s="1">
        <v>41542</v>
      </c>
      <c r="C1521" t="s">
        <v>536</v>
      </c>
      <c r="D1521" t="s">
        <v>17</v>
      </c>
      <c r="E1521" t="s">
        <v>335</v>
      </c>
      <c r="F1521">
        <v>11.952</v>
      </c>
      <c r="G1521">
        <v>3</v>
      </c>
      <c r="H1521">
        <v>4.1832000000000003</v>
      </c>
      <c r="I1521">
        <v>5</v>
      </c>
      <c r="J1521">
        <v>2013</v>
      </c>
      <c r="K1521" t="s">
        <v>2209</v>
      </c>
      <c r="L1521" t="str">
        <f>TEXT(maintable_2[[#This Row],[Order Date]],"mmmm")</f>
        <v>September</v>
      </c>
    </row>
    <row r="1522" spans="1:12" x14ac:dyDescent="0.3">
      <c r="A1522" s="1">
        <v>41537</v>
      </c>
      <c r="B1522" s="1">
        <v>41542</v>
      </c>
      <c r="C1522" t="s">
        <v>536</v>
      </c>
      <c r="D1522" t="s">
        <v>81</v>
      </c>
      <c r="E1522" t="s">
        <v>1519</v>
      </c>
      <c r="F1522">
        <v>6.24</v>
      </c>
      <c r="G1522">
        <v>3</v>
      </c>
      <c r="H1522">
        <v>1.8720000000000001</v>
      </c>
      <c r="I1522">
        <v>5</v>
      </c>
      <c r="J1522">
        <v>2013</v>
      </c>
      <c r="K1522" t="s">
        <v>2209</v>
      </c>
      <c r="L1522" t="str">
        <f>TEXT(maintable_2[[#This Row],[Order Date]],"mmmm")</f>
        <v>September</v>
      </c>
    </row>
    <row r="1523" spans="1:12" x14ac:dyDescent="0.3">
      <c r="A1523" s="1">
        <v>40847</v>
      </c>
      <c r="B1523" s="1">
        <v>40850</v>
      </c>
      <c r="C1523" t="s">
        <v>1372</v>
      </c>
      <c r="D1523" t="s">
        <v>15</v>
      </c>
      <c r="E1523" t="s">
        <v>456</v>
      </c>
      <c r="F1523">
        <v>742.33600000000001</v>
      </c>
      <c r="G1523">
        <v>8</v>
      </c>
      <c r="H1523">
        <v>83.512799999999999</v>
      </c>
      <c r="I1523">
        <v>3</v>
      </c>
      <c r="J1523">
        <v>2011</v>
      </c>
      <c r="K1523" t="s">
        <v>2209</v>
      </c>
      <c r="L1523" t="str">
        <f>TEXT(maintable_2[[#This Row],[Order Date]],"mmmm")</f>
        <v>October</v>
      </c>
    </row>
    <row r="1524" spans="1:12" x14ac:dyDescent="0.3">
      <c r="A1524" s="1">
        <v>41960</v>
      </c>
      <c r="B1524" s="1">
        <v>41965</v>
      </c>
      <c r="C1524" t="s">
        <v>1384</v>
      </c>
      <c r="D1524" t="s">
        <v>13</v>
      </c>
      <c r="E1524" t="s">
        <v>1498</v>
      </c>
      <c r="F1524">
        <v>23.36</v>
      </c>
      <c r="G1524">
        <v>4</v>
      </c>
      <c r="H1524">
        <v>6.0735999999999999</v>
      </c>
      <c r="I1524">
        <v>5</v>
      </c>
      <c r="J1524">
        <v>2014</v>
      </c>
      <c r="K1524" t="s">
        <v>2209</v>
      </c>
      <c r="L1524" t="str">
        <f>TEXT(maintable_2[[#This Row],[Order Date]],"mmmm")</f>
        <v>November</v>
      </c>
    </row>
    <row r="1525" spans="1:12" x14ac:dyDescent="0.3">
      <c r="A1525" s="1">
        <v>41254</v>
      </c>
      <c r="B1525" s="1">
        <v>41259</v>
      </c>
      <c r="C1525" t="s">
        <v>24</v>
      </c>
      <c r="D1525" t="s">
        <v>13</v>
      </c>
      <c r="E1525" t="s">
        <v>1520</v>
      </c>
      <c r="F1525">
        <v>13.12</v>
      </c>
      <c r="G1525">
        <v>5</v>
      </c>
      <c r="H1525">
        <v>1.1479999999999999</v>
      </c>
      <c r="I1525">
        <v>5</v>
      </c>
      <c r="J1525">
        <v>2012</v>
      </c>
      <c r="K1525" t="s">
        <v>2207</v>
      </c>
      <c r="L1525" t="str">
        <f>TEXT(maintable_2[[#This Row],[Order Date]],"mmmm")</f>
        <v>December</v>
      </c>
    </row>
    <row r="1526" spans="1:12" x14ac:dyDescent="0.3">
      <c r="A1526" s="1">
        <v>41254</v>
      </c>
      <c r="B1526" s="1">
        <v>41259</v>
      </c>
      <c r="C1526" t="s">
        <v>24</v>
      </c>
      <c r="D1526" t="s">
        <v>196</v>
      </c>
      <c r="E1526" t="s">
        <v>1521</v>
      </c>
      <c r="F1526">
        <v>69.575999999999993</v>
      </c>
      <c r="G1526">
        <v>4</v>
      </c>
      <c r="H1526">
        <v>-143.79040000000001</v>
      </c>
      <c r="I1526">
        <v>5</v>
      </c>
      <c r="J1526">
        <v>2012</v>
      </c>
      <c r="K1526" t="s">
        <v>2207</v>
      </c>
      <c r="L1526" t="str">
        <f>TEXT(maintable_2[[#This Row],[Order Date]],"mmmm")</f>
        <v>December</v>
      </c>
    </row>
    <row r="1527" spans="1:12" x14ac:dyDescent="0.3">
      <c r="A1527" s="1">
        <v>41254</v>
      </c>
      <c r="B1527" s="1">
        <v>41259</v>
      </c>
      <c r="C1527" t="s">
        <v>24</v>
      </c>
      <c r="D1527" t="s">
        <v>13</v>
      </c>
      <c r="E1527" t="s">
        <v>482</v>
      </c>
      <c r="F1527">
        <v>4.2240000000000002</v>
      </c>
      <c r="G1527">
        <v>3</v>
      </c>
      <c r="H1527">
        <v>0.47520000000000001</v>
      </c>
      <c r="I1527">
        <v>5</v>
      </c>
      <c r="J1527">
        <v>2012</v>
      </c>
      <c r="K1527" t="s">
        <v>2207</v>
      </c>
      <c r="L1527" t="str">
        <f>TEXT(maintable_2[[#This Row],[Order Date]],"mmmm")</f>
        <v>December</v>
      </c>
    </row>
    <row r="1528" spans="1:12" x14ac:dyDescent="0.3">
      <c r="A1528" s="1">
        <v>41254</v>
      </c>
      <c r="B1528" s="1">
        <v>41259</v>
      </c>
      <c r="C1528" t="s">
        <v>24</v>
      </c>
      <c r="D1528" t="s">
        <v>37</v>
      </c>
      <c r="E1528" t="s">
        <v>1522</v>
      </c>
      <c r="F1528">
        <v>58.08</v>
      </c>
      <c r="G1528">
        <v>4</v>
      </c>
      <c r="H1528">
        <v>-6.5339999999999998</v>
      </c>
      <c r="I1528">
        <v>5</v>
      </c>
      <c r="J1528">
        <v>2012</v>
      </c>
      <c r="K1528" t="s">
        <v>2207</v>
      </c>
      <c r="L1528" t="str">
        <f>TEXT(maintable_2[[#This Row],[Order Date]],"mmmm")</f>
        <v>December</v>
      </c>
    </row>
    <row r="1529" spans="1:12" x14ac:dyDescent="0.3">
      <c r="A1529" s="1">
        <v>41254</v>
      </c>
      <c r="B1529" s="1">
        <v>41259</v>
      </c>
      <c r="C1529" t="s">
        <v>24</v>
      </c>
      <c r="D1529" t="s">
        <v>11</v>
      </c>
      <c r="E1529" t="s">
        <v>1523</v>
      </c>
      <c r="F1529">
        <v>52.415999999999997</v>
      </c>
      <c r="G1529">
        <v>9</v>
      </c>
      <c r="H1529">
        <v>15.069599999999999</v>
      </c>
      <c r="I1529">
        <v>5</v>
      </c>
      <c r="J1529">
        <v>2012</v>
      </c>
      <c r="K1529" t="s">
        <v>2207</v>
      </c>
      <c r="L1529" t="str">
        <f>TEXT(maintable_2[[#This Row],[Order Date]],"mmmm")</f>
        <v>December</v>
      </c>
    </row>
    <row r="1530" spans="1:12" x14ac:dyDescent="0.3">
      <c r="A1530" s="1">
        <v>41254</v>
      </c>
      <c r="B1530" s="1">
        <v>41259</v>
      </c>
      <c r="C1530" t="s">
        <v>24</v>
      </c>
      <c r="D1530" t="s">
        <v>11</v>
      </c>
      <c r="E1530" t="s">
        <v>1524</v>
      </c>
      <c r="F1530">
        <v>54.92</v>
      </c>
      <c r="G1530">
        <v>5</v>
      </c>
      <c r="H1530">
        <v>10.984</v>
      </c>
      <c r="I1530">
        <v>5</v>
      </c>
      <c r="J1530">
        <v>2012</v>
      </c>
      <c r="K1530" t="s">
        <v>2207</v>
      </c>
      <c r="L1530" t="str">
        <f>TEXT(maintable_2[[#This Row],[Order Date]],"mmmm")</f>
        <v>December</v>
      </c>
    </row>
    <row r="1531" spans="1:12" x14ac:dyDescent="0.3">
      <c r="A1531" s="1">
        <v>41254</v>
      </c>
      <c r="B1531" s="1">
        <v>41259</v>
      </c>
      <c r="C1531" t="s">
        <v>24</v>
      </c>
      <c r="D1531" t="s">
        <v>21</v>
      </c>
      <c r="E1531" t="s">
        <v>972</v>
      </c>
      <c r="F1531">
        <v>364.95</v>
      </c>
      <c r="G1531">
        <v>5</v>
      </c>
      <c r="H1531">
        <v>-248.166</v>
      </c>
      <c r="I1531">
        <v>5</v>
      </c>
      <c r="J1531">
        <v>2012</v>
      </c>
      <c r="K1531" t="s">
        <v>2207</v>
      </c>
      <c r="L1531" t="str">
        <f>TEXT(maintable_2[[#This Row],[Order Date]],"mmmm")</f>
        <v>December</v>
      </c>
    </row>
    <row r="1532" spans="1:12" x14ac:dyDescent="0.3">
      <c r="A1532" s="1">
        <v>41254</v>
      </c>
      <c r="B1532" s="1">
        <v>41259</v>
      </c>
      <c r="C1532" t="s">
        <v>24</v>
      </c>
      <c r="D1532" t="s">
        <v>44</v>
      </c>
      <c r="E1532" t="s">
        <v>1525</v>
      </c>
      <c r="F1532">
        <v>85.055999999999997</v>
      </c>
      <c r="G1532">
        <v>3</v>
      </c>
      <c r="H1532">
        <v>28.706399999999999</v>
      </c>
      <c r="I1532">
        <v>5</v>
      </c>
      <c r="J1532">
        <v>2012</v>
      </c>
      <c r="K1532" t="s">
        <v>2207</v>
      </c>
      <c r="L1532" t="str">
        <f>TEXT(maintable_2[[#This Row],[Order Date]],"mmmm")</f>
        <v>December</v>
      </c>
    </row>
    <row r="1533" spans="1:12" x14ac:dyDescent="0.3">
      <c r="A1533" s="1">
        <v>41254</v>
      </c>
      <c r="B1533" s="1">
        <v>41259</v>
      </c>
      <c r="C1533" t="s">
        <v>24</v>
      </c>
      <c r="D1533" t="s">
        <v>44</v>
      </c>
      <c r="E1533" t="s">
        <v>1526</v>
      </c>
      <c r="F1533">
        <v>27.696000000000002</v>
      </c>
      <c r="G1533">
        <v>3</v>
      </c>
      <c r="H1533">
        <v>9.6936</v>
      </c>
      <c r="I1533">
        <v>5</v>
      </c>
      <c r="J1533">
        <v>2012</v>
      </c>
      <c r="K1533" t="s">
        <v>2207</v>
      </c>
      <c r="L1533" t="str">
        <f>TEXT(maintable_2[[#This Row],[Order Date]],"mmmm")</f>
        <v>December</v>
      </c>
    </row>
    <row r="1534" spans="1:12" x14ac:dyDescent="0.3">
      <c r="A1534" s="1">
        <v>40984</v>
      </c>
      <c r="B1534" s="1">
        <v>40991</v>
      </c>
      <c r="C1534" t="s">
        <v>1527</v>
      </c>
      <c r="D1534" t="s">
        <v>11</v>
      </c>
      <c r="E1534" t="s">
        <v>1356</v>
      </c>
      <c r="F1534">
        <v>43.13</v>
      </c>
      <c r="G1534">
        <v>1</v>
      </c>
      <c r="H1534">
        <v>18.114599999999999</v>
      </c>
      <c r="I1534">
        <v>7</v>
      </c>
      <c r="J1534">
        <v>2012</v>
      </c>
      <c r="K1534" t="s">
        <v>2208</v>
      </c>
      <c r="L1534" t="str">
        <f>TEXT(maintable_2[[#This Row],[Order Date]],"mmmm")</f>
        <v>March</v>
      </c>
    </row>
    <row r="1535" spans="1:12" x14ac:dyDescent="0.3">
      <c r="A1535" s="1">
        <v>41235</v>
      </c>
      <c r="B1535" s="1">
        <v>41238</v>
      </c>
      <c r="C1535" t="s">
        <v>1528</v>
      </c>
      <c r="D1535" t="s">
        <v>44</v>
      </c>
      <c r="E1535" t="s">
        <v>712</v>
      </c>
      <c r="F1535">
        <v>37.94</v>
      </c>
      <c r="G1535">
        <v>2</v>
      </c>
      <c r="H1535">
        <v>18.211200000000002</v>
      </c>
      <c r="I1535">
        <v>3</v>
      </c>
      <c r="J1535">
        <v>2012</v>
      </c>
      <c r="K1535" t="s">
        <v>2209</v>
      </c>
      <c r="L1535" t="str">
        <f>TEXT(maintable_2[[#This Row],[Order Date]],"mmmm")</f>
        <v>November</v>
      </c>
    </row>
    <row r="1536" spans="1:12" x14ac:dyDescent="0.3">
      <c r="A1536" s="1">
        <v>41235</v>
      </c>
      <c r="B1536" s="1">
        <v>41238</v>
      </c>
      <c r="C1536" t="s">
        <v>1528</v>
      </c>
      <c r="D1536" t="s">
        <v>44</v>
      </c>
      <c r="E1536" t="s">
        <v>1172</v>
      </c>
      <c r="F1536">
        <v>42.8</v>
      </c>
      <c r="G1536">
        <v>10</v>
      </c>
      <c r="H1536">
        <v>19.260000000000002</v>
      </c>
      <c r="I1536">
        <v>3</v>
      </c>
      <c r="J1536">
        <v>2012</v>
      </c>
      <c r="K1536" t="s">
        <v>2209</v>
      </c>
      <c r="L1536" t="str">
        <f>TEXT(maintable_2[[#This Row],[Order Date]],"mmmm")</f>
        <v>November</v>
      </c>
    </row>
    <row r="1537" spans="1:12" x14ac:dyDescent="0.3">
      <c r="A1537" s="1">
        <v>41235</v>
      </c>
      <c r="B1537" s="1">
        <v>41238</v>
      </c>
      <c r="C1537" t="s">
        <v>1528</v>
      </c>
      <c r="D1537" t="s">
        <v>27</v>
      </c>
      <c r="E1537" t="s">
        <v>1529</v>
      </c>
      <c r="F1537">
        <v>33.630000000000003</v>
      </c>
      <c r="G1537">
        <v>3</v>
      </c>
      <c r="H1537">
        <v>10.089</v>
      </c>
      <c r="I1537">
        <v>3</v>
      </c>
      <c r="J1537">
        <v>2012</v>
      </c>
      <c r="K1537" t="s">
        <v>2209</v>
      </c>
      <c r="L1537" t="str">
        <f>TEXT(maintable_2[[#This Row],[Order Date]],"mmmm")</f>
        <v>November</v>
      </c>
    </row>
    <row r="1538" spans="1:12" x14ac:dyDescent="0.3">
      <c r="A1538" s="1">
        <v>41403</v>
      </c>
      <c r="B1538" s="1">
        <v>41405</v>
      </c>
      <c r="C1538" t="s">
        <v>1425</v>
      </c>
      <c r="D1538" t="s">
        <v>44</v>
      </c>
      <c r="E1538" t="s">
        <v>103</v>
      </c>
      <c r="F1538">
        <v>17.940000000000001</v>
      </c>
      <c r="G1538">
        <v>3</v>
      </c>
      <c r="H1538">
        <v>8.0730000000000004</v>
      </c>
      <c r="I1538">
        <v>2</v>
      </c>
      <c r="J1538">
        <v>2013</v>
      </c>
      <c r="K1538" t="s">
        <v>2208</v>
      </c>
      <c r="L1538" t="str">
        <f>TEXT(maintable_2[[#This Row],[Order Date]],"mmmm")</f>
        <v>May</v>
      </c>
    </row>
    <row r="1539" spans="1:12" x14ac:dyDescent="0.3">
      <c r="A1539" s="1">
        <v>41466</v>
      </c>
      <c r="B1539" s="1">
        <v>41467</v>
      </c>
      <c r="C1539" t="s">
        <v>357</v>
      </c>
      <c r="D1539" t="s">
        <v>17</v>
      </c>
      <c r="E1539" t="s">
        <v>244</v>
      </c>
      <c r="F1539">
        <v>44.856000000000002</v>
      </c>
      <c r="G1539">
        <v>6</v>
      </c>
      <c r="H1539">
        <v>-35.884799999999998</v>
      </c>
      <c r="I1539">
        <v>1</v>
      </c>
      <c r="J1539">
        <v>2013</v>
      </c>
      <c r="K1539" t="s">
        <v>2206</v>
      </c>
      <c r="L1539" t="str">
        <f>TEXT(maintable_2[[#This Row],[Order Date]],"mmmm")</f>
        <v>July</v>
      </c>
    </row>
    <row r="1540" spans="1:12" x14ac:dyDescent="0.3">
      <c r="A1540" s="1">
        <v>41956</v>
      </c>
      <c r="B1540" s="1">
        <v>41959</v>
      </c>
      <c r="C1540" t="s">
        <v>1530</v>
      </c>
      <c r="D1540" t="s">
        <v>17</v>
      </c>
      <c r="E1540" t="s">
        <v>1531</v>
      </c>
      <c r="F1540">
        <v>14.016</v>
      </c>
      <c r="G1540">
        <v>4</v>
      </c>
      <c r="H1540">
        <v>4.9055999999999997</v>
      </c>
      <c r="I1540">
        <v>3</v>
      </c>
      <c r="J1540">
        <v>2014</v>
      </c>
      <c r="K1540" t="s">
        <v>2209</v>
      </c>
      <c r="L1540" t="str">
        <f>TEXT(maintable_2[[#This Row],[Order Date]],"mmmm")</f>
        <v>November</v>
      </c>
    </row>
    <row r="1541" spans="1:12" x14ac:dyDescent="0.3">
      <c r="A1541" s="1">
        <v>41918</v>
      </c>
      <c r="B1541" s="1">
        <v>41923</v>
      </c>
      <c r="C1541" t="s">
        <v>648</v>
      </c>
      <c r="D1541" t="s">
        <v>17</v>
      </c>
      <c r="E1541" t="s">
        <v>818</v>
      </c>
      <c r="F1541">
        <v>39.92</v>
      </c>
      <c r="G1541">
        <v>5</v>
      </c>
      <c r="H1541">
        <v>13.473000000000001</v>
      </c>
      <c r="I1541">
        <v>5</v>
      </c>
      <c r="J1541">
        <v>2014</v>
      </c>
      <c r="K1541" t="s">
        <v>2209</v>
      </c>
      <c r="L1541" t="str">
        <f>TEXT(maintable_2[[#This Row],[Order Date]],"mmmm")</f>
        <v>October</v>
      </c>
    </row>
    <row r="1542" spans="1:12" x14ac:dyDescent="0.3">
      <c r="A1542" s="1">
        <v>41918</v>
      </c>
      <c r="B1542" s="1">
        <v>41923</v>
      </c>
      <c r="C1542" t="s">
        <v>648</v>
      </c>
      <c r="D1542" t="s">
        <v>44</v>
      </c>
      <c r="E1542" t="s">
        <v>1086</v>
      </c>
      <c r="F1542">
        <v>61.96</v>
      </c>
      <c r="G1542">
        <v>2</v>
      </c>
      <c r="H1542">
        <v>27.882000000000001</v>
      </c>
      <c r="I1542">
        <v>5</v>
      </c>
      <c r="J1542">
        <v>2014</v>
      </c>
      <c r="K1542" t="s">
        <v>2209</v>
      </c>
      <c r="L1542" t="str">
        <f>TEXT(maintable_2[[#This Row],[Order Date]],"mmmm")</f>
        <v>October</v>
      </c>
    </row>
    <row r="1543" spans="1:12" x14ac:dyDescent="0.3">
      <c r="A1543" s="1">
        <v>41918</v>
      </c>
      <c r="B1543" s="1">
        <v>41923</v>
      </c>
      <c r="C1543" t="s">
        <v>648</v>
      </c>
      <c r="D1543" t="s">
        <v>17</v>
      </c>
      <c r="E1543" t="s">
        <v>458</v>
      </c>
      <c r="F1543">
        <v>19.936</v>
      </c>
      <c r="G1543">
        <v>4</v>
      </c>
      <c r="H1543">
        <v>7.2267999999999999</v>
      </c>
      <c r="I1543">
        <v>5</v>
      </c>
      <c r="J1543">
        <v>2014</v>
      </c>
      <c r="K1543" t="s">
        <v>2209</v>
      </c>
      <c r="L1543" t="str">
        <f>TEXT(maintable_2[[#This Row],[Order Date]],"mmmm")</f>
        <v>October</v>
      </c>
    </row>
    <row r="1544" spans="1:12" x14ac:dyDescent="0.3">
      <c r="A1544" s="1">
        <v>40637</v>
      </c>
      <c r="B1544" s="1">
        <v>40638</v>
      </c>
      <c r="C1544" t="s">
        <v>114</v>
      </c>
      <c r="D1544" t="s">
        <v>17</v>
      </c>
      <c r="E1544" t="s">
        <v>165</v>
      </c>
      <c r="F1544">
        <v>7.1840000000000002</v>
      </c>
      <c r="G1544">
        <v>2</v>
      </c>
      <c r="H1544">
        <v>2.2450000000000001</v>
      </c>
      <c r="I1544">
        <v>1</v>
      </c>
      <c r="J1544">
        <v>2011</v>
      </c>
      <c r="K1544" t="s">
        <v>2208</v>
      </c>
      <c r="L1544" t="str">
        <f>TEXT(maintable_2[[#This Row],[Order Date]],"mmmm")</f>
        <v>April</v>
      </c>
    </row>
    <row r="1545" spans="1:12" x14ac:dyDescent="0.3">
      <c r="A1545" s="1">
        <v>40719</v>
      </c>
      <c r="B1545" s="1">
        <v>40721</v>
      </c>
      <c r="C1545" t="s">
        <v>159</v>
      </c>
      <c r="D1545" t="s">
        <v>15</v>
      </c>
      <c r="E1545" t="s">
        <v>1532</v>
      </c>
      <c r="F1545">
        <v>263.95999999999998</v>
      </c>
      <c r="G1545">
        <v>5</v>
      </c>
      <c r="H1545">
        <v>19.797000000000001</v>
      </c>
      <c r="I1545">
        <v>2</v>
      </c>
      <c r="J1545">
        <v>2011</v>
      </c>
      <c r="K1545" t="s">
        <v>2206</v>
      </c>
      <c r="L1545" t="str">
        <f>TEXT(maintable_2[[#This Row],[Order Date]],"mmmm")</f>
        <v>June</v>
      </c>
    </row>
    <row r="1546" spans="1:12" x14ac:dyDescent="0.3">
      <c r="A1546" s="1">
        <v>40719</v>
      </c>
      <c r="B1546" s="1">
        <v>40721</v>
      </c>
      <c r="C1546" t="s">
        <v>159</v>
      </c>
      <c r="D1546" t="s">
        <v>13</v>
      </c>
      <c r="E1546" t="s">
        <v>1533</v>
      </c>
      <c r="F1546">
        <v>71.632000000000005</v>
      </c>
      <c r="G1546">
        <v>11</v>
      </c>
      <c r="H1546">
        <v>17.908000000000001</v>
      </c>
      <c r="I1546">
        <v>2</v>
      </c>
      <c r="J1546">
        <v>2011</v>
      </c>
      <c r="K1546" t="s">
        <v>2206</v>
      </c>
      <c r="L1546" t="str">
        <f>TEXT(maintable_2[[#This Row],[Order Date]],"mmmm")</f>
        <v>June</v>
      </c>
    </row>
    <row r="1547" spans="1:12" x14ac:dyDescent="0.3">
      <c r="A1547" s="1">
        <v>40719</v>
      </c>
      <c r="B1547" s="1">
        <v>40721</v>
      </c>
      <c r="C1547" t="s">
        <v>159</v>
      </c>
      <c r="D1547" t="s">
        <v>13</v>
      </c>
      <c r="E1547" t="s">
        <v>1534</v>
      </c>
      <c r="F1547">
        <v>9.3279999999999994</v>
      </c>
      <c r="G1547">
        <v>1</v>
      </c>
      <c r="H1547">
        <v>0.81620000000000004</v>
      </c>
      <c r="I1547">
        <v>2</v>
      </c>
      <c r="J1547">
        <v>2011</v>
      </c>
      <c r="K1547" t="s">
        <v>2206</v>
      </c>
      <c r="L1547" t="str">
        <f>TEXT(maintable_2[[#This Row],[Order Date]],"mmmm")</f>
        <v>June</v>
      </c>
    </row>
    <row r="1548" spans="1:12" x14ac:dyDescent="0.3">
      <c r="A1548" s="1">
        <v>40794</v>
      </c>
      <c r="B1548" s="1">
        <v>40800</v>
      </c>
      <c r="C1548" t="s">
        <v>810</v>
      </c>
      <c r="D1548" t="s">
        <v>13</v>
      </c>
      <c r="E1548" t="s">
        <v>738</v>
      </c>
      <c r="F1548">
        <v>5.88</v>
      </c>
      <c r="G1548">
        <v>2</v>
      </c>
      <c r="H1548">
        <v>2.6459999999999999</v>
      </c>
      <c r="I1548">
        <v>6</v>
      </c>
      <c r="J1548">
        <v>2011</v>
      </c>
      <c r="K1548" t="s">
        <v>2209</v>
      </c>
      <c r="L1548" t="str">
        <f>TEXT(maintable_2[[#This Row],[Order Date]],"mmmm")</f>
        <v>September</v>
      </c>
    </row>
    <row r="1549" spans="1:12" x14ac:dyDescent="0.3">
      <c r="A1549" s="1">
        <v>40794</v>
      </c>
      <c r="B1549" s="1">
        <v>40800</v>
      </c>
      <c r="C1549" t="s">
        <v>810</v>
      </c>
      <c r="D1549" t="s">
        <v>71</v>
      </c>
      <c r="E1549" t="s">
        <v>1535</v>
      </c>
      <c r="F1549">
        <v>975.92</v>
      </c>
      <c r="G1549">
        <v>5</v>
      </c>
      <c r="H1549">
        <v>121.99</v>
      </c>
      <c r="I1549">
        <v>6</v>
      </c>
      <c r="J1549">
        <v>2011</v>
      </c>
      <c r="K1549" t="s">
        <v>2209</v>
      </c>
      <c r="L1549" t="str">
        <f>TEXT(maintable_2[[#This Row],[Order Date]],"mmmm")</f>
        <v>September</v>
      </c>
    </row>
    <row r="1550" spans="1:12" x14ac:dyDescent="0.3">
      <c r="A1550" s="1">
        <v>40794</v>
      </c>
      <c r="B1550" s="1">
        <v>40800</v>
      </c>
      <c r="C1550" t="s">
        <v>810</v>
      </c>
      <c r="D1550" t="s">
        <v>13</v>
      </c>
      <c r="E1550" t="s">
        <v>1536</v>
      </c>
      <c r="F1550">
        <v>303.83999999999997</v>
      </c>
      <c r="G1550">
        <v>8</v>
      </c>
      <c r="H1550">
        <v>91.152000000000001</v>
      </c>
      <c r="I1550">
        <v>6</v>
      </c>
      <c r="J1550">
        <v>2011</v>
      </c>
      <c r="K1550" t="s">
        <v>2209</v>
      </c>
      <c r="L1550" t="str">
        <f>TEXT(maintable_2[[#This Row],[Order Date]],"mmmm")</f>
        <v>September</v>
      </c>
    </row>
    <row r="1551" spans="1:12" x14ac:dyDescent="0.3">
      <c r="A1551" s="1">
        <v>40794</v>
      </c>
      <c r="B1551" s="1">
        <v>40800</v>
      </c>
      <c r="C1551" t="s">
        <v>810</v>
      </c>
      <c r="D1551" t="s">
        <v>27</v>
      </c>
      <c r="E1551" t="s">
        <v>341</v>
      </c>
      <c r="F1551">
        <v>485.88</v>
      </c>
      <c r="G1551">
        <v>6</v>
      </c>
      <c r="H1551">
        <v>19.435199999999998</v>
      </c>
      <c r="I1551">
        <v>6</v>
      </c>
      <c r="J1551">
        <v>2011</v>
      </c>
      <c r="K1551" t="s">
        <v>2209</v>
      </c>
      <c r="L1551" t="str">
        <f>TEXT(maintable_2[[#This Row],[Order Date]],"mmmm")</f>
        <v>September</v>
      </c>
    </row>
    <row r="1552" spans="1:12" x14ac:dyDescent="0.3">
      <c r="A1552" s="1">
        <v>40889</v>
      </c>
      <c r="B1552" s="1">
        <v>40892</v>
      </c>
      <c r="C1552" t="s">
        <v>126</v>
      </c>
      <c r="D1552" t="s">
        <v>11</v>
      </c>
      <c r="E1552" t="s">
        <v>633</v>
      </c>
      <c r="F1552">
        <v>12.54</v>
      </c>
      <c r="G1552">
        <v>3</v>
      </c>
      <c r="H1552">
        <v>4.5144000000000002</v>
      </c>
      <c r="I1552">
        <v>3</v>
      </c>
      <c r="J1552">
        <v>2011</v>
      </c>
      <c r="K1552" t="s">
        <v>2207</v>
      </c>
      <c r="L1552" t="str">
        <f>TEXT(maintable_2[[#This Row],[Order Date]],"mmmm")</f>
        <v>December</v>
      </c>
    </row>
    <row r="1553" spans="1:12" x14ac:dyDescent="0.3">
      <c r="A1553" s="1">
        <v>40889</v>
      </c>
      <c r="B1553" s="1">
        <v>40892</v>
      </c>
      <c r="C1553" t="s">
        <v>126</v>
      </c>
      <c r="D1553" t="s">
        <v>27</v>
      </c>
      <c r="E1553" t="s">
        <v>1537</v>
      </c>
      <c r="F1553">
        <v>8.94</v>
      </c>
      <c r="G1553">
        <v>3</v>
      </c>
      <c r="H1553">
        <v>0.62580000000000002</v>
      </c>
      <c r="I1553">
        <v>3</v>
      </c>
      <c r="J1553">
        <v>2011</v>
      </c>
      <c r="K1553" t="s">
        <v>2207</v>
      </c>
      <c r="L1553" t="str">
        <f>TEXT(maintable_2[[#This Row],[Order Date]],"mmmm")</f>
        <v>December</v>
      </c>
    </row>
    <row r="1554" spans="1:12" x14ac:dyDescent="0.3">
      <c r="A1554" s="1">
        <v>40889</v>
      </c>
      <c r="B1554" s="1">
        <v>40892</v>
      </c>
      <c r="C1554" t="s">
        <v>126</v>
      </c>
      <c r="D1554" t="s">
        <v>11</v>
      </c>
      <c r="E1554" t="s">
        <v>83</v>
      </c>
      <c r="F1554">
        <v>9.24</v>
      </c>
      <c r="G1554">
        <v>3</v>
      </c>
      <c r="H1554">
        <v>4.4352</v>
      </c>
      <c r="I1554">
        <v>3</v>
      </c>
      <c r="J1554">
        <v>2011</v>
      </c>
      <c r="K1554" t="s">
        <v>2207</v>
      </c>
      <c r="L1554" t="str">
        <f>TEXT(maintable_2[[#This Row],[Order Date]],"mmmm")</f>
        <v>December</v>
      </c>
    </row>
    <row r="1555" spans="1:12" x14ac:dyDescent="0.3">
      <c r="A1555" s="1">
        <v>40921</v>
      </c>
      <c r="B1555" s="1">
        <v>40925</v>
      </c>
      <c r="C1555" t="s">
        <v>203</v>
      </c>
      <c r="D1555" t="s">
        <v>17</v>
      </c>
      <c r="E1555" t="s">
        <v>403</v>
      </c>
      <c r="F1555">
        <v>70.007999999999996</v>
      </c>
      <c r="G1555">
        <v>3</v>
      </c>
      <c r="H1555">
        <v>24.502800000000001</v>
      </c>
      <c r="I1555">
        <v>4</v>
      </c>
      <c r="J1555">
        <v>2012</v>
      </c>
      <c r="K1555" t="s">
        <v>2210</v>
      </c>
      <c r="L1555" t="str">
        <f>TEXT(maintable_2[[#This Row],[Order Date]],"mmmm")</f>
        <v>January</v>
      </c>
    </row>
    <row r="1556" spans="1:12" x14ac:dyDescent="0.3">
      <c r="A1556" s="1">
        <v>40921</v>
      </c>
      <c r="B1556" s="1">
        <v>40925</v>
      </c>
      <c r="C1556" t="s">
        <v>203</v>
      </c>
      <c r="D1556" t="s">
        <v>11</v>
      </c>
      <c r="E1556" t="s">
        <v>832</v>
      </c>
      <c r="F1556">
        <v>77.599999999999994</v>
      </c>
      <c r="G1556">
        <v>4</v>
      </c>
      <c r="H1556">
        <v>38.024000000000001</v>
      </c>
      <c r="I1556">
        <v>4</v>
      </c>
      <c r="J1556">
        <v>2012</v>
      </c>
      <c r="K1556" t="s">
        <v>2210</v>
      </c>
      <c r="L1556" t="str">
        <f>TEXT(maintable_2[[#This Row],[Order Date]],"mmmm")</f>
        <v>January</v>
      </c>
    </row>
    <row r="1557" spans="1:12" x14ac:dyDescent="0.3">
      <c r="A1557" s="1">
        <v>40921</v>
      </c>
      <c r="B1557" s="1">
        <v>40925</v>
      </c>
      <c r="C1557" t="s">
        <v>203</v>
      </c>
      <c r="D1557" t="s">
        <v>11</v>
      </c>
      <c r="E1557" t="s">
        <v>1538</v>
      </c>
      <c r="F1557">
        <v>464.85</v>
      </c>
      <c r="G1557">
        <v>9</v>
      </c>
      <c r="H1557">
        <v>92.97</v>
      </c>
      <c r="I1557">
        <v>4</v>
      </c>
      <c r="J1557">
        <v>2012</v>
      </c>
      <c r="K1557" t="s">
        <v>2210</v>
      </c>
      <c r="L1557" t="str">
        <f>TEXT(maintable_2[[#This Row],[Order Date]],"mmmm")</f>
        <v>January</v>
      </c>
    </row>
    <row r="1558" spans="1:12" x14ac:dyDescent="0.3">
      <c r="A1558" s="1">
        <v>41957</v>
      </c>
      <c r="B1558" s="1">
        <v>41962</v>
      </c>
      <c r="C1558" t="s">
        <v>102</v>
      </c>
      <c r="D1558" t="s">
        <v>71</v>
      </c>
      <c r="E1558" t="s">
        <v>245</v>
      </c>
      <c r="F1558">
        <v>2404.7040000000002</v>
      </c>
      <c r="G1558">
        <v>6</v>
      </c>
      <c r="H1558">
        <v>150.29400000000001</v>
      </c>
      <c r="I1558">
        <v>5</v>
      </c>
      <c r="J1558">
        <v>2014</v>
      </c>
      <c r="K1558" t="s">
        <v>2209</v>
      </c>
      <c r="L1558" t="str">
        <f>TEXT(maintable_2[[#This Row],[Order Date]],"mmmm")</f>
        <v>November</v>
      </c>
    </row>
    <row r="1559" spans="1:12" x14ac:dyDescent="0.3">
      <c r="A1559" s="1">
        <v>41957</v>
      </c>
      <c r="B1559" s="1">
        <v>41962</v>
      </c>
      <c r="C1559" t="s">
        <v>102</v>
      </c>
      <c r="D1559" t="s">
        <v>17</v>
      </c>
      <c r="E1559" t="s">
        <v>873</v>
      </c>
      <c r="F1559">
        <v>563.024</v>
      </c>
      <c r="G1559">
        <v>11</v>
      </c>
      <c r="H1559">
        <v>190.0206</v>
      </c>
      <c r="I1559">
        <v>5</v>
      </c>
      <c r="J1559">
        <v>2014</v>
      </c>
      <c r="K1559" t="s">
        <v>2209</v>
      </c>
      <c r="L1559" t="str">
        <f>TEXT(maintable_2[[#This Row],[Order Date]],"mmmm")</f>
        <v>November</v>
      </c>
    </row>
    <row r="1560" spans="1:12" x14ac:dyDescent="0.3">
      <c r="A1560" s="1">
        <v>41957</v>
      </c>
      <c r="B1560" s="1">
        <v>41962</v>
      </c>
      <c r="C1560" t="s">
        <v>102</v>
      </c>
      <c r="D1560" t="s">
        <v>27</v>
      </c>
      <c r="E1560" t="s">
        <v>1539</v>
      </c>
      <c r="F1560">
        <v>344.91</v>
      </c>
      <c r="G1560">
        <v>3</v>
      </c>
      <c r="H1560">
        <v>10.347300000000001</v>
      </c>
      <c r="I1560">
        <v>5</v>
      </c>
      <c r="J1560">
        <v>2014</v>
      </c>
      <c r="K1560" t="s">
        <v>2209</v>
      </c>
      <c r="L1560" t="str">
        <f>TEXT(maintable_2[[#This Row],[Order Date]],"mmmm")</f>
        <v>November</v>
      </c>
    </row>
    <row r="1561" spans="1:12" x14ac:dyDescent="0.3">
      <c r="A1561" s="1">
        <v>41957</v>
      </c>
      <c r="B1561" s="1">
        <v>41962</v>
      </c>
      <c r="C1561" t="s">
        <v>102</v>
      </c>
      <c r="D1561" t="s">
        <v>8</v>
      </c>
      <c r="E1561" t="s">
        <v>953</v>
      </c>
      <c r="F1561">
        <v>8.64</v>
      </c>
      <c r="G1561">
        <v>3</v>
      </c>
      <c r="H1561">
        <v>4.2336</v>
      </c>
      <c r="I1561">
        <v>5</v>
      </c>
      <c r="J1561">
        <v>2014</v>
      </c>
      <c r="K1561" t="s">
        <v>2209</v>
      </c>
      <c r="L1561" t="str">
        <f>TEXT(maintable_2[[#This Row],[Order Date]],"mmmm")</f>
        <v>November</v>
      </c>
    </row>
    <row r="1562" spans="1:12" x14ac:dyDescent="0.3">
      <c r="A1562" s="1">
        <v>41707</v>
      </c>
      <c r="B1562" s="1">
        <v>41714</v>
      </c>
      <c r="C1562" t="s">
        <v>131</v>
      </c>
      <c r="D1562" t="s">
        <v>17</v>
      </c>
      <c r="E1562" t="s">
        <v>1540</v>
      </c>
      <c r="F1562">
        <v>171.2</v>
      </c>
      <c r="G1562">
        <v>5</v>
      </c>
      <c r="H1562">
        <v>64.2</v>
      </c>
      <c r="I1562">
        <v>7</v>
      </c>
      <c r="J1562">
        <v>2014</v>
      </c>
      <c r="K1562" t="s">
        <v>2208</v>
      </c>
      <c r="L1562" t="str">
        <f>TEXT(maintable_2[[#This Row],[Order Date]],"mmmm")</f>
        <v>March</v>
      </c>
    </row>
    <row r="1563" spans="1:12" x14ac:dyDescent="0.3">
      <c r="A1563" s="1">
        <v>41707</v>
      </c>
      <c r="B1563" s="1">
        <v>41714</v>
      </c>
      <c r="C1563" t="s">
        <v>131</v>
      </c>
      <c r="D1563" t="s">
        <v>13</v>
      </c>
      <c r="E1563" t="s">
        <v>1541</v>
      </c>
      <c r="F1563">
        <v>3.36</v>
      </c>
      <c r="G1563">
        <v>2</v>
      </c>
      <c r="H1563">
        <v>0.87360000000000004</v>
      </c>
      <c r="I1563">
        <v>7</v>
      </c>
      <c r="J1563">
        <v>2014</v>
      </c>
      <c r="K1563" t="s">
        <v>2208</v>
      </c>
      <c r="L1563" t="str">
        <f>TEXT(maintable_2[[#This Row],[Order Date]],"mmmm")</f>
        <v>March</v>
      </c>
    </row>
    <row r="1564" spans="1:12" x14ac:dyDescent="0.3">
      <c r="A1564" s="1">
        <v>41632</v>
      </c>
      <c r="B1564" s="1">
        <v>41639</v>
      </c>
      <c r="C1564" t="s">
        <v>1542</v>
      </c>
      <c r="D1564" t="s">
        <v>13</v>
      </c>
      <c r="E1564" t="s">
        <v>250</v>
      </c>
      <c r="F1564">
        <v>8.82</v>
      </c>
      <c r="G1564">
        <v>3</v>
      </c>
      <c r="H1564">
        <v>2.5577999999999999</v>
      </c>
      <c r="I1564">
        <v>7</v>
      </c>
      <c r="J1564">
        <v>2013</v>
      </c>
      <c r="K1564" t="s">
        <v>2207</v>
      </c>
      <c r="L1564" t="str">
        <f>TEXT(maintable_2[[#This Row],[Order Date]],"mmmm")</f>
        <v>December</v>
      </c>
    </row>
    <row r="1565" spans="1:12" x14ac:dyDescent="0.3">
      <c r="A1565" s="1">
        <v>41632</v>
      </c>
      <c r="B1565" s="1">
        <v>41639</v>
      </c>
      <c r="C1565" t="s">
        <v>1542</v>
      </c>
      <c r="D1565" t="s">
        <v>44</v>
      </c>
      <c r="E1565" t="s">
        <v>834</v>
      </c>
      <c r="F1565">
        <v>37.94</v>
      </c>
      <c r="G1565">
        <v>2</v>
      </c>
      <c r="H1565">
        <v>18.211200000000002</v>
      </c>
      <c r="I1565">
        <v>7</v>
      </c>
      <c r="J1565">
        <v>2013</v>
      </c>
      <c r="K1565" t="s">
        <v>2207</v>
      </c>
      <c r="L1565" t="str">
        <f>TEXT(maintable_2[[#This Row],[Order Date]],"mmmm")</f>
        <v>December</v>
      </c>
    </row>
    <row r="1566" spans="1:12" x14ac:dyDescent="0.3">
      <c r="A1566" s="1">
        <v>41632</v>
      </c>
      <c r="B1566" s="1">
        <v>41639</v>
      </c>
      <c r="C1566" t="s">
        <v>1542</v>
      </c>
      <c r="D1566" t="s">
        <v>13</v>
      </c>
      <c r="E1566" t="s">
        <v>1543</v>
      </c>
      <c r="F1566">
        <v>4.2</v>
      </c>
      <c r="G1566">
        <v>2</v>
      </c>
      <c r="H1566">
        <v>1.1759999999999999</v>
      </c>
      <c r="I1566">
        <v>7</v>
      </c>
      <c r="J1566">
        <v>2013</v>
      </c>
      <c r="K1566" t="s">
        <v>2207</v>
      </c>
      <c r="L1566" t="str">
        <f>TEXT(maintable_2[[#This Row],[Order Date]],"mmmm")</f>
        <v>December</v>
      </c>
    </row>
    <row r="1567" spans="1:12" x14ac:dyDescent="0.3">
      <c r="A1567" s="1">
        <v>41632</v>
      </c>
      <c r="B1567" s="1">
        <v>41639</v>
      </c>
      <c r="C1567" t="s">
        <v>1542</v>
      </c>
      <c r="D1567" t="s">
        <v>27</v>
      </c>
      <c r="E1567" t="s">
        <v>223</v>
      </c>
      <c r="F1567">
        <v>227.28</v>
      </c>
      <c r="G1567">
        <v>2</v>
      </c>
      <c r="H1567">
        <v>2.2728000000000002</v>
      </c>
      <c r="I1567">
        <v>7</v>
      </c>
      <c r="J1567">
        <v>2013</v>
      </c>
      <c r="K1567" t="s">
        <v>2207</v>
      </c>
      <c r="L1567" t="str">
        <f>TEXT(maintable_2[[#This Row],[Order Date]],"mmmm")</f>
        <v>December</v>
      </c>
    </row>
    <row r="1568" spans="1:12" x14ac:dyDescent="0.3">
      <c r="A1568" s="1">
        <v>41632</v>
      </c>
      <c r="B1568" s="1">
        <v>41639</v>
      </c>
      <c r="C1568" t="s">
        <v>1542</v>
      </c>
      <c r="D1568" t="s">
        <v>44</v>
      </c>
      <c r="E1568" t="s">
        <v>88</v>
      </c>
      <c r="F1568">
        <v>47.9</v>
      </c>
      <c r="G1568">
        <v>1</v>
      </c>
      <c r="H1568">
        <v>22.992000000000001</v>
      </c>
      <c r="I1568">
        <v>7</v>
      </c>
      <c r="J1568">
        <v>2013</v>
      </c>
      <c r="K1568" t="s">
        <v>2207</v>
      </c>
      <c r="L1568" t="str">
        <f>TEXT(maintable_2[[#This Row],[Order Date]],"mmmm")</f>
        <v>December</v>
      </c>
    </row>
    <row r="1569" spans="1:12" x14ac:dyDescent="0.3">
      <c r="A1569" s="1">
        <v>41632</v>
      </c>
      <c r="B1569" s="1">
        <v>41639</v>
      </c>
      <c r="C1569" t="s">
        <v>1542</v>
      </c>
      <c r="D1569" t="s">
        <v>86</v>
      </c>
      <c r="E1569" t="s">
        <v>105</v>
      </c>
      <c r="F1569">
        <v>61.96</v>
      </c>
      <c r="G1569">
        <v>2</v>
      </c>
      <c r="H1569">
        <v>30.360399999999998</v>
      </c>
      <c r="I1569">
        <v>7</v>
      </c>
      <c r="J1569">
        <v>2013</v>
      </c>
      <c r="K1569" t="s">
        <v>2207</v>
      </c>
      <c r="L1569" t="str">
        <f>TEXT(maintable_2[[#This Row],[Order Date]],"mmmm")</f>
        <v>December</v>
      </c>
    </row>
    <row r="1570" spans="1:12" x14ac:dyDescent="0.3">
      <c r="A1570" s="1">
        <v>41632</v>
      </c>
      <c r="B1570" s="1">
        <v>41639</v>
      </c>
      <c r="C1570" t="s">
        <v>1542</v>
      </c>
      <c r="D1570" t="s">
        <v>27</v>
      </c>
      <c r="E1570" t="s">
        <v>1544</v>
      </c>
      <c r="F1570">
        <v>1117.92</v>
      </c>
      <c r="G1570">
        <v>4</v>
      </c>
      <c r="H1570">
        <v>55.896000000000001</v>
      </c>
      <c r="I1570">
        <v>7</v>
      </c>
      <c r="J1570">
        <v>2013</v>
      </c>
      <c r="K1570" t="s">
        <v>2207</v>
      </c>
      <c r="L1570" t="str">
        <f>TEXT(maintable_2[[#This Row],[Order Date]],"mmmm")</f>
        <v>December</v>
      </c>
    </row>
    <row r="1571" spans="1:12" x14ac:dyDescent="0.3">
      <c r="A1571" s="1">
        <v>41509</v>
      </c>
      <c r="B1571" s="1">
        <v>41514</v>
      </c>
      <c r="C1571" t="s">
        <v>1545</v>
      </c>
      <c r="D1571" t="s">
        <v>17</v>
      </c>
      <c r="E1571" t="s">
        <v>805</v>
      </c>
      <c r="F1571">
        <v>26.352</v>
      </c>
      <c r="G1571">
        <v>8</v>
      </c>
      <c r="H1571">
        <v>-18.446400000000001</v>
      </c>
      <c r="I1571">
        <v>5</v>
      </c>
      <c r="J1571">
        <v>2013</v>
      </c>
      <c r="K1571" t="s">
        <v>2206</v>
      </c>
      <c r="L1571" t="str">
        <f>TEXT(maintable_2[[#This Row],[Order Date]],"mmmm")</f>
        <v>August</v>
      </c>
    </row>
    <row r="1572" spans="1:12" x14ac:dyDescent="0.3">
      <c r="A1572" s="1">
        <v>41991</v>
      </c>
      <c r="B1572" s="1">
        <v>41995</v>
      </c>
      <c r="C1572" t="s">
        <v>1546</v>
      </c>
      <c r="D1572" t="s">
        <v>27</v>
      </c>
      <c r="E1572" t="s">
        <v>1547</v>
      </c>
      <c r="F1572">
        <v>481.32</v>
      </c>
      <c r="G1572">
        <v>4</v>
      </c>
      <c r="H1572">
        <v>125.14319999999999</v>
      </c>
      <c r="I1572">
        <v>4</v>
      </c>
      <c r="J1572">
        <v>2014</v>
      </c>
      <c r="K1572" t="s">
        <v>2207</v>
      </c>
      <c r="L1572" t="str">
        <f>TEXT(maintable_2[[#This Row],[Order Date]],"mmmm")</f>
        <v>December</v>
      </c>
    </row>
    <row r="1573" spans="1:12" x14ac:dyDescent="0.3">
      <c r="A1573" s="1">
        <v>41991</v>
      </c>
      <c r="B1573" s="1">
        <v>41995</v>
      </c>
      <c r="C1573" t="s">
        <v>1546</v>
      </c>
      <c r="D1573" t="s">
        <v>81</v>
      </c>
      <c r="E1573" t="s">
        <v>1548</v>
      </c>
      <c r="F1573">
        <v>13.98</v>
      </c>
      <c r="G1573">
        <v>1</v>
      </c>
      <c r="H1573">
        <v>3.6347999999999998</v>
      </c>
      <c r="I1573">
        <v>4</v>
      </c>
      <c r="J1573">
        <v>2014</v>
      </c>
      <c r="K1573" t="s">
        <v>2207</v>
      </c>
      <c r="L1573" t="str">
        <f>TEXT(maintable_2[[#This Row],[Order Date]],"mmmm")</f>
        <v>December</v>
      </c>
    </row>
    <row r="1574" spans="1:12" x14ac:dyDescent="0.3">
      <c r="A1574" s="1">
        <v>41176</v>
      </c>
      <c r="B1574" s="1">
        <v>41178</v>
      </c>
      <c r="C1574" t="s">
        <v>314</v>
      </c>
      <c r="D1574" t="s">
        <v>13</v>
      </c>
      <c r="E1574" t="s">
        <v>502</v>
      </c>
      <c r="F1574">
        <v>35.96</v>
      </c>
      <c r="G1574">
        <v>2</v>
      </c>
      <c r="H1574">
        <v>10.4284</v>
      </c>
      <c r="I1574">
        <v>2</v>
      </c>
      <c r="J1574">
        <v>2012</v>
      </c>
      <c r="K1574" t="s">
        <v>2209</v>
      </c>
      <c r="L1574" t="str">
        <f>TEXT(maintable_2[[#This Row],[Order Date]],"mmmm")</f>
        <v>September</v>
      </c>
    </row>
    <row r="1575" spans="1:12" x14ac:dyDescent="0.3">
      <c r="A1575" s="1">
        <v>41176</v>
      </c>
      <c r="B1575" s="1">
        <v>41178</v>
      </c>
      <c r="C1575" t="s">
        <v>314</v>
      </c>
      <c r="D1575" t="s">
        <v>17</v>
      </c>
      <c r="E1575" t="s">
        <v>458</v>
      </c>
      <c r="F1575">
        <v>14.952</v>
      </c>
      <c r="G1575">
        <v>3</v>
      </c>
      <c r="H1575">
        <v>5.4200999999999997</v>
      </c>
      <c r="I1575">
        <v>2</v>
      </c>
      <c r="J1575">
        <v>2012</v>
      </c>
      <c r="K1575" t="s">
        <v>2209</v>
      </c>
      <c r="L1575" t="str">
        <f>TEXT(maintable_2[[#This Row],[Order Date]],"mmmm")</f>
        <v>September</v>
      </c>
    </row>
    <row r="1576" spans="1:12" x14ac:dyDescent="0.3">
      <c r="A1576" s="1">
        <v>41724</v>
      </c>
      <c r="B1576" s="1">
        <v>41729</v>
      </c>
      <c r="C1576" t="s">
        <v>755</v>
      </c>
      <c r="D1576" t="s">
        <v>13</v>
      </c>
      <c r="E1576" t="s">
        <v>1549</v>
      </c>
      <c r="F1576">
        <v>23.1</v>
      </c>
      <c r="G1576">
        <v>2</v>
      </c>
      <c r="H1576">
        <v>6.93</v>
      </c>
      <c r="I1576">
        <v>5</v>
      </c>
      <c r="J1576">
        <v>2014</v>
      </c>
      <c r="K1576" t="s">
        <v>2208</v>
      </c>
      <c r="L1576" t="str">
        <f>TEXT(maintable_2[[#This Row],[Order Date]],"mmmm")</f>
        <v>March</v>
      </c>
    </row>
    <row r="1577" spans="1:12" x14ac:dyDescent="0.3">
      <c r="A1577" s="1">
        <v>41180</v>
      </c>
      <c r="B1577" s="1">
        <v>41186</v>
      </c>
      <c r="C1577" t="s">
        <v>298</v>
      </c>
      <c r="D1577" t="s">
        <v>86</v>
      </c>
      <c r="E1577" t="s">
        <v>1170</v>
      </c>
      <c r="F1577">
        <v>12.536</v>
      </c>
      <c r="G1577">
        <v>1</v>
      </c>
      <c r="H1577">
        <v>4.2309000000000001</v>
      </c>
      <c r="I1577">
        <v>6</v>
      </c>
      <c r="J1577">
        <v>2012</v>
      </c>
      <c r="K1577" t="s">
        <v>2209</v>
      </c>
      <c r="L1577" t="str">
        <f>TEXT(maintable_2[[#This Row],[Order Date]],"mmmm")</f>
        <v>September</v>
      </c>
    </row>
    <row r="1578" spans="1:12" x14ac:dyDescent="0.3">
      <c r="A1578" s="1">
        <v>41180</v>
      </c>
      <c r="B1578" s="1">
        <v>41186</v>
      </c>
      <c r="C1578" t="s">
        <v>298</v>
      </c>
      <c r="D1578" t="s">
        <v>17</v>
      </c>
      <c r="E1578" t="s">
        <v>429</v>
      </c>
      <c r="F1578">
        <v>1.08</v>
      </c>
      <c r="G1578">
        <v>2</v>
      </c>
      <c r="H1578">
        <v>-0.79200000000000004</v>
      </c>
      <c r="I1578">
        <v>6</v>
      </c>
      <c r="J1578">
        <v>2012</v>
      </c>
      <c r="K1578" t="s">
        <v>2209</v>
      </c>
      <c r="L1578" t="str">
        <f>TEXT(maintable_2[[#This Row],[Order Date]],"mmmm")</f>
        <v>September</v>
      </c>
    </row>
    <row r="1579" spans="1:12" x14ac:dyDescent="0.3">
      <c r="A1579" s="1">
        <v>41180</v>
      </c>
      <c r="B1579" s="1">
        <v>41186</v>
      </c>
      <c r="C1579" t="s">
        <v>298</v>
      </c>
      <c r="D1579" t="s">
        <v>78</v>
      </c>
      <c r="E1579" t="s">
        <v>105</v>
      </c>
      <c r="F1579">
        <v>4.5119999999999996</v>
      </c>
      <c r="G1579">
        <v>3</v>
      </c>
      <c r="H1579">
        <v>0.84599999999999997</v>
      </c>
      <c r="I1579">
        <v>6</v>
      </c>
      <c r="J1579">
        <v>2012</v>
      </c>
      <c r="K1579" t="s">
        <v>2209</v>
      </c>
      <c r="L1579" t="str">
        <f>TEXT(maintable_2[[#This Row],[Order Date]],"mmmm")</f>
        <v>September</v>
      </c>
    </row>
    <row r="1580" spans="1:12" x14ac:dyDescent="0.3">
      <c r="A1580" s="1">
        <v>40983</v>
      </c>
      <c r="B1580" s="1">
        <v>40989</v>
      </c>
      <c r="C1580" t="s">
        <v>1550</v>
      </c>
      <c r="D1580" t="s">
        <v>15</v>
      </c>
      <c r="E1580" t="s">
        <v>1551</v>
      </c>
      <c r="F1580">
        <v>16.776</v>
      </c>
      <c r="G1580">
        <v>3</v>
      </c>
      <c r="H1580">
        <v>1.6776</v>
      </c>
      <c r="I1580">
        <v>6</v>
      </c>
      <c r="J1580">
        <v>2012</v>
      </c>
      <c r="K1580" t="s">
        <v>2208</v>
      </c>
      <c r="L1580" t="str">
        <f>TEXT(maintable_2[[#This Row],[Order Date]],"mmmm")</f>
        <v>March</v>
      </c>
    </row>
    <row r="1581" spans="1:12" x14ac:dyDescent="0.3">
      <c r="A1581" s="1">
        <v>40557</v>
      </c>
      <c r="B1581" s="1">
        <v>40562</v>
      </c>
      <c r="C1581" t="s">
        <v>1552</v>
      </c>
      <c r="D1581" t="s">
        <v>27</v>
      </c>
      <c r="E1581" t="s">
        <v>843</v>
      </c>
      <c r="F1581">
        <v>1325.85</v>
      </c>
      <c r="G1581">
        <v>5</v>
      </c>
      <c r="H1581">
        <v>238.65299999999999</v>
      </c>
      <c r="I1581">
        <v>5</v>
      </c>
      <c r="J1581">
        <v>2011</v>
      </c>
      <c r="K1581" t="s">
        <v>2210</v>
      </c>
      <c r="L1581" t="str">
        <f>TEXT(maintable_2[[#This Row],[Order Date]],"mmmm")</f>
        <v>January</v>
      </c>
    </row>
    <row r="1582" spans="1:12" x14ac:dyDescent="0.3">
      <c r="A1582" s="1">
        <v>40557</v>
      </c>
      <c r="B1582" s="1">
        <v>40562</v>
      </c>
      <c r="C1582" t="s">
        <v>1552</v>
      </c>
      <c r="D1582" t="s">
        <v>196</v>
      </c>
      <c r="E1582" t="s">
        <v>1358</v>
      </c>
      <c r="F1582">
        <v>333.99900000000002</v>
      </c>
      <c r="G1582">
        <v>3</v>
      </c>
      <c r="H1582">
        <v>3.9293999999999998</v>
      </c>
      <c r="I1582">
        <v>5</v>
      </c>
      <c r="J1582">
        <v>2011</v>
      </c>
      <c r="K1582" t="s">
        <v>2210</v>
      </c>
      <c r="L1582" t="str">
        <f>TEXT(maintable_2[[#This Row],[Order Date]],"mmmm")</f>
        <v>January</v>
      </c>
    </row>
    <row r="1583" spans="1:12" x14ac:dyDescent="0.3">
      <c r="A1583" s="1">
        <v>40557</v>
      </c>
      <c r="B1583" s="1">
        <v>40562</v>
      </c>
      <c r="C1583" t="s">
        <v>1552</v>
      </c>
      <c r="D1583" t="s">
        <v>13</v>
      </c>
      <c r="E1583" t="s">
        <v>636</v>
      </c>
      <c r="F1583">
        <v>19.899999999999999</v>
      </c>
      <c r="G1583">
        <v>5</v>
      </c>
      <c r="H1583">
        <v>6.5670000000000002</v>
      </c>
      <c r="I1583">
        <v>5</v>
      </c>
      <c r="J1583">
        <v>2011</v>
      </c>
      <c r="K1583" t="s">
        <v>2210</v>
      </c>
      <c r="L1583" t="str">
        <f>TEXT(maintable_2[[#This Row],[Order Date]],"mmmm")</f>
        <v>January</v>
      </c>
    </row>
    <row r="1584" spans="1:12" x14ac:dyDescent="0.3">
      <c r="A1584" s="1">
        <v>41523</v>
      </c>
      <c r="B1584" s="1">
        <v>41524</v>
      </c>
      <c r="C1584" t="s">
        <v>212</v>
      </c>
      <c r="D1584" t="s">
        <v>44</v>
      </c>
      <c r="E1584" t="s">
        <v>1553</v>
      </c>
      <c r="F1584">
        <v>96.08</v>
      </c>
      <c r="G1584">
        <v>2</v>
      </c>
      <c r="H1584">
        <v>46.118400000000001</v>
      </c>
      <c r="I1584">
        <v>1</v>
      </c>
      <c r="J1584">
        <v>2013</v>
      </c>
      <c r="K1584" t="s">
        <v>2209</v>
      </c>
      <c r="L1584" t="str">
        <f>TEXT(maintable_2[[#This Row],[Order Date]],"mmmm")</f>
        <v>September</v>
      </c>
    </row>
    <row r="1585" spans="1:12" x14ac:dyDescent="0.3">
      <c r="A1585" s="1">
        <v>41523</v>
      </c>
      <c r="B1585" s="1">
        <v>41524</v>
      </c>
      <c r="C1585" t="s">
        <v>212</v>
      </c>
      <c r="D1585" t="s">
        <v>17</v>
      </c>
      <c r="E1585" t="s">
        <v>672</v>
      </c>
      <c r="F1585">
        <v>11.68</v>
      </c>
      <c r="G1585">
        <v>2</v>
      </c>
      <c r="H1585">
        <v>3.9420000000000002</v>
      </c>
      <c r="I1585">
        <v>1</v>
      </c>
      <c r="J1585">
        <v>2013</v>
      </c>
      <c r="K1585" t="s">
        <v>2209</v>
      </c>
      <c r="L1585" t="str">
        <f>TEXT(maintable_2[[#This Row],[Order Date]],"mmmm")</f>
        <v>September</v>
      </c>
    </row>
    <row r="1586" spans="1:12" x14ac:dyDescent="0.3">
      <c r="A1586" s="1">
        <v>41523</v>
      </c>
      <c r="B1586" s="1">
        <v>41524</v>
      </c>
      <c r="C1586" t="s">
        <v>212</v>
      </c>
      <c r="D1586" t="s">
        <v>78</v>
      </c>
      <c r="E1586" t="s">
        <v>1554</v>
      </c>
      <c r="F1586">
        <v>4.3600000000000003</v>
      </c>
      <c r="G1586">
        <v>2</v>
      </c>
      <c r="H1586">
        <v>1.7876000000000001</v>
      </c>
      <c r="I1586">
        <v>1</v>
      </c>
      <c r="J1586">
        <v>2013</v>
      </c>
      <c r="K1586" t="s">
        <v>2209</v>
      </c>
      <c r="L1586" t="str">
        <f>TEXT(maintable_2[[#This Row],[Order Date]],"mmmm")</f>
        <v>September</v>
      </c>
    </row>
    <row r="1587" spans="1:12" x14ac:dyDescent="0.3">
      <c r="A1587" s="1">
        <v>40820</v>
      </c>
      <c r="B1587" s="1">
        <v>40825</v>
      </c>
      <c r="C1587" t="s">
        <v>1555</v>
      </c>
      <c r="D1587" t="s">
        <v>8</v>
      </c>
      <c r="E1587" t="s">
        <v>1556</v>
      </c>
      <c r="F1587">
        <v>29.24</v>
      </c>
      <c r="G1587">
        <v>4</v>
      </c>
      <c r="H1587">
        <v>13.742800000000001</v>
      </c>
      <c r="I1587">
        <v>5</v>
      </c>
      <c r="J1587">
        <v>2011</v>
      </c>
      <c r="K1587" t="s">
        <v>2209</v>
      </c>
      <c r="L1587" t="str">
        <f>TEXT(maintable_2[[#This Row],[Order Date]],"mmmm")</f>
        <v>October</v>
      </c>
    </row>
    <row r="1588" spans="1:12" x14ac:dyDescent="0.3">
      <c r="A1588" s="1">
        <v>41971</v>
      </c>
      <c r="B1588" s="1">
        <v>41976</v>
      </c>
      <c r="C1588" t="s">
        <v>266</v>
      </c>
      <c r="D1588" t="s">
        <v>17</v>
      </c>
      <c r="E1588" t="s">
        <v>315</v>
      </c>
      <c r="F1588">
        <v>117.488</v>
      </c>
      <c r="G1588">
        <v>7</v>
      </c>
      <c r="H1588">
        <v>41.120800000000003</v>
      </c>
      <c r="I1588">
        <v>5</v>
      </c>
      <c r="J1588">
        <v>2014</v>
      </c>
      <c r="K1588" t="s">
        <v>2209</v>
      </c>
      <c r="L1588" t="str">
        <f>TEXT(maintable_2[[#This Row],[Order Date]],"mmmm")</f>
        <v>November</v>
      </c>
    </row>
    <row r="1589" spans="1:12" x14ac:dyDescent="0.3">
      <c r="A1589" s="1">
        <v>41971</v>
      </c>
      <c r="B1589" s="1">
        <v>41976</v>
      </c>
      <c r="C1589" t="s">
        <v>266</v>
      </c>
      <c r="D1589" t="s">
        <v>11</v>
      </c>
      <c r="E1589" t="s">
        <v>1433</v>
      </c>
      <c r="F1589">
        <v>18.84</v>
      </c>
      <c r="G1589">
        <v>3</v>
      </c>
      <c r="H1589">
        <v>6.0288000000000004</v>
      </c>
      <c r="I1589">
        <v>5</v>
      </c>
      <c r="J1589">
        <v>2014</v>
      </c>
      <c r="K1589" t="s">
        <v>2209</v>
      </c>
      <c r="L1589" t="str">
        <f>TEXT(maintable_2[[#This Row],[Order Date]],"mmmm")</f>
        <v>November</v>
      </c>
    </row>
    <row r="1590" spans="1:12" x14ac:dyDescent="0.3">
      <c r="A1590" s="1">
        <v>41982</v>
      </c>
      <c r="B1590" s="1">
        <v>41986</v>
      </c>
      <c r="C1590" t="s">
        <v>1019</v>
      </c>
      <c r="D1590" t="s">
        <v>19</v>
      </c>
      <c r="E1590" t="s">
        <v>1557</v>
      </c>
      <c r="F1590">
        <v>69.48</v>
      </c>
      <c r="G1590">
        <v>1</v>
      </c>
      <c r="H1590">
        <v>20.844000000000001</v>
      </c>
      <c r="I1590">
        <v>4</v>
      </c>
      <c r="J1590">
        <v>2014</v>
      </c>
      <c r="K1590" t="s">
        <v>2207</v>
      </c>
      <c r="L1590" t="str">
        <f>TEXT(maintable_2[[#This Row],[Order Date]],"mmmm")</f>
        <v>December</v>
      </c>
    </row>
    <row r="1591" spans="1:12" x14ac:dyDescent="0.3">
      <c r="A1591" s="1">
        <v>40703</v>
      </c>
      <c r="B1591" s="1">
        <v>40707</v>
      </c>
      <c r="C1591" t="s">
        <v>1196</v>
      </c>
      <c r="D1591" t="s">
        <v>13</v>
      </c>
      <c r="E1591" t="s">
        <v>391</v>
      </c>
      <c r="F1591">
        <v>18.059999999999999</v>
      </c>
      <c r="G1591">
        <v>7</v>
      </c>
      <c r="H1591">
        <v>4.6955999999999998</v>
      </c>
      <c r="I1591">
        <v>4</v>
      </c>
      <c r="J1591">
        <v>2011</v>
      </c>
      <c r="K1591" t="s">
        <v>2206</v>
      </c>
      <c r="L1591" t="str">
        <f>TEXT(maintable_2[[#This Row],[Order Date]],"mmmm")</f>
        <v>June</v>
      </c>
    </row>
    <row r="1592" spans="1:12" x14ac:dyDescent="0.3">
      <c r="A1592" s="1">
        <v>40703</v>
      </c>
      <c r="B1592" s="1">
        <v>40707</v>
      </c>
      <c r="C1592" t="s">
        <v>1196</v>
      </c>
      <c r="D1592" t="s">
        <v>44</v>
      </c>
      <c r="E1592" t="s">
        <v>1558</v>
      </c>
      <c r="F1592">
        <v>79.14</v>
      </c>
      <c r="G1592">
        <v>3</v>
      </c>
      <c r="H1592">
        <v>36.404400000000003</v>
      </c>
      <c r="I1592">
        <v>4</v>
      </c>
      <c r="J1592">
        <v>2011</v>
      </c>
      <c r="K1592" t="s">
        <v>2206</v>
      </c>
      <c r="L1592" t="str">
        <f>TEXT(maintable_2[[#This Row],[Order Date]],"mmmm")</f>
        <v>June</v>
      </c>
    </row>
    <row r="1593" spans="1:12" x14ac:dyDescent="0.3">
      <c r="A1593" s="1">
        <v>40703</v>
      </c>
      <c r="B1593" s="1">
        <v>40707</v>
      </c>
      <c r="C1593" t="s">
        <v>1196</v>
      </c>
      <c r="D1593" t="s">
        <v>11</v>
      </c>
      <c r="E1593" t="s">
        <v>1107</v>
      </c>
      <c r="F1593">
        <v>37.4</v>
      </c>
      <c r="G1593">
        <v>2</v>
      </c>
      <c r="H1593">
        <v>14.212</v>
      </c>
      <c r="I1593">
        <v>4</v>
      </c>
      <c r="J1593">
        <v>2011</v>
      </c>
      <c r="K1593" t="s">
        <v>2206</v>
      </c>
      <c r="L1593" t="str">
        <f>TEXT(maintable_2[[#This Row],[Order Date]],"mmmm")</f>
        <v>June</v>
      </c>
    </row>
    <row r="1594" spans="1:12" x14ac:dyDescent="0.3">
      <c r="A1594" s="1">
        <v>41597</v>
      </c>
      <c r="B1594" s="1">
        <v>41601</v>
      </c>
      <c r="C1594" t="s">
        <v>1559</v>
      </c>
      <c r="D1594" t="s">
        <v>15</v>
      </c>
      <c r="E1594" t="s">
        <v>1560</v>
      </c>
      <c r="F1594">
        <v>61.192</v>
      </c>
      <c r="G1594">
        <v>1</v>
      </c>
      <c r="H1594">
        <v>6.1192000000000002</v>
      </c>
      <c r="I1594">
        <v>4</v>
      </c>
      <c r="J1594">
        <v>2013</v>
      </c>
      <c r="K1594" t="s">
        <v>2209</v>
      </c>
      <c r="L1594" t="str">
        <f>TEXT(maintable_2[[#This Row],[Order Date]],"mmmm")</f>
        <v>November</v>
      </c>
    </row>
    <row r="1595" spans="1:12" x14ac:dyDescent="0.3">
      <c r="A1595" s="1">
        <v>41597</v>
      </c>
      <c r="B1595" s="1">
        <v>41601</v>
      </c>
      <c r="C1595" t="s">
        <v>1559</v>
      </c>
      <c r="D1595" t="s">
        <v>19</v>
      </c>
      <c r="E1595" t="s">
        <v>1213</v>
      </c>
      <c r="F1595">
        <v>67.84</v>
      </c>
      <c r="G1595">
        <v>1</v>
      </c>
      <c r="H1595">
        <v>18.316800000000001</v>
      </c>
      <c r="I1595">
        <v>4</v>
      </c>
      <c r="J1595">
        <v>2013</v>
      </c>
      <c r="K1595" t="s">
        <v>2209</v>
      </c>
      <c r="L1595" t="str">
        <f>TEXT(maintable_2[[#This Row],[Order Date]],"mmmm")</f>
        <v>November</v>
      </c>
    </row>
    <row r="1596" spans="1:12" x14ac:dyDescent="0.3">
      <c r="A1596" s="1">
        <v>40609</v>
      </c>
      <c r="B1596" s="1">
        <v>40610</v>
      </c>
      <c r="C1596" t="s">
        <v>1561</v>
      </c>
      <c r="D1596" t="s">
        <v>71</v>
      </c>
      <c r="E1596" t="s">
        <v>1562</v>
      </c>
      <c r="F1596">
        <v>48.712000000000003</v>
      </c>
      <c r="G1596">
        <v>1</v>
      </c>
      <c r="H1596">
        <v>5.4801000000000002</v>
      </c>
      <c r="I1596">
        <v>1</v>
      </c>
      <c r="J1596">
        <v>2011</v>
      </c>
      <c r="K1596" t="s">
        <v>2208</v>
      </c>
      <c r="L1596" t="str">
        <f>TEXT(maintable_2[[#This Row],[Order Date]],"mmmm")</f>
        <v>March</v>
      </c>
    </row>
    <row r="1597" spans="1:12" x14ac:dyDescent="0.3">
      <c r="A1597" s="1">
        <v>40609</v>
      </c>
      <c r="B1597" s="1">
        <v>40610</v>
      </c>
      <c r="C1597" t="s">
        <v>1561</v>
      </c>
      <c r="D1597" t="s">
        <v>13</v>
      </c>
      <c r="E1597" t="s">
        <v>140</v>
      </c>
      <c r="F1597">
        <v>17.940000000000001</v>
      </c>
      <c r="G1597">
        <v>3</v>
      </c>
      <c r="H1597">
        <v>4.6643999999999997</v>
      </c>
      <c r="I1597">
        <v>1</v>
      </c>
      <c r="J1597">
        <v>2011</v>
      </c>
      <c r="K1597" t="s">
        <v>2208</v>
      </c>
      <c r="L1597" t="str">
        <f>TEXT(maintable_2[[#This Row],[Order Date]],"mmmm")</f>
        <v>March</v>
      </c>
    </row>
    <row r="1598" spans="1:12" x14ac:dyDescent="0.3">
      <c r="A1598" s="1">
        <v>40609</v>
      </c>
      <c r="B1598" s="1">
        <v>40610</v>
      </c>
      <c r="C1598" t="s">
        <v>1561</v>
      </c>
      <c r="D1598" t="s">
        <v>27</v>
      </c>
      <c r="E1598" t="s">
        <v>507</v>
      </c>
      <c r="F1598">
        <v>242.94</v>
      </c>
      <c r="G1598">
        <v>3</v>
      </c>
      <c r="H1598">
        <v>4.8587999999999996</v>
      </c>
      <c r="I1598">
        <v>1</v>
      </c>
      <c r="J1598">
        <v>2011</v>
      </c>
      <c r="K1598" t="s">
        <v>2208</v>
      </c>
      <c r="L1598" t="str">
        <f>TEXT(maintable_2[[#This Row],[Order Date]],"mmmm")</f>
        <v>March</v>
      </c>
    </row>
    <row r="1599" spans="1:12" x14ac:dyDescent="0.3">
      <c r="A1599" s="1">
        <v>41586</v>
      </c>
      <c r="B1599" s="1">
        <v>41591</v>
      </c>
      <c r="C1599" t="s">
        <v>1200</v>
      </c>
      <c r="D1599" t="s">
        <v>44</v>
      </c>
      <c r="E1599" t="s">
        <v>1032</v>
      </c>
      <c r="F1599">
        <v>12.9</v>
      </c>
      <c r="G1599">
        <v>2</v>
      </c>
      <c r="H1599">
        <v>6.3209999999999997</v>
      </c>
      <c r="I1599">
        <v>5</v>
      </c>
      <c r="J1599">
        <v>2013</v>
      </c>
      <c r="K1599" t="s">
        <v>2209</v>
      </c>
      <c r="L1599" t="str">
        <f>TEXT(maintable_2[[#This Row],[Order Date]],"mmmm")</f>
        <v>November</v>
      </c>
    </row>
    <row r="1600" spans="1:12" x14ac:dyDescent="0.3">
      <c r="A1600" s="1">
        <v>40863</v>
      </c>
      <c r="B1600" s="1">
        <v>40869</v>
      </c>
      <c r="C1600" t="s">
        <v>758</v>
      </c>
      <c r="D1600" t="s">
        <v>8</v>
      </c>
      <c r="E1600" t="s">
        <v>1563</v>
      </c>
      <c r="F1600">
        <v>5.22</v>
      </c>
      <c r="G1600">
        <v>2</v>
      </c>
      <c r="H1600">
        <v>2.4011999999999998</v>
      </c>
      <c r="I1600">
        <v>6</v>
      </c>
      <c r="J1600">
        <v>2011</v>
      </c>
      <c r="K1600" t="s">
        <v>2209</v>
      </c>
      <c r="L1600" t="str">
        <f>TEXT(maintable_2[[#This Row],[Order Date]],"mmmm")</f>
        <v>November</v>
      </c>
    </row>
    <row r="1601" spans="1:12" x14ac:dyDescent="0.3">
      <c r="A1601" s="1">
        <v>41585</v>
      </c>
      <c r="B1601" s="1">
        <v>41589</v>
      </c>
      <c r="C1601" t="s">
        <v>24</v>
      </c>
      <c r="D1601" t="s">
        <v>27</v>
      </c>
      <c r="E1601" t="s">
        <v>698</v>
      </c>
      <c r="F1601">
        <v>84.84</v>
      </c>
      <c r="G1601">
        <v>3</v>
      </c>
      <c r="H1601">
        <v>22.9068</v>
      </c>
      <c r="I1601">
        <v>4</v>
      </c>
      <c r="J1601">
        <v>2013</v>
      </c>
      <c r="K1601" t="s">
        <v>2209</v>
      </c>
      <c r="L1601" t="str">
        <f>TEXT(maintable_2[[#This Row],[Order Date]],"mmmm")</f>
        <v>November</v>
      </c>
    </row>
    <row r="1602" spans="1:12" x14ac:dyDescent="0.3">
      <c r="A1602" s="1">
        <v>41389</v>
      </c>
      <c r="B1602" s="1">
        <v>41393</v>
      </c>
      <c r="C1602" t="s">
        <v>1564</v>
      </c>
      <c r="D1602" t="s">
        <v>44</v>
      </c>
      <c r="E1602" t="s">
        <v>273</v>
      </c>
      <c r="F1602">
        <v>15.552</v>
      </c>
      <c r="G1602">
        <v>3</v>
      </c>
      <c r="H1602">
        <v>5.4432</v>
      </c>
      <c r="I1602">
        <v>4</v>
      </c>
      <c r="J1602">
        <v>2013</v>
      </c>
      <c r="K1602" t="s">
        <v>2208</v>
      </c>
      <c r="L1602" t="str">
        <f>TEXT(maintable_2[[#This Row],[Order Date]],"mmmm")</f>
        <v>April</v>
      </c>
    </row>
    <row r="1603" spans="1:12" x14ac:dyDescent="0.3">
      <c r="A1603" s="1">
        <v>41389</v>
      </c>
      <c r="B1603" s="1">
        <v>41393</v>
      </c>
      <c r="C1603" t="s">
        <v>1564</v>
      </c>
      <c r="D1603" t="s">
        <v>71</v>
      </c>
      <c r="E1603" t="s">
        <v>794</v>
      </c>
      <c r="F1603">
        <v>1325.76</v>
      </c>
      <c r="G1603">
        <v>6</v>
      </c>
      <c r="H1603">
        <v>149.148</v>
      </c>
      <c r="I1603">
        <v>4</v>
      </c>
      <c r="J1603">
        <v>2013</v>
      </c>
      <c r="K1603" t="s">
        <v>2208</v>
      </c>
      <c r="L1603" t="str">
        <f>TEXT(maintable_2[[#This Row],[Order Date]],"mmmm")</f>
        <v>April</v>
      </c>
    </row>
    <row r="1604" spans="1:12" x14ac:dyDescent="0.3">
      <c r="A1604" s="1">
        <v>41389</v>
      </c>
      <c r="B1604" s="1">
        <v>41393</v>
      </c>
      <c r="C1604" t="s">
        <v>1564</v>
      </c>
      <c r="D1604" t="s">
        <v>17</v>
      </c>
      <c r="E1604" t="s">
        <v>1565</v>
      </c>
      <c r="F1604">
        <v>3.1080000000000001</v>
      </c>
      <c r="G1604">
        <v>2</v>
      </c>
      <c r="H1604">
        <v>-2.1756000000000002</v>
      </c>
      <c r="I1604">
        <v>4</v>
      </c>
      <c r="J1604">
        <v>2013</v>
      </c>
      <c r="K1604" t="s">
        <v>2208</v>
      </c>
      <c r="L1604" t="str">
        <f>TEXT(maintable_2[[#This Row],[Order Date]],"mmmm")</f>
        <v>April</v>
      </c>
    </row>
    <row r="1605" spans="1:12" x14ac:dyDescent="0.3">
      <c r="A1605" s="1">
        <v>41883</v>
      </c>
      <c r="B1605" s="1">
        <v>41887</v>
      </c>
      <c r="C1605" t="s">
        <v>1566</v>
      </c>
      <c r="D1605" t="s">
        <v>17</v>
      </c>
      <c r="E1605" t="s">
        <v>1567</v>
      </c>
      <c r="F1605">
        <v>6.6719999999999997</v>
      </c>
      <c r="G1605">
        <v>3</v>
      </c>
      <c r="H1605">
        <v>2.1684000000000001</v>
      </c>
      <c r="I1605">
        <v>4</v>
      </c>
      <c r="J1605">
        <v>2014</v>
      </c>
      <c r="K1605" t="s">
        <v>2206</v>
      </c>
      <c r="L1605" t="str">
        <f>TEXT(maintable_2[[#This Row],[Order Date]],"mmmm")</f>
        <v>September</v>
      </c>
    </row>
    <row r="1606" spans="1:12" x14ac:dyDescent="0.3">
      <c r="A1606" s="1">
        <v>41883</v>
      </c>
      <c r="B1606" s="1">
        <v>41887</v>
      </c>
      <c r="C1606" t="s">
        <v>1566</v>
      </c>
      <c r="D1606" t="s">
        <v>15</v>
      </c>
      <c r="E1606" t="s">
        <v>1499</v>
      </c>
      <c r="F1606">
        <v>689.40800000000002</v>
      </c>
      <c r="G1606">
        <v>4</v>
      </c>
      <c r="H1606">
        <v>77.558400000000006</v>
      </c>
      <c r="I1606">
        <v>4</v>
      </c>
      <c r="J1606">
        <v>2014</v>
      </c>
      <c r="K1606" t="s">
        <v>2206</v>
      </c>
      <c r="L1606" t="str">
        <f>TEXT(maintable_2[[#This Row],[Order Date]],"mmmm")</f>
        <v>September</v>
      </c>
    </row>
    <row r="1607" spans="1:12" x14ac:dyDescent="0.3">
      <c r="A1607" s="1">
        <v>41305</v>
      </c>
      <c r="B1607" s="1">
        <v>41309</v>
      </c>
      <c r="C1607" t="s">
        <v>1568</v>
      </c>
      <c r="D1607" t="s">
        <v>15</v>
      </c>
      <c r="E1607" t="s">
        <v>1569</v>
      </c>
      <c r="F1607">
        <v>109.592</v>
      </c>
      <c r="G1607">
        <v>1</v>
      </c>
      <c r="H1607">
        <v>8.2194000000000003</v>
      </c>
      <c r="I1607">
        <v>4</v>
      </c>
      <c r="J1607">
        <v>2013</v>
      </c>
      <c r="K1607" t="s">
        <v>2210</v>
      </c>
      <c r="L1607" t="str">
        <f>TEXT(maintable_2[[#This Row],[Order Date]],"mmmm")</f>
        <v>January</v>
      </c>
    </row>
    <row r="1608" spans="1:12" x14ac:dyDescent="0.3">
      <c r="A1608" s="1">
        <v>41305</v>
      </c>
      <c r="B1608" s="1">
        <v>41309</v>
      </c>
      <c r="C1608" t="s">
        <v>1568</v>
      </c>
      <c r="D1608" t="s">
        <v>44</v>
      </c>
      <c r="E1608" t="s">
        <v>105</v>
      </c>
      <c r="F1608">
        <v>56.7</v>
      </c>
      <c r="G1608">
        <v>5</v>
      </c>
      <c r="H1608">
        <v>27.783000000000001</v>
      </c>
      <c r="I1608">
        <v>4</v>
      </c>
      <c r="J1608">
        <v>2013</v>
      </c>
      <c r="K1608" t="s">
        <v>2210</v>
      </c>
      <c r="L1608" t="str">
        <f>TEXT(maintable_2[[#This Row],[Order Date]],"mmmm")</f>
        <v>January</v>
      </c>
    </row>
    <row r="1609" spans="1:12" x14ac:dyDescent="0.3">
      <c r="A1609" s="1">
        <v>41767</v>
      </c>
      <c r="B1609" s="1">
        <v>41772</v>
      </c>
      <c r="C1609" t="s">
        <v>1570</v>
      </c>
      <c r="D1609" t="s">
        <v>37</v>
      </c>
      <c r="E1609" t="s">
        <v>1571</v>
      </c>
      <c r="F1609">
        <v>79.989999999999995</v>
      </c>
      <c r="G1609">
        <v>1</v>
      </c>
      <c r="H1609">
        <v>28.796399999999998</v>
      </c>
      <c r="I1609">
        <v>5</v>
      </c>
      <c r="J1609">
        <v>2014</v>
      </c>
      <c r="K1609" t="s">
        <v>2208</v>
      </c>
      <c r="L1609" t="str">
        <f>TEXT(maintable_2[[#This Row],[Order Date]],"mmmm")</f>
        <v>May</v>
      </c>
    </row>
    <row r="1610" spans="1:12" x14ac:dyDescent="0.3">
      <c r="A1610" s="1">
        <v>41555</v>
      </c>
      <c r="B1610" s="1">
        <v>41560</v>
      </c>
      <c r="C1610" t="s">
        <v>1572</v>
      </c>
      <c r="D1610" t="s">
        <v>44</v>
      </c>
      <c r="E1610" t="s">
        <v>1573</v>
      </c>
      <c r="F1610">
        <v>10.56</v>
      </c>
      <c r="G1610">
        <v>2</v>
      </c>
      <c r="H1610">
        <v>5.0688000000000004</v>
      </c>
      <c r="I1610">
        <v>5</v>
      </c>
      <c r="J1610">
        <v>2013</v>
      </c>
      <c r="K1610" t="s">
        <v>2209</v>
      </c>
      <c r="L1610" t="str">
        <f>TEXT(maintable_2[[#This Row],[Order Date]],"mmmm")</f>
        <v>October</v>
      </c>
    </row>
    <row r="1611" spans="1:12" x14ac:dyDescent="0.3">
      <c r="A1611" s="1">
        <v>41771</v>
      </c>
      <c r="B1611" s="1">
        <v>41773</v>
      </c>
      <c r="C1611" t="s">
        <v>1317</v>
      </c>
      <c r="D1611" t="s">
        <v>196</v>
      </c>
      <c r="E1611" t="s">
        <v>530</v>
      </c>
      <c r="F1611">
        <v>209.97900000000001</v>
      </c>
      <c r="G1611">
        <v>7</v>
      </c>
      <c r="H1611">
        <v>-356.96429999999998</v>
      </c>
      <c r="I1611">
        <v>2</v>
      </c>
      <c r="J1611">
        <v>2014</v>
      </c>
      <c r="K1611" t="s">
        <v>2208</v>
      </c>
      <c r="L1611" t="str">
        <f>TEXT(maintable_2[[#This Row],[Order Date]],"mmmm")</f>
        <v>May</v>
      </c>
    </row>
    <row r="1612" spans="1:12" x14ac:dyDescent="0.3">
      <c r="A1612" s="1">
        <v>40862</v>
      </c>
      <c r="B1612" s="1">
        <v>40865</v>
      </c>
      <c r="C1612" t="s">
        <v>1574</v>
      </c>
      <c r="D1612" t="s">
        <v>11</v>
      </c>
      <c r="E1612" t="s">
        <v>1575</v>
      </c>
      <c r="F1612">
        <v>10.11</v>
      </c>
      <c r="G1612">
        <v>3</v>
      </c>
      <c r="H1612">
        <v>3.2351999999999999</v>
      </c>
      <c r="I1612">
        <v>3</v>
      </c>
      <c r="J1612">
        <v>2011</v>
      </c>
      <c r="K1612" t="s">
        <v>2209</v>
      </c>
      <c r="L1612" t="str">
        <f>TEXT(maintable_2[[#This Row],[Order Date]],"mmmm")</f>
        <v>November</v>
      </c>
    </row>
    <row r="1613" spans="1:12" x14ac:dyDescent="0.3">
      <c r="A1613" s="1">
        <v>40862</v>
      </c>
      <c r="B1613" s="1">
        <v>40865</v>
      </c>
      <c r="C1613" t="s">
        <v>1574</v>
      </c>
      <c r="D1613" t="s">
        <v>37</v>
      </c>
      <c r="E1613" t="s">
        <v>130</v>
      </c>
      <c r="F1613">
        <v>772.47</v>
      </c>
      <c r="G1613">
        <v>3</v>
      </c>
      <c r="H1613">
        <v>146.76929999999999</v>
      </c>
      <c r="I1613">
        <v>3</v>
      </c>
      <c r="J1613">
        <v>2011</v>
      </c>
      <c r="K1613" t="s">
        <v>2209</v>
      </c>
      <c r="L1613" t="str">
        <f>TEXT(maintable_2[[#This Row],[Order Date]],"mmmm")</f>
        <v>November</v>
      </c>
    </row>
    <row r="1614" spans="1:12" x14ac:dyDescent="0.3">
      <c r="A1614" s="1">
        <v>40862</v>
      </c>
      <c r="B1614" s="1">
        <v>40865</v>
      </c>
      <c r="C1614" t="s">
        <v>1574</v>
      </c>
      <c r="D1614" t="s">
        <v>81</v>
      </c>
      <c r="E1614" t="s">
        <v>1576</v>
      </c>
      <c r="F1614">
        <v>20.46</v>
      </c>
      <c r="G1614">
        <v>2</v>
      </c>
      <c r="H1614">
        <v>5.3196000000000003</v>
      </c>
      <c r="I1614">
        <v>3</v>
      </c>
      <c r="J1614">
        <v>2011</v>
      </c>
      <c r="K1614" t="s">
        <v>2209</v>
      </c>
      <c r="L1614" t="str">
        <f>TEXT(maintable_2[[#This Row],[Order Date]],"mmmm")</f>
        <v>November</v>
      </c>
    </row>
    <row r="1615" spans="1:12" x14ac:dyDescent="0.3">
      <c r="A1615" s="1">
        <v>41627</v>
      </c>
      <c r="B1615" s="1">
        <v>41633</v>
      </c>
      <c r="C1615" t="s">
        <v>654</v>
      </c>
      <c r="D1615" t="s">
        <v>37</v>
      </c>
      <c r="E1615" t="s">
        <v>743</v>
      </c>
      <c r="F1615">
        <v>72.64</v>
      </c>
      <c r="G1615">
        <v>2</v>
      </c>
      <c r="H1615">
        <v>21.792000000000002</v>
      </c>
      <c r="I1615">
        <v>6</v>
      </c>
      <c r="J1615">
        <v>2013</v>
      </c>
      <c r="K1615" t="s">
        <v>2207</v>
      </c>
      <c r="L1615" t="str">
        <f>TEXT(maintable_2[[#This Row],[Order Date]],"mmmm")</f>
        <v>December</v>
      </c>
    </row>
    <row r="1616" spans="1:12" x14ac:dyDescent="0.3">
      <c r="A1616" s="1">
        <v>41627</v>
      </c>
      <c r="B1616" s="1">
        <v>41633</v>
      </c>
      <c r="C1616" t="s">
        <v>654</v>
      </c>
      <c r="D1616" t="s">
        <v>37</v>
      </c>
      <c r="E1616" t="s">
        <v>130</v>
      </c>
      <c r="F1616">
        <v>772.47</v>
      </c>
      <c r="G1616">
        <v>3</v>
      </c>
      <c r="H1616">
        <v>146.76929999999999</v>
      </c>
      <c r="I1616">
        <v>6</v>
      </c>
      <c r="J1616">
        <v>2013</v>
      </c>
      <c r="K1616" t="s">
        <v>2207</v>
      </c>
      <c r="L1616" t="str">
        <f>TEXT(maintable_2[[#This Row],[Order Date]],"mmmm")</f>
        <v>December</v>
      </c>
    </row>
    <row r="1617" spans="1:12" x14ac:dyDescent="0.3">
      <c r="A1617" s="1">
        <v>41627</v>
      </c>
      <c r="B1617" s="1">
        <v>41633</v>
      </c>
      <c r="C1617" t="s">
        <v>654</v>
      </c>
      <c r="D1617" t="s">
        <v>11</v>
      </c>
      <c r="E1617" t="s">
        <v>1577</v>
      </c>
      <c r="F1617">
        <v>39.92</v>
      </c>
      <c r="G1617">
        <v>4</v>
      </c>
      <c r="H1617">
        <v>11.1776</v>
      </c>
      <c r="I1617">
        <v>6</v>
      </c>
      <c r="J1617">
        <v>2013</v>
      </c>
      <c r="K1617" t="s">
        <v>2207</v>
      </c>
      <c r="L1617" t="str">
        <f>TEXT(maintable_2[[#This Row],[Order Date]],"mmmm")</f>
        <v>December</v>
      </c>
    </row>
    <row r="1618" spans="1:12" x14ac:dyDescent="0.3">
      <c r="A1618" s="1">
        <v>41669</v>
      </c>
      <c r="B1618" s="1">
        <v>41673</v>
      </c>
      <c r="C1618" t="s">
        <v>443</v>
      </c>
      <c r="D1618" t="s">
        <v>13</v>
      </c>
      <c r="E1618" t="s">
        <v>1578</v>
      </c>
      <c r="F1618">
        <v>8.34</v>
      </c>
      <c r="G1618">
        <v>3</v>
      </c>
      <c r="H1618">
        <v>2.1684000000000001</v>
      </c>
      <c r="I1618">
        <v>4</v>
      </c>
      <c r="J1618">
        <v>2014</v>
      </c>
      <c r="K1618" t="s">
        <v>2210</v>
      </c>
      <c r="L1618" t="str">
        <f>TEXT(maintable_2[[#This Row],[Order Date]],"mmmm")</f>
        <v>January</v>
      </c>
    </row>
    <row r="1619" spans="1:12" x14ac:dyDescent="0.3">
      <c r="A1619" s="1">
        <v>41669</v>
      </c>
      <c r="B1619" s="1">
        <v>41673</v>
      </c>
      <c r="C1619" t="s">
        <v>443</v>
      </c>
      <c r="D1619" t="s">
        <v>81</v>
      </c>
      <c r="E1619" t="s">
        <v>1579</v>
      </c>
      <c r="F1619">
        <v>8.57</v>
      </c>
      <c r="G1619">
        <v>1</v>
      </c>
      <c r="H1619">
        <v>2.2282000000000002</v>
      </c>
      <c r="I1619">
        <v>4</v>
      </c>
      <c r="J1619">
        <v>2014</v>
      </c>
      <c r="K1619" t="s">
        <v>2210</v>
      </c>
      <c r="L1619" t="str">
        <f>TEXT(maintable_2[[#This Row],[Order Date]],"mmmm")</f>
        <v>January</v>
      </c>
    </row>
    <row r="1620" spans="1:12" x14ac:dyDescent="0.3">
      <c r="A1620" s="1">
        <v>41669</v>
      </c>
      <c r="B1620" s="1">
        <v>41673</v>
      </c>
      <c r="C1620" t="s">
        <v>443</v>
      </c>
      <c r="D1620" t="s">
        <v>17</v>
      </c>
      <c r="E1620" t="s">
        <v>238</v>
      </c>
      <c r="F1620">
        <v>119.616</v>
      </c>
      <c r="G1620">
        <v>8</v>
      </c>
      <c r="H1620">
        <v>40.370399999999997</v>
      </c>
      <c r="I1620">
        <v>4</v>
      </c>
      <c r="J1620">
        <v>2014</v>
      </c>
      <c r="K1620" t="s">
        <v>2210</v>
      </c>
      <c r="L1620" t="str">
        <f>TEXT(maintable_2[[#This Row],[Order Date]],"mmmm")</f>
        <v>January</v>
      </c>
    </row>
    <row r="1621" spans="1:12" x14ac:dyDescent="0.3">
      <c r="A1621" s="1">
        <v>40639</v>
      </c>
      <c r="B1621" s="1">
        <v>40645</v>
      </c>
      <c r="C1621" t="s">
        <v>938</v>
      </c>
      <c r="D1621" t="s">
        <v>21</v>
      </c>
      <c r="E1621" t="s">
        <v>1400</v>
      </c>
      <c r="F1621">
        <v>653.54999999999995</v>
      </c>
      <c r="G1621">
        <v>3</v>
      </c>
      <c r="H1621">
        <v>111.1035</v>
      </c>
      <c r="I1621">
        <v>6</v>
      </c>
      <c r="J1621">
        <v>2011</v>
      </c>
      <c r="K1621" t="s">
        <v>2208</v>
      </c>
      <c r="L1621" t="str">
        <f>TEXT(maintable_2[[#This Row],[Order Date]],"mmmm")</f>
        <v>April</v>
      </c>
    </row>
    <row r="1622" spans="1:12" x14ac:dyDescent="0.3">
      <c r="A1622" s="1">
        <v>40639</v>
      </c>
      <c r="B1622" s="1">
        <v>40645</v>
      </c>
      <c r="C1622" t="s">
        <v>938</v>
      </c>
      <c r="D1622" t="s">
        <v>37</v>
      </c>
      <c r="E1622" t="s">
        <v>383</v>
      </c>
      <c r="F1622">
        <v>33.9</v>
      </c>
      <c r="G1622">
        <v>2</v>
      </c>
      <c r="H1622">
        <v>2.0339999999999998</v>
      </c>
      <c r="I1622">
        <v>6</v>
      </c>
      <c r="J1622">
        <v>2011</v>
      </c>
      <c r="K1622" t="s">
        <v>2208</v>
      </c>
      <c r="L1622" t="str">
        <f>TEXT(maintable_2[[#This Row],[Order Date]],"mmmm")</f>
        <v>April</v>
      </c>
    </row>
    <row r="1623" spans="1:12" x14ac:dyDescent="0.3">
      <c r="A1623" s="1">
        <v>41589</v>
      </c>
      <c r="B1623" s="1">
        <v>41592</v>
      </c>
      <c r="C1623" t="s">
        <v>1580</v>
      </c>
      <c r="D1623" t="s">
        <v>44</v>
      </c>
      <c r="E1623" t="s">
        <v>1581</v>
      </c>
      <c r="F1623">
        <v>67.709999999999994</v>
      </c>
      <c r="G1623">
        <v>3</v>
      </c>
      <c r="H1623">
        <v>32.500799999999998</v>
      </c>
      <c r="I1623">
        <v>3</v>
      </c>
      <c r="J1623">
        <v>2013</v>
      </c>
      <c r="K1623" t="s">
        <v>2209</v>
      </c>
      <c r="L1623" t="str">
        <f>TEXT(maintable_2[[#This Row],[Order Date]],"mmmm")</f>
        <v>November</v>
      </c>
    </row>
    <row r="1624" spans="1:12" x14ac:dyDescent="0.3">
      <c r="A1624" s="1">
        <v>41589</v>
      </c>
      <c r="B1624" s="1">
        <v>41592</v>
      </c>
      <c r="C1624" t="s">
        <v>1580</v>
      </c>
      <c r="D1624" t="s">
        <v>19</v>
      </c>
      <c r="E1624" t="s">
        <v>1582</v>
      </c>
      <c r="F1624">
        <v>129.91999999999999</v>
      </c>
      <c r="G1624">
        <v>4</v>
      </c>
      <c r="H1624">
        <v>38.975999999999999</v>
      </c>
      <c r="I1624">
        <v>3</v>
      </c>
      <c r="J1624">
        <v>2013</v>
      </c>
      <c r="K1624" t="s">
        <v>2209</v>
      </c>
      <c r="L1624" t="str">
        <f>TEXT(maintable_2[[#This Row],[Order Date]],"mmmm")</f>
        <v>November</v>
      </c>
    </row>
    <row r="1625" spans="1:12" x14ac:dyDescent="0.3">
      <c r="A1625" s="1">
        <v>41589</v>
      </c>
      <c r="B1625" s="1">
        <v>41592</v>
      </c>
      <c r="C1625" t="s">
        <v>1580</v>
      </c>
      <c r="D1625" t="s">
        <v>11</v>
      </c>
      <c r="E1625" t="s">
        <v>1583</v>
      </c>
      <c r="F1625">
        <v>467.46</v>
      </c>
      <c r="G1625">
        <v>9</v>
      </c>
      <c r="H1625">
        <v>191.65860000000001</v>
      </c>
      <c r="I1625">
        <v>3</v>
      </c>
      <c r="J1625">
        <v>2013</v>
      </c>
      <c r="K1625" t="s">
        <v>2209</v>
      </c>
      <c r="L1625" t="str">
        <f>TEXT(maintable_2[[#This Row],[Order Date]],"mmmm")</f>
        <v>November</v>
      </c>
    </row>
    <row r="1626" spans="1:12" x14ac:dyDescent="0.3">
      <c r="A1626" s="1">
        <v>41589</v>
      </c>
      <c r="B1626" s="1">
        <v>41592</v>
      </c>
      <c r="C1626" t="s">
        <v>1580</v>
      </c>
      <c r="D1626" t="s">
        <v>44</v>
      </c>
      <c r="E1626" t="s">
        <v>1584</v>
      </c>
      <c r="F1626">
        <v>61.4</v>
      </c>
      <c r="G1626">
        <v>5</v>
      </c>
      <c r="H1626">
        <v>28.858000000000001</v>
      </c>
      <c r="I1626">
        <v>3</v>
      </c>
      <c r="J1626">
        <v>2013</v>
      </c>
      <c r="K1626" t="s">
        <v>2209</v>
      </c>
      <c r="L1626" t="str">
        <f>TEXT(maintable_2[[#This Row],[Order Date]],"mmmm")</f>
        <v>November</v>
      </c>
    </row>
    <row r="1627" spans="1:12" x14ac:dyDescent="0.3">
      <c r="A1627" s="1">
        <v>41589</v>
      </c>
      <c r="B1627" s="1">
        <v>41592</v>
      </c>
      <c r="C1627" t="s">
        <v>1580</v>
      </c>
      <c r="D1627" t="s">
        <v>27</v>
      </c>
      <c r="E1627" t="s">
        <v>415</v>
      </c>
      <c r="F1627">
        <v>720.76</v>
      </c>
      <c r="G1627">
        <v>4</v>
      </c>
      <c r="H1627">
        <v>187.39760000000001</v>
      </c>
      <c r="I1627">
        <v>3</v>
      </c>
      <c r="J1627">
        <v>2013</v>
      </c>
      <c r="K1627" t="s">
        <v>2209</v>
      </c>
      <c r="L1627" t="str">
        <f>TEXT(maintable_2[[#This Row],[Order Date]],"mmmm")</f>
        <v>November</v>
      </c>
    </row>
    <row r="1628" spans="1:12" x14ac:dyDescent="0.3">
      <c r="A1628" s="1">
        <v>41589</v>
      </c>
      <c r="B1628" s="1">
        <v>41592</v>
      </c>
      <c r="C1628" t="s">
        <v>1580</v>
      </c>
      <c r="D1628" t="s">
        <v>17</v>
      </c>
      <c r="E1628" t="s">
        <v>506</v>
      </c>
      <c r="F1628">
        <v>5.1840000000000002</v>
      </c>
      <c r="G1628">
        <v>3</v>
      </c>
      <c r="H1628">
        <v>1.8144</v>
      </c>
      <c r="I1628">
        <v>3</v>
      </c>
      <c r="J1628">
        <v>2013</v>
      </c>
      <c r="K1628" t="s">
        <v>2209</v>
      </c>
      <c r="L1628" t="str">
        <f>TEXT(maintable_2[[#This Row],[Order Date]],"mmmm")</f>
        <v>November</v>
      </c>
    </row>
    <row r="1629" spans="1:12" x14ac:dyDescent="0.3">
      <c r="A1629" s="1">
        <v>41589</v>
      </c>
      <c r="B1629" s="1">
        <v>41592</v>
      </c>
      <c r="C1629" t="s">
        <v>1580</v>
      </c>
      <c r="D1629" t="s">
        <v>13</v>
      </c>
      <c r="E1629" t="s">
        <v>1378</v>
      </c>
      <c r="F1629">
        <v>14.7</v>
      </c>
      <c r="G1629">
        <v>5</v>
      </c>
      <c r="H1629">
        <v>3.9689999999999999</v>
      </c>
      <c r="I1629">
        <v>3</v>
      </c>
      <c r="J1629">
        <v>2013</v>
      </c>
      <c r="K1629" t="s">
        <v>2209</v>
      </c>
      <c r="L1629" t="str">
        <f>TEXT(maintable_2[[#This Row],[Order Date]],"mmmm")</f>
        <v>November</v>
      </c>
    </row>
    <row r="1630" spans="1:12" x14ac:dyDescent="0.3">
      <c r="A1630" s="1">
        <v>41170</v>
      </c>
      <c r="B1630" s="1">
        <v>41176</v>
      </c>
      <c r="C1630" t="s">
        <v>1570</v>
      </c>
      <c r="D1630" t="s">
        <v>44</v>
      </c>
      <c r="E1630" t="s">
        <v>909</v>
      </c>
      <c r="F1630">
        <v>18.54</v>
      </c>
      <c r="G1630">
        <v>2</v>
      </c>
      <c r="H1630">
        <v>8.7138000000000009</v>
      </c>
      <c r="I1630">
        <v>6</v>
      </c>
      <c r="J1630">
        <v>2012</v>
      </c>
      <c r="K1630" t="s">
        <v>2209</v>
      </c>
      <c r="L1630" t="str">
        <f>TEXT(maintable_2[[#This Row],[Order Date]],"mmmm")</f>
        <v>September</v>
      </c>
    </row>
    <row r="1631" spans="1:12" x14ac:dyDescent="0.3">
      <c r="A1631" s="1">
        <v>41160</v>
      </c>
      <c r="B1631" s="1">
        <v>41163</v>
      </c>
      <c r="C1631" t="s">
        <v>486</v>
      </c>
      <c r="D1631" t="s">
        <v>44</v>
      </c>
      <c r="E1631" t="s">
        <v>1585</v>
      </c>
      <c r="F1631">
        <v>26.4</v>
      </c>
      <c r="G1631">
        <v>5</v>
      </c>
      <c r="H1631">
        <v>11.88</v>
      </c>
      <c r="I1631">
        <v>3</v>
      </c>
      <c r="J1631">
        <v>2012</v>
      </c>
      <c r="K1631" t="s">
        <v>2209</v>
      </c>
      <c r="L1631" t="str">
        <f>TEXT(maintable_2[[#This Row],[Order Date]],"mmmm")</f>
        <v>September</v>
      </c>
    </row>
    <row r="1632" spans="1:12" x14ac:dyDescent="0.3">
      <c r="A1632" s="1">
        <v>41160</v>
      </c>
      <c r="B1632" s="1">
        <v>41163</v>
      </c>
      <c r="C1632" t="s">
        <v>486</v>
      </c>
      <c r="D1632" t="s">
        <v>27</v>
      </c>
      <c r="E1632" t="s">
        <v>398</v>
      </c>
      <c r="F1632">
        <v>41.88</v>
      </c>
      <c r="G1632">
        <v>6</v>
      </c>
      <c r="H1632">
        <v>0.83760000000000001</v>
      </c>
      <c r="I1632">
        <v>3</v>
      </c>
      <c r="J1632">
        <v>2012</v>
      </c>
      <c r="K1632" t="s">
        <v>2209</v>
      </c>
      <c r="L1632" t="str">
        <f>TEXT(maintable_2[[#This Row],[Order Date]],"mmmm")</f>
        <v>September</v>
      </c>
    </row>
    <row r="1633" spans="1:12" x14ac:dyDescent="0.3">
      <c r="A1633" s="1">
        <v>41655</v>
      </c>
      <c r="B1633" s="1">
        <v>41659</v>
      </c>
      <c r="C1633" t="s">
        <v>1586</v>
      </c>
      <c r="D1633" t="s">
        <v>13</v>
      </c>
      <c r="E1633" t="s">
        <v>1587</v>
      </c>
      <c r="F1633">
        <v>21.4</v>
      </c>
      <c r="G1633">
        <v>5</v>
      </c>
      <c r="H1633">
        <v>6.2060000000000004</v>
      </c>
      <c r="I1633">
        <v>4</v>
      </c>
      <c r="J1633">
        <v>2014</v>
      </c>
      <c r="K1633" t="s">
        <v>2210</v>
      </c>
      <c r="L1633" t="str">
        <f>TEXT(maintable_2[[#This Row],[Order Date]],"mmmm")</f>
        <v>January</v>
      </c>
    </row>
    <row r="1634" spans="1:12" x14ac:dyDescent="0.3">
      <c r="A1634" s="1">
        <v>41218</v>
      </c>
      <c r="B1634" s="1">
        <v>41218</v>
      </c>
      <c r="C1634" t="s">
        <v>901</v>
      </c>
      <c r="D1634" t="s">
        <v>27</v>
      </c>
      <c r="E1634" t="s">
        <v>840</v>
      </c>
      <c r="F1634">
        <v>62.8</v>
      </c>
      <c r="G1634">
        <v>4</v>
      </c>
      <c r="H1634">
        <v>15.7</v>
      </c>
      <c r="I1634">
        <v>0</v>
      </c>
      <c r="J1634">
        <v>2012</v>
      </c>
      <c r="K1634" t="s">
        <v>2209</v>
      </c>
      <c r="L1634" t="str">
        <f>TEXT(maintable_2[[#This Row],[Order Date]],"mmmm")</f>
        <v>November</v>
      </c>
    </row>
    <row r="1635" spans="1:12" x14ac:dyDescent="0.3">
      <c r="A1635" s="1">
        <v>41755</v>
      </c>
      <c r="B1635" s="1">
        <v>41759</v>
      </c>
      <c r="C1635" t="s">
        <v>1588</v>
      </c>
      <c r="D1635" t="s">
        <v>17</v>
      </c>
      <c r="E1635" t="s">
        <v>544</v>
      </c>
      <c r="F1635">
        <v>13.904</v>
      </c>
      <c r="G1635">
        <v>2</v>
      </c>
      <c r="H1635">
        <v>4.5187999999999997</v>
      </c>
      <c r="I1635">
        <v>4</v>
      </c>
      <c r="J1635">
        <v>2014</v>
      </c>
      <c r="K1635" t="s">
        <v>2208</v>
      </c>
      <c r="L1635" t="str">
        <f>TEXT(maintable_2[[#This Row],[Order Date]],"mmmm")</f>
        <v>April</v>
      </c>
    </row>
    <row r="1636" spans="1:12" x14ac:dyDescent="0.3">
      <c r="A1636" s="1">
        <v>41969</v>
      </c>
      <c r="B1636" s="1">
        <v>41973</v>
      </c>
      <c r="C1636" t="s">
        <v>1589</v>
      </c>
      <c r="D1636" t="s">
        <v>196</v>
      </c>
      <c r="E1636" t="s">
        <v>1074</v>
      </c>
      <c r="F1636">
        <v>359.49900000000002</v>
      </c>
      <c r="G1636">
        <v>3</v>
      </c>
      <c r="H1636">
        <v>-29.605799999999999</v>
      </c>
      <c r="I1636">
        <v>4</v>
      </c>
      <c r="J1636">
        <v>2014</v>
      </c>
      <c r="K1636" t="s">
        <v>2209</v>
      </c>
      <c r="L1636" t="str">
        <f>TEXT(maintable_2[[#This Row],[Order Date]],"mmmm")</f>
        <v>November</v>
      </c>
    </row>
    <row r="1637" spans="1:12" x14ac:dyDescent="0.3">
      <c r="A1637" s="1">
        <v>41969</v>
      </c>
      <c r="B1637" s="1">
        <v>41973</v>
      </c>
      <c r="C1637" t="s">
        <v>1589</v>
      </c>
      <c r="D1637" t="s">
        <v>27</v>
      </c>
      <c r="E1637" t="s">
        <v>263</v>
      </c>
      <c r="F1637">
        <v>10.48</v>
      </c>
      <c r="G1637">
        <v>1</v>
      </c>
      <c r="H1637">
        <v>2.8296000000000001</v>
      </c>
      <c r="I1637">
        <v>4</v>
      </c>
      <c r="J1637">
        <v>2014</v>
      </c>
      <c r="K1637" t="s">
        <v>2209</v>
      </c>
      <c r="L1637" t="str">
        <f>TEXT(maintable_2[[#This Row],[Order Date]],"mmmm")</f>
        <v>November</v>
      </c>
    </row>
    <row r="1638" spans="1:12" x14ac:dyDescent="0.3">
      <c r="A1638" s="1">
        <v>41856</v>
      </c>
      <c r="B1638" s="1">
        <v>41859</v>
      </c>
      <c r="C1638" t="s">
        <v>969</v>
      </c>
      <c r="D1638" t="s">
        <v>44</v>
      </c>
      <c r="E1638" t="s">
        <v>1590</v>
      </c>
      <c r="F1638">
        <v>7.968</v>
      </c>
      <c r="G1638">
        <v>2</v>
      </c>
      <c r="H1638">
        <v>2.8883999999999999</v>
      </c>
      <c r="I1638">
        <v>3</v>
      </c>
      <c r="J1638">
        <v>2014</v>
      </c>
      <c r="K1638" t="s">
        <v>2206</v>
      </c>
      <c r="L1638" t="str">
        <f>TEXT(maintable_2[[#This Row],[Order Date]],"mmmm")</f>
        <v>August</v>
      </c>
    </row>
    <row r="1639" spans="1:12" x14ac:dyDescent="0.3">
      <c r="A1639" s="1">
        <v>41856</v>
      </c>
      <c r="B1639" s="1">
        <v>41859</v>
      </c>
      <c r="C1639" t="s">
        <v>969</v>
      </c>
      <c r="D1639" t="s">
        <v>86</v>
      </c>
      <c r="E1639" t="s">
        <v>1292</v>
      </c>
      <c r="F1639">
        <v>8.7840000000000007</v>
      </c>
      <c r="G1639">
        <v>1</v>
      </c>
      <c r="H1639">
        <v>3.1842000000000001</v>
      </c>
      <c r="I1639">
        <v>3</v>
      </c>
      <c r="J1639">
        <v>2014</v>
      </c>
      <c r="K1639" t="s">
        <v>2206</v>
      </c>
      <c r="L1639" t="str">
        <f>TEXT(maintable_2[[#This Row],[Order Date]],"mmmm")</f>
        <v>August</v>
      </c>
    </row>
    <row r="1640" spans="1:12" x14ac:dyDescent="0.3">
      <c r="A1640" s="1">
        <v>42004</v>
      </c>
      <c r="B1640" s="1">
        <v>42008</v>
      </c>
      <c r="C1640" t="s">
        <v>1591</v>
      </c>
      <c r="D1640" t="s">
        <v>78</v>
      </c>
      <c r="E1640" t="s">
        <v>1592</v>
      </c>
      <c r="F1640">
        <v>3.024</v>
      </c>
      <c r="G1640">
        <v>3</v>
      </c>
      <c r="H1640">
        <v>-0.6048</v>
      </c>
      <c r="I1640">
        <v>4</v>
      </c>
      <c r="J1640">
        <v>2014</v>
      </c>
      <c r="K1640" t="s">
        <v>2207</v>
      </c>
      <c r="L1640" t="str">
        <f>TEXT(maintable_2[[#This Row],[Order Date]],"mmmm")</f>
        <v>December</v>
      </c>
    </row>
    <row r="1641" spans="1:12" x14ac:dyDescent="0.3">
      <c r="A1641" s="1">
        <v>41128</v>
      </c>
      <c r="B1641" s="1">
        <v>41133</v>
      </c>
      <c r="C1641" t="s">
        <v>1593</v>
      </c>
      <c r="D1641" t="s">
        <v>17</v>
      </c>
      <c r="E1641" t="s">
        <v>1594</v>
      </c>
      <c r="F1641">
        <v>19.152000000000001</v>
      </c>
      <c r="G1641">
        <v>3</v>
      </c>
      <c r="H1641">
        <v>6.4638</v>
      </c>
      <c r="I1641">
        <v>5</v>
      </c>
      <c r="J1641">
        <v>2012</v>
      </c>
      <c r="K1641" t="s">
        <v>2206</v>
      </c>
      <c r="L1641" t="str">
        <f>TEXT(maintable_2[[#This Row],[Order Date]],"mmmm")</f>
        <v>August</v>
      </c>
    </row>
    <row r="1642" spans="1:12" x14ac:dyDescent="0.3">
      <c r="A1642" s="1">
        <v>41596</v>
      </c>
      <c r="B1642" s="1">
        <v>41601</v>
      </c>
      <c r="C1642" t="s">
        <v>833</v>
      </c>
      <c r="D1642" t="s">
        <v>17</v>
      </c>
      <c r="E1642" t="s">
        <v>165</v>
      </c>
      <c r="F1642">
        <v>10.776</v>
      </c>
      <c r="G1642">
        <v>3</v>
      </c>
      <c r="H1642">
        <v>3.3675000000000002</v>
      </c>
      <c r="I1642">
        <v>5</v>
      </c>
      <c r="J1642">
        <v>2013</v>
      </c>
      <c r="K1642" t="s">
        <v>2209</v>
      </c>
      <c r="L1642" t="str">
        <f>TEXT(maintable_2[[#This Row],[Order Date]],"mmmm")</f>
        <v>November</v>
      </c>
    </row>
    <row r="1643" spans="1:12" x14ac:dyDescent="0.3">
      <c r="A1643" s="1">
        <v>42003</v>
      </c>
      <c r="B1643" s="1">
        <v>42010</v>
      </c>
      <c r="C1643" t="s">
        <v>152</v>
      </c>
      <c r="D1643" t="s">
        <v>11</v>
      </c>
      <c r="E1643" t="s">
        <v>1595</v>
      </c>
      <c r="F1643">
        <v>101.12</v>
      </c>
      <c r="G1643">
        <v>8</v>
      </c>
      <c r="H1643">
        <v>37.414400000000001</v>
      </c>
      <c r="I1643">
        <v>7</v>
      </c>
      <c r="J1643">
        <v>2014</v>
      </c>
      <c r="K1643" t="s">
        <v>2207</v>
      </c>
      <c r="L1643" t="str">
        <f>TEXT(maintable_2[[#This Row],[Order Date]],"mmmm")</f>
        <v>December</v>
      </c>
    </row>
    <row r="1644" spans="1:12" x14ac:dyDescent="0.3">
      <c r="A1644" s="1">
        <v>41571</v>
      </c>
      <c r="B1644" s="1">
        <v>41576</v>
      </c>
      <c r="C1644" t="s">
        <v>1036</v>
      </c>
      <c r="D1644" t="s">
        <v>78</v>
      </c>
      <c r="E1644" t="s">
        <v>435</v>
      </c>
      <c r="F1644">
        <v>17.05</v>
      </c>
      <c r="G1644">
        <v>5</v>
      </c>
      <c r="H1644">
        <v>8.1839999999999993</v>
      </c>
      <c r="I1644">
        <v>5</v>
      </c>
      <c r="J1644">
        <v>2013</v>
      </c>
      <c r="K1644" t="s">
        <v>2209</v>
      </c>
      <c r="L1644" t="str">
        <f>TEXT(maintable_2[[#This Row],[Order Date]],"mmmm")</f>
        <v>October</v>
      </c>
    </row>
    <row r="1645" spans="1:12" x14ac:dyDescent="0.3">
      <c r="A1645" s="1">
        <v>41257</v>
      </c>
      <c r="B1645" s="1">
        <v>41262</v>
      </c>
      <c r="C1645" t="s">
        <v>666</v>
      </c>
      <c r="D1645" t="s">
        <v>17</v>
      </c>
      <c r="E1645" t="s">
        <v>1596</v>
      </c>
      <c r="F1645">
        <v>8.0960000000000001</v>
      </c>
      <c r="G1645">
        <v>2</v>
      </c>
      <c r="H1645">
        <v>2.7324000000000002</v>
      </c>
      <c r="I1645">
        <v>5</v>
      </c>
      <c r="J1645">
        <v>2012</v>
      </c>
      <c r="K1645" t="s">
        <v>2207</v>
      </c>
      <c r="L1645" t="str">
        <f>TEXT(maintable_2[[#This Row],[Order Date]],"mmmm")</f>
        <v>December</v>
      </c>
    </row>
    <row r="1646" spans="1:12" x14ac:dyDescent="0.3">
      <c r="A1646" s="1">
        <v>41221</v>
      </c>
      <c r="B1646" s="1">
        <v>41225</v>
      </c>
      <c r="C1646" t="s">
        <v>1597</v>
      </c>
      <c r="D1646" t="s">
        <v>37</v>
      </c>
      <c r="E1646" t="s">
        <v>144</v>
      </c>
      <c r="F1646">
        <v>119.9</v>
      </c>
      <c r="G1646">
        <v>2</v>
      </c>
      <c r="H1646">
        <v>43.164000000000001</v>
      </c>
      <c r="I1646">
        <v>4</v>
      </c>
      <c r="J1646">
        <v>2012</v>
      </c>
      <c r="K1646" t="s">
        <v>2209</v>
      </c>
      <c r="L1646" t="str">
        <f>TEXT(maintable_2[[#This Row],[Order Date]],"mmmm")</f>
        <v>November</v>
      </c>
    </row>
    <row r="1647" spans="1:12" x14ac:dyDescent="0.3">
      <c r="A1647" s="1">
        <v>41673</v>
      </c>
      <c r="B1647" s="1">
        <v>41678</v>
      </c>
      <c r="C1647" t="s">
        <v>320</v>
      </c>
      <c r="D1647" t="s">
        <v>11</v>
      </c>
      <c r="E1647" t="s">
        <v>740</v>
      </c>
      <c r="F1647">
        <v>86.26</v>
      </c>
      <c r="G1647">
        <v>2</v>
      </c>
      <c r="H1647">
        <v>29.328399999999998</v>
      </c>
      <c r="I1647">
        <v>5</v>
      </c>
      <c r="J1647">
        <v>2014</v>
      </c>
      <c r="K1647" t="s">
        <v>2210</v>
      </c>
      <c r="L1647" t="str">
        <f>TEXT(maintable_2[[#This Row],[Order Date]],"mmmm")</f>
        <v>February</v>
      </c>
    </row>
    <row r="1648" spans="1:12" x14ac:dyDescent="0.3">
      <c r="A1648" s="1">
        <v>41673</v>
      </c>
      <c r="B1648" s="1">
        <v>41678</v>
      </c>
      <c r="C1648" t="s">
        <v>320</v>
      </c>
      <c r="D1648" t="s">
        <v>27</v>
      </c>
      <c r="E1648" t="s">
        <v>1274</v>
      </c>
      <c r="F1648">
        <v>139.04</v>
      </c>
      <c r="G1648">
        <v>4</v>
      </c>
      <c r="H1648">
        <v>38.931199999999997</v>
      </c>
      <c r="I1648">
        <v>5</v>
      </c>
      <c r="J1648">
        <v>2014</v>
      </c>
      <c r="K1648" t="s">
        <v>2210</v>
      </c>
      <c r="L1648" t="str">
        <f>TEXT(maintable_2[[#This Row],[Order Date]],"mmmm")</f>
        <v>February</v>
      </c>
    </row>
    <row r="1649" spans="1:12" x14ac:dyDescent="0.3">
      <c r="A1649" s="1">
        <v>41673</v>
      </c>
      <c r="B1649" s="1">
        <v>41678</v>
      </c>
      <c r="C1649" t="s">
        <v>320</v>
      </c>
      <c r="D1649" t="s">
        <v>19</v>
      </c>
      <c r="E1649" t="s">
        <v>876</v>
      </c>
      <c r="F1649">
        <v>46.8</v>
      </c>
      <c r="G1649">
        <v>4</v>
      </c>
      <c r="H1649">
        <v>16.38</v>
      </c>
      <c r="I1649">
        <v>5</v>
      </c>
      <c r="J1649">
        <v>2014</v>
      </c>
      <c r="K1649" t="s">
        <v>2210</v>
      </c>
      <c r="L1649" t="str">
        <f>TEXT(maintable_2[[#This Row],[Order Date]],"mmmm")</f>
        <v>February</v>
      </c>
    </row>
    <row r="1650" spans="1:12" x14ac:dyDescent="0.3">
      <c r="A1650" s="1">
        <v>41998</v>
      </c>
      <c r="B1650" s="1">
        <v>42005</v>
      </c>
      <c r="C1650" t="s">
        <v>1598</v>
      </c>
      <c r="D1650" t="s">
        <v>11</v>
      </c>
      <c r="E1650" t="s">
        <v>1599</v>
      </c>
      <c r="F1650">
        <v>8.5440000000000005</v>
      </c>
      <c r="G1650">
        <v>4</v>
      </c>
      <c r="H1650">
        <v>1.9224000000000001</v>
      </c>
      <c r="I1650">
        <v>7</v>
      </c>
      <c r="J1650">
        <v>2014</v>
      </c>
      <c r="K1650" t="s">
        <v>2207</v>
      </c>
      <c r="L1650" t="str">
        <f>TEXT(maintable_2[[#This Row],[Order Date]],"mmmm")</f>
        <v>December</v>
      </c>
    </row>
    <row r="1651" spans="1:12" x14ac:dyDescent="0.3">
      <c r="A1651" s="1">
        <v>41998</v>
      </c>
      <c r="B1651" s="1">
        <v>42005</v>
      </c>
      <c r="C1651" t="s">
        <v>1598</v>
      </c>
      <c r="D1651" t="s">
        <v>71</v>
      </c>
      <c r="E1651" t="s">
        <v>928</v>
      </c>
      <c r="F1651">
        <v>842.37599999999998</v>
      </c>
      <c r="G1651">
        <v>3</v>
      </c>
      <c r="H1651">
        <v>105.297</v>
      </c>
      <c r="I1651">
        <v>7</v>
      </c>
      <c r="J1651">
        <v>2014</v>
      </c>
      <c r="K1651" t="s">
        <v>2207</v>
      </c>
      <c r="L1651" t="str">
        <f>TEXT(maintable_2[[#This Row],[Order Date]],"mmmm")</f>
        <v>December</v>
      </c>
    </row>
    <row r="1652" spans="1:12" x14ac:dyDescent="0.3">
      <c r="A1652" s="1">
        <v>41705</v>
      </c>
      <c r="B1652" s="1">
        <v>41709</v>
      </c>
      <c r="C1652" t="s">
        <v>84</v>
      </c>
      <c r="D1652" t="s">
        <v>27</v>
      </c>
      <c r="E1652" t="s">
        <v>1106</v>
      </c>
      <c r="F1652">
        <v>67.78</v>
      </c>
      <c r="G1652">
        <v>2</v>
      </c>
      <c r="H1652">
        <v>16.945</v>
      </c>
      <c r="I1652">
        <v>4</v>
      </c>
      <c r="J1652">
        <v>2014</v>
      </c>
      <c r="K1652" t="s">
        <v>2208</v>
      </c>
      <c r="L1652" t="str">
        <f>TEXT(maintable_2[[#This Row],[Order Date]],"mmmm")</f>
        <v>March</v>
      </c>
    </row>
    <row r="1653" spans="1:12" x14ac:dyDescent="0.3">
      <c r="A1653" s="1">
        <v>41908</v>
      </c>
      <c r="B1653" s="1">
        <v>41911</v>
      </c>
      <c r="C1653" t="s">
        <v>1600</v>
      </c>
      <c r="D1653" t="s">
        <v>27</v>
      </c>
      <c r="E1653" t="s">
        <v>1380</v>
      </c>
      <c r="F1653">
        <v>39.9</v>
      </c>
      <c r="G1653">
        <v>5</v>
      </c>
      <c r="H1653">
        <v>10.374000000000001</v>
      </c>
      <c r="I1653">
        <v>3</v>
      </c>
      <c r="J1653">
        <v>2014</v>
      </c>
      <c r="K1653" t="s">
        <v>2209</v>
      </c>
      <c r="L1653" t="str">
        <f>TEXT(maintable_2[[#This Row],[Order Date]],"mmmm")</f>
        <v>September</v>
      </c>
    </row>
    <row r="1654" spans="1:12" x14ac:dyDescent="0.3">
      <c r="A1654" s="1">
        <v>41208</v>
      </c>
      <c r="B1654" s="1">
        <v>41212</v>
      </c>
      <c r="C1654" t="s">
        <v>1402</v>
      </c>
      <c r="D1654" t="s">
        <v>15</v>
      </c>
      <c r="E1654" t="s">
        <v>1601</v>
      </c>
      <c r="F1654">
        <v>105.584</v>
      </c>
      <c r="G1654">
        <v>2</v>
      </c>
      <c r="H1654">
        <v>9.2385999999999999</v>
      </c>
      <c r="I1654">
        <v>4</v>
      </c>
      <c r="J1654">
        <v>2012</v>
      </c>
      <c r="K1654" t="s">
        <v>2209</v>
      </c>
      <c r="L1654" t="str">
        <f>TEXT(maintable_2[[#This Row],[Order Date]],"mmmm")</f>
        <v>October</v>
      </c>
    </row>
    <row r="1655" spans="1:12" x14ac:dyDescent="0.3">
      <c r="A1655" s="1">
        <v>41208</v>
      </c>
      <c r="B1655" s="1">
        <v>41212</v>
      </c>
      <c r="C1655" t="s">
        <v>1402</v>
      </c>
      <c r="D1655" t="s">
        <v>15</v>
      </c>
      <c r="E1655" t="s">
        <v>1602</v>
      </c>
      <c r="F1655">
        <v>68.72</v>
      </c>
      <c r="G1655">
        <v>2</v>
      </c>
      <c r="H1655">
        <v>-14.603</v>
      </c>
      <c r="I1655">
        <v>4</v>
      </c>
      <c r="J1655">
        <v>2012</v>
      </c>
      <c r="K1655" t="s">
        <v>2209</v>
      </c>
      <c r="L1655" t="str">
        <f>TEXT(maintable_2[[#This Row],[Order Date]],"mmmm")</f>
        <v>October</v>
      </c>
    </row>
    <row r="1656" spans="1:12" x14ac:dyDescent="0.3">
      <c r="A1656" s="1">
        <v>40754</v>
      </c>
      <c r="B1656" s="1">
        <v>40760</v>
      </c>
      <c r="C1656" t="s">
        <v>1473</v>
      </c>
      <c r="D1656" t="s">
        <v>196</v>
      </c>
      <c r="E1656" t="s">
        <v>1218</v>
      </c>
      <c r="F1656">
        <v>1367.84</v>
      </c>
      <c r="G1656">
        <v>8</v>
      </c>
      <c r="H1656">
        <v>259.88959999999997</v>
      </c>
      <c r="I1656">
        <v>6</v>
      </c>
      <c r="J1656">
        <v>2011</v>
      </c>
      <c r="K1656" t="s">
        <v>2206</v>
      </c>
      <c r="L1656" t="str">
        <f>TEXT(maintable_2[[#This Row],[Order Date]],"mmmm")</f>
        <v>July</v>
      </c>
    </row>
    <row r="1657" spans="1:12" x14ac:dyDescent="0.3">
      <c r="A1657" s="1">
        <v>41096</v>
      </c>
      <c r="B1657" s="1">
        <v>41101</v>
      </c>
      <c r="C1657" t="s">
        <v>1199</v>
      </c>
      <c r="D1657" t="s">
        <v>71</v>
      </c>
      <c r="E1657" t="s">
        <v>1603</v>
      </c>
      <c r="F1657">
        <v>170.352</v>
      </c>
      <c r="G1657">
        <v>3</v>
      </c>
      <c r="H1657">
        <v>-17.0352</v>
      </c>
      <c r="I1657">
        <v>5</v>
      </c>
      <c r="J1657">
        <v>2012</v>
      </c>
      <c r="K1657" t="s">
        <v>2206</v>
      </c>
      <c r="L1657" t="str">
        <f>TEXT(maintable_2[[#This Row],[Order Date]],"mmmm")</f>
        <v>July</v>
      </c>
    </row>
    <row r="1658" spans="1:12" x14ac:dyDescent="0.3">
      <c r="A1658" s="1">
        <v>40976</v>
      </c>
      <c r="B1658" s="1">
        <v>40978</v>
      </c>
      <c r="C1658" t="s">
        <v>1604</v>
      </c>
      <c r="D1658" t="s">
        <v>13</v>
      </c>
      <c r="E1658" t="s">
        <v>1089</v>
      </c>
      <c r="F1658">
        <v>3.4079999999999999</v>
      </c>
      <c r="G1658">
        <v>1</v>
      </c>
      <c r="H1658">
        <v>0.89459999999999995</v>
      </c>
      <c r="I1658">
        <v>2</v>
      </c>
      <c r="J1658">
        <v>2012</v>
      </c>
      <c r="K1658" t="s">
        <v>2208</v>
      </c>
      <c r="L1658" t="str">
        <f>TEXT(maintable_2[[#This Row],[Order Date]],"mmmm")</f>
        <v>March</v>
      </c>
    </row>
    <row r="1659" spans="1:12" x14ac:dyDescent="0.3">
      <c r="A1659" s="1">
        <v>41584</v>
      </c>
      <c r="B1659" s="1">
        <v>41587</v>
      </c>
      <c r="C1659" t="s">
        <v>212</v>
      </c>
      <c r="D1659" t="s">
        <v>17</v>
      </c>
      <c r="E1659" t="s">
        <v>792</v>
      </c>
      <c r="F1659">
        <v>53.247999999999998</v>
      </c>
      <c r="G1659">
        <v>2</v>
      </c>
      <c r="H1659">
        <v>19.968</v>
      </c>
      <c r="I1659">
        <v>3</v>
      </c>
      <c r="J1659">
        <v>2013</v>
      </c>
      <c r="K1659" t="s">
        <v>2209</v>
      </c>
      <c r="L1659" t="str">
        <f>TEXT(maintable_2[[#This Row],[Order Date]],"mmmm")</f>
        <v>November</v>
      </c>
    </row>
    <row r="1660" spans="1:12" x14ac:dyDescent="0.3">
      <c r="A1660" s="1">
        <v>41012</v>
      </c>
      <c r="B1660" s="1">
        <v>41018</v>
      </c>
      <c r="C1660" t="s">
        <v>990</v>
      </c>
      <c r="D1660" t="s">
        <v>11</v>
      </c>
      <c r="E1660" t="s">
        <v>814</v>
      </c>
      <c r="F1660">
        <v>37.68</v>
      </c>
      <c r="G1660">
        <v>2</v>
      </c>
      <c r="H1660">
        <v>15.8256</v>
      </c>
      <c r="I1660">
        <v>6</v>
      </c>
      <c r="J1660">
        <v>2012</v>
      </c>
      <c r="K1660" t="s">
        <v>2208</v>
      </c>
      <c r="L1660" t="str">
        <f>TEXT(maintable_2[[#This Row],[Order Date]],"mmmm")</f>
        <v>April</v>
      </c>
    </row>
    <row r="1661" spans="1:12" x14ac:dyDescent="0.3">
      <c r="A1661" s="1">
        <v>41012</v>
      </c>
      <c r="B1661" s="1">
        <v>41018</v>
      </c>
      <c r="C1661" t="s">
        <v>990</v>
      </c>
      <c r="D1661" t="s">
        <v>15</v>
      </c>
      <c r="E1661" t="s">
        <v>1605</v>
      </c>
      <c r="F1661">
        <v>258.57600000000002</v>
      </c>
      <c r="G1661">
        <v>2</v>
      </c>
      <c r="H1661">
        <v>19.3932</v>
      </c>
      <c r="I1661">
        <v>6</v>
      </c>
      <c r="J1661">
        <v>2012</v>
      </c>
      <c r="K1661" t="s">
        <v>2208</v>
      </c>
      <c r="L1661" t="str">
        <f>TEXT(maintable_2[[#This Row],[Order Date]],"mmmm")</f>
        <v>April</v>
      </c>
    </row>
    <row r="1662" spans="1:12" x14ac:dyDescent="0.3">
      <c r="A1662" s="1">
        <v>41012</v>
      </c>
      <c r="B1662" s="1">
        <v>41018</v>
      </c>
      <c r="C1662" t="s">
        <v>990</v>
      </c>
      <c r="D1662" t="s">
        <v>19</v>
      </c>
      <c r="E1662" t="s">
        <v>594</v>
      </c>
      <c r="F1662">
        <v>75.84</v>
      </c>
      <c r="G1662">
        <v>2</v>
      </c>
      <c r="H1662">
        <v>29.5776</v>
      </c>
      <c r="I1662">
        <v>6</v>
      </c>
      <c r="J1662">
        <v>2012</v>
      </c>
      <c r="K1662" t="s">
        <v>2208</v>
      </c>
      <c r="L1662" t="str">
        <f>TEXT(maintable_2[[#This Row],[Order Date]],"mmmm")</f>
        <v>April</v>
      </c>
    </row>
    <row r="1663" spans="1:12" x14ac:dyDescent="0.3">
      <c r="A1663" s="1">
        <v>41765</v>
      </c>
      <c r="B1663" s="1">
        <v>41769</v>
      </c>
      <c r="C1663" t="s">
        <v>1606</v>
      </c>
      <c r="D1663" t="s">
        <v>86</v>
      </c>
      <c r="E1663" t="s">
        <v>1607</v>
      </c>
      <c r="F1663">
        <v>23.16</v>
      </c>
      <c r="G1663">
        <v>2</v>
      </c>
      <c r="H1663">
        <v>11.58</v>
      </c>
      <c r="I1663">
        <v>4</v>
      </c>
      <c r="J1663">
        <v>2014</v>
      </c>
      <c r="K1663" t="s">
        <v>2208</v>
      </c>
      <c r="L1663" t="str">
        <f>TEXT(maintable_2[[#This Row],[Order Date]],"mmmm")</f>
        <v>May</v>
      </c>
    </row>
    <row r="1664" spans="1:12" x14ac:dyDescent="0.3">
      <c r="A1664" s="1">
        <v>40673</v>
      </c>
      <c r="B1664" s="1">
        <v>40678</v>
      </c>
      <c r="C1664" t="s">
        <v>1580</v>
      </c>
      <c r="D1664" t="s">
        <v>86</v>
      </c>
      <c r="E1664" t="s">
        <v>1608</v>
      </c>
      <c r="F1664">
        <v>158.13</v>
      </c>
      <c r="G1664">
        <v>3</v>
      </c>
      <c r="H1664">
        <v>77.483699999999999</v>
      </c>
      <c r="I1664">
        <v>5</v>
      </c>
      <c r="J1664">
        <v>2011</v>
      </c>
      <c r="K1664" t="s">
        <v>2208</v>
      </c>
      <c r="L1664" t="str">
        <f>TEXT(maintable_2[[#This Row],[Order Date]],"mmmm")</f>
        <v>May</v>
      </c>
    </row>
    <row r="1665" spans="1:12" x14ac:dyDescent="0.3">
      <c r="A1665" s="1">
        <v>40673</v>
      </c>
      <c r="B1665" s="1">
        <v>40678</v>
      </c>
      <c r="C1665" t="s">
        <v>1580</v>
      </c>
      <c r="D1665" t="s">
        <v>15</v>
      </c>
      <c r="E1665" t="s">
        <v>1609</v>
      </c>
      <c r="F1665">
        <v>43.6</v>
      </c>
      <c r="G1665">
        <v>5</v>
      </c>
      <c r="H1665">
        <v>4.3600000000000003</v>
      </c>
      <c r="I1665">
        <v>5</v>
      </c>
      <c r="J1665">
        <v>2011</v>
      </c>
      <c r="K1665" t="s">
        <v>2208</v>
      </c>
      <c r="L1665" t="str">
        <f>TEXT(maintable_2[[#This Row],[Order Date]],"mmmm")</f>
        <v>May</v>
      </c>
    </row>
    <row r="1666" spans="1:12" x14ac:dyDescent="0.3">
      <c r="A1666" s="1">
        <v>41136</v>
      </c>
      <c r="B1666" s="1">
        <v>41140</v>
      </c>
      <c r="C1666" t="s">
        <v>1610</v>
      </c>
      <c r="D1666" t="s">
        <v>11</v>
      </c>
      <c r="E1666" t="s">
        <v>1315</v>
      </c>
      <c r="F1666">
        <v>104.23</v>
      </c>
      <c r="G1666">
        <v>7</v>
      </c>
      <c r="H1666">
        <v>28.142099999999999</v>
      </c>
      <c r="I1666">
        <v>4</v>
      </c>
      <c r="J1666">
        <v>2012</v>
      </c>
      <c r="K1666" t="s">
        <v>2206</v>
      </c>
      <c r="L1666" t="str">
        <f>TEXT(maintable_2[[#This Row],[Order Date]],"mmmm")</f>
        <v>August</v>
      </c>
    </row>
    <row r="1667" spans="1:12" x14ac:dyDescent="0.3">
      <c r="A1667" s="1">
        <v>41136</v>
      </c>
      <c r="B1667" s="1">
        <v>41140</v>
      </c>
      <c r="C1667" t="s">
        <v>1610</v>
      </c>
      <c r="D1667" t="s">
        <v>27</v>
      </c>
      <c r="E1667" t="s">
        <v>853</v>
      </c>
      <c r="F1667">
        <v>70.260000000000005</v>
      </c>
      <c r="G1667">
        <v>3</v>
      </c>
      <c r="H1667">
        <v>18.970199999999998</v>
      </c>
      <c r="I1667">
        <v>4</v>
      </c>
      <c r="J1667">
        <v>2012</v>
      </c>
      <c r="K1667" t="s">
        <v>2206</v>
      </c>
      <c r="L1667" t="str">
        <f>TEXT(maintable_2[[#This Row],[Order Date]],"mmmm")</f>
        <v>August</v>
      </c>
    </row>
    <row r="1668" spans="1:12" x14ac:dyDescent="0.3">
      <c r="A1668" s="1">
        <v>41544</v>
      </c>
      <c r="B1668" s="1">
        <v>41544</v>
      </c>
      <c r="C1668" t="s">
        <v>393</v>
      </c>
      <c r="D1668" t="s">
        <v>27</v>
      </c>
      <c r="E1668" t="s">
        <v>253</v>
      </c>
      <c r="F1668">
        <v>51.45</v>
      </c>
      <c r="G1668">
        <v>3</v>
      </c>
      <c r="H1668">
        <v>13.891500000000001</v>
      </c>
      <c r="I1668">
        <v>0</v>
      </c>
      <c r="J1668">
        <v>2013</v>
      </c>
      <c r="K1668" t="s">
        <v>2209</v>
      </c>
      <c r="L1668" t="str">
        <f>TEXT(maintable_2[[#This Row],[Order Date]],"mmmm")</f>
        <v>September</v>
      </c>
    </row>
    <row r="1669" spans="1:12" x14ac:dyDescent="0.3">
      <c r="A1669" s="1">
        <v>41544</v>
      </c>
      <c r="B1669" s="1">
        <v>41544</v>
      </c>
      <c r="C1669" t="s">
        <v>393</v>
      </c>
      <c r="D1669" t="s">
        <v>8</v>
      </c>
      <c r="E1669" t="s">
        <v>730</v>
      </c>
      <c r="F1669">
        <v>7.83</v>
      </c>
      <c r="G1669">
        <v>3</v>
      </c>
      <c r="H1669">
        <v>3.6017999999999999</v>
      </c>
      <c r="I1669">
        <v>0</v>
      </c>
      <c r="J1669">
        <v>2013</v>
      </c>
      <c r="K1669" t="s">
        <v>2209</v>
      </c>
      <c r="L1669" t="str">
        <f>TEXT(maintable_2[[#This Row],[Order Date]],"mmmm")</f>
        <v>September</v>
      </c>
    </row>
    <row r="1670" spans="1:12" x14ac:dyDescent="0.3">
      <c r="A1670" s="1">
        <v>41544</v>
      </c>
      <c r="B1670" s="1">
        <v>41544</v>
      </c>
      <c r="C1670" t="s">
        <v>393</v>
      </c>
      <c r="D1670" t="s">
        <v>13</v>
      </c>
      <c r="E1670" t="s">
        <v>1430</v>
      </c>
      <c r="F1670">
        <v>35.4</v>
      </c>
      <c r="G1670">
        <v>5</v>
      </c>
      <c r="H1670">
        <v>13.452</v>
      </c>
      <c r="I1670">
        <v>0</v>
      </c>
      <c r="J1670">
        <v>2013</v>
      </c>
      <c r="K1670" t="s">
        <v>2209</v>
      </c>
      <c r="L1670" t="str">
        <f>TEXT(maintable_2[[#This Row],[Order Date]],"mmmm")</f>
        <v>September</v>
      </c>
    </row>
    <row r="1671" spans="1:12" x14ac:dyDescent="0.3">
      <c r="A1671" s="1">
        <v>41544</v>
      </c>
      <c r="B1671" s="1">
        <v>41544</v>
      </c>
      <c r="C1671" t="s">
        <v>393</v>
      </c>
      <c r="D1671" t="s">
        <v>44</v>
      </c>
      <c r="E1671" t="s">
        <v>254</v>
      </c>
      <c r="F1671">
        <v>29.9</v>
      </c>
      <c r="G1671">
        <v>5</v>
      </c>
      <c r="H1671">
        <v>13.455</v>
      </c>
      <c r="I1671">
        <v>0</v>
      </c>
      <c r="J1671">
        <v>2013</v>
      </c>
      <c r="K1671" t="s">
        <v>2209</v>
      </c>
      <c r="L1671" t="str">
        <f>TEXT(maintable_2[[#This Row],[Order Date]],"mmmm")</f>
        <v>September</v>
      </c>
    </row>
    <row r="1672" spans="1:12" x14ac:dyDescent="0.3">
      <c r="A1672" s="1">
        <v>41745</v>
      </c>
      <c r="B1672" s="1">
        <v>41747</v>
      </c>
      <c r="C1672" t="s">
        <v>479</v>
      </c>
      <c r="D1672" t="s">
        <v>44</v>
      </c>
      <c r="E1672" t="s">
        <v>96</v>
      </c>
      <c r="F1672">
        <v>79.14</v>
      </c>
      <c r="G1672">
        <v>3</v>
      </c>
      <c r="H1672">
        <v>36.404400000000003</v>
      </c>
      <c r="I1672">
        <v>2</v>
      </c>
      <c r="J1672">
        <v>2014</v>
      </c>
      <c r="K1672" t="s">
        <v>2208</v>
      </c>
      <c r="L1672" t="str">
        <f>TEXT(maintable_2[[#This Row],[Order Date]],"mmmm")</f>
        <v>April</v>
      </c>
    </row>
    <row r="1673" spans="1:12" x14ac:dyDescent="0.3">
      <c r="A1673" s="1">
        <v>41895</v>
      </c>
      <c r="B1673" s="1">
        <v>41900</v>
      </c>
      <c r="C1673" t="s">
        <v>998</v>
      </c>
      <c r="D1673" t="s">
        <v>44</v>
      </c>
      <c r="E1673" t="s">
        <v>780</v>
      </c>
      <c r="F1673">
        <v>166.44</v>
      </c>
      <c r="G1673">
        <v>3</v>
      </c>
      <c r="H1673">
        <v>79.891199999999998</v>
      </c>
      <c r="I1673">
        <v>5</v>
      </c>
      <c r="J1673">
        <v>2014</v>
      </c>
      <c r="K1673" t="s">
        <v>2209</v>
      </c>
      <c r="L1673" t="str">
        <f>TEXT(maintable_2[[#This Row],[Order Date]],"mmmm")</f>
        <v>September</v>
      </c>
    </row>
    <row r="1674" spans="1:12" x14ac:dyDescent="0.3">
      <c r="A1674" s="1">
        <v>40873</v>
      </c>
      <c r="B1674" s="1">
        <v>40878</v>
      </c>
      <c r="C1674" t="s">
        <v>70</v>
      </c>
      <c r="D1674" t="s">
        <v>44</v>
      </c>
      <c r="E1674" t="s">
        <v>1611</v>
      </c>
      <c r="F1674">
        <v>81.98</v>
      </c>
      <c r="G1674">
        <v>2</v>
      </c>
      <c r="H1674">
        <v>40.170200000000001</v>
      </c>
      <c r="I1674">
        <v>5</v>
      </c>
      <c r="J1674">
        <v>2011</v>
      </c>
      <c r="K1674" t="s">
        <v>2209</v>
      </c>
      <c r="L1674" t="str">
        <f>TEXT(maintable_2[[#This Row],[Order Date]],"mmmm")</f>
        <v>November</v>
      </c>
    </row>
    <row r="1675" spans="1:12" x14ac:dyDescent="0.3">
      <c r="A1675" s="1">
        <v>41718</v>
      </c>
      <c r="B1675" s="1">
        <v>41721</v>
      </c>
      <c r="C1675" t="s">
        <v>750</v>
      </c>
      <c r="D1675" t="s">
        <v>17</v>
      </c>
      <c r="E1675" t="s">
        <v>1612</v>
      </c>
      <c r="F1675">
        <v>14.624000000000001</v>
      </c>
      <c r="G1675">
        <v>2</v>
      </c>
      <c r="H1675">
        <v>5.1184000000000003</v>
      </c>
      <c r="I1675">
        <v>3</v>
      </c>
      <c r="J1675">
        <v>2014</v>
      </c>
      <c r="K1675" t="s">
        <v>2208</v>
      </c>
      <c r="L1675" t="str">
        <f>TEXT(maintable_2[[#This Row],[Order Date]],"mmmm")</f>
        <v>March</v>
      </c>
    </row>
    <row r="1676" spans="1:12" x14ac:dyDescent="0.3">
      <c r="A1676" s="1">
        <v>41718</v>
      </c>
      <c r="B1676" s="1">
        <v>41721</v>
      </c>
      <c r="C1676" t="s">
        <v>750</v>
      </c>
      <c r="D1676" t="s">
        <v>21</v>
      </c>
      <c r="E1676" t="s">
        <v>1446</v>
      </c>
      <c r="F1676">
        <v>697.16</v>
      </c>
      <c r="G1676">
        <v>5</v>
      </c>
      <c r="H1676">
        <v>8.7144999999999992</v>
      </c>
      <c r="I1676">
        <v>3</v>
      </c>
      <c r="J1676">
        <v>2014</v>
      </c>
      <c r="K1676" t="s">
        <v>2208</v>
      </c>
      <c r="L1676" t="str">
        <f>TEXT(maintable_2[[#This Row],[Order Date]],"mmmm")</f>
        <v>March</v>
      </c>
    </row>
    <row r="1677" spans="1:12" x14ac:dyDescent="0.3">
      <c r="A1677" s="1">
        <v>41718</v>
      </c>
      <c r="B1677" s="1">
        <v>41721</v>
      </c>
      <c r="C1677" t="s">
        <v>750</v>
      </c>
      <c r="D1677" t="s">
        <v>11</v>
      </c>
      <c r="E1677" t="s">
        <v>1613</v>
      </c>
      <c r="F1677">
        <v>30.93</v>
      </c>
      <c r="G1677">
        <v>1</v>
      </c>
      <c r="H1677">
        <v>12.6813</v>
      </c>
      <c r="I1677">
        <v>3</v>
      </c>
      <c r="J1677">
        <v>2014</v>
      </c>
      <c r="K1677" t="s">
        <v>2208</v>
      </c>
      <c r="L1677" t="str">
        <f>TEXT(maintable_2[[#This Row],[Order Date]],"mmmm")</f>
        <v>March</v>
      </c>
    </row>
    <row r="1678" spans="1:12" x14ac:dyDescent="0.3">
      <c r="A1678" s="1">
        <v>41718</v>
      </c>
      <c r="B1678" s="1">
        <v>41721</v>
      </c>
      <c r="C1678" t="s">
        <v>750</v>
      </c>
      <c r="D1678" t="s">
        <v>17</v>
      </c>
      <c r="E1678" t="s">
        <v>1371</v>
      </c>
      <c r="F1678">
        <v>27.495999999999999</v>
      </c>
      <c r="G1678">
        <v>7</v>
      </c>
      <c r="H1678">
        <v>9.2798999999999996</v>
      </c>
      <c r="I1678">
        <v>3</v>
      </c>
      <c r="J1678">
        <v>2014</v>
      </c>
      <c r="K1678" t="s">
        <v>2208</v>
      </c>
      <c r="L1678" t="str">
        <f>TEXT(maintable_2[[#This Row],[Order Date]],"mmmm")</f>
        <v>March</v>
      </c>
    </row>
    <row r="1679" spans="1:12" x14ac:dyDescent="0.3">
      <c r="A1679" s="1">
        <v>41874</v>
      </c>
      <c r="B1679" s="1">
        <v>41875</v>
      </c>
      <c r="C1679" t="s">
        <v>1614</v>
      </c>
      <c r="D1679" t="s">
        <v>21</v>
      </c>
      <c r="E1679" t="s">
        <v>66</v>
      </c>
      <c r="F1679">
        <v>210.00800000000001</v>
      </c>
      <c r="G1679">
        <v>1</v>
      </c>
      <c r="H1679">
        <v>2.6251000000000002</v>
      </c>
      <c r="I1679">
        <v>1</v>
      </c>
      <c r="J1679">
        <v>2014</v>
      </c>
      <c r="K1679" t="s">
        <v>2206</v>
      </c>
      <c r="L1679" t="str">
        <f>TEXT(maintable_2[[#This Row],[Order Date]],"mmmm")</f>
        <v>August</v>
      </c>
    </row>
    <row r="1680" spans="1:12" x14ac:dyDescent="0.3">
      <c r="A1680" s="1">
        <v>41529</v>
      </c>
      <c r="B1680" s="1">
        <v>41535</v>
      </c>
      <c r="C1680" t="s">
        <v>1615</v>
      </c>
      <c r="D1680" t="s">
        <v>27</v>
      </c>
      <c r="E1680" t="s">
        <v>1616</v>
      </c>
      <c r="F1680">
        <v>332.94</v>
      </c>
      <c r="G1680">
        <v>3</v>
      </c>
      <c r="H1680">
        <v>6.6588000000000003</v>
      </c>
      <c r="I1680">
        <v>6</v>
      </c>
      <c r="J1680">
        <v>2013</v>
      </c>
      <c r="K1680" t="s">
        <v>2209</v>
      </c>
      <c r="L1680" t="str">
        <f>TEXT(maintable_2[[#This Row],[Order Date]],"mmmm")</f>
        <v>September</v>
      </c>
    </row>
    <row r="1681" spans="1:12" x14ac:dyDescent="0.3">
      <c r="A1681" s="1">
        <v>41529</v>
      </c>
      <c r="B1681" s="1">
        <v>41535</v>
      </c>
      <c r="C1681" t="s">
        <v>1615</v>
      </c>
      <c r="D1681" t="s">
        <v>17</v>
      </c>
      <c r="E1681" t="s">
        <v>244</v>
      </c>
      <c r="F1681">
        <v>39.872</v>
      </c>
      <c r="G1681">
        <v>2</v>
      </c>
      <c r="H1681">
        <v>12.958399999999999</v>
      </c>
      <c r="I1681">
        <v>6</v>
      </c>
      <c r="J1681">
        <v>2013</v>
      </c>
      <c r="K1681" t="s">
        <v>2209</v>
      </c>
      <c r="L1681" t="str">
        <f>TEXT(maintable_2[[#This Row],[Order Date]],"mmmm")</f>
        <v>September</v>
      </c>
    </row>
    <row r="1682" spans="1:12" x14ac:dyDescent="0.3">
      <c r="A1682" s="1">
        <v>41541</v>
      </c>
      <c r="B1682" s="1">
        <v>41544</v>
      </c>
      <c r="C1682" t="s">
        <v>1617</v>
      </c>
      <c r="D1682" t="s">
        <v>81</v>
      </c>
      <c r="E1682" t="s">
        <v>1618</v>
      </c>
      <c r="F1682">
        <v>13.68</v>
      </c>
      <c r="G1682">
        <v>2</v>
      </c>
      <c r="H1682">
        <v>3.6936</v>
      </c>
      <c r="I1682">
        <v>3</v>
      </c>
      <c r="J1682">
        <v>2013</v>
      </c>
      <c r="K1682" t="s">
        <v>2209</v>
      </c>
      <c r="L1682" t="str">
        <f>TEXT(maintable_2[[#This Row],[Order Date]],"mmmm")</f>
        <v>September</v>
      </c>
    </row>
    <row r="1683" spans="1:12" x14ac:dyDescent="0.3">
      <c r="A1683" s="1">
        <v>41489</v>
      </c>
      <c r="B1683" s="1">
        <v>41491</v>
      </c>
      <c r="C1683" t="s">
        <v>1619</v>
      </c>
      <c r="D1683" t="s">
        <v>21</v>
      </c>
      <c r="E1683" t="s">
        <v>1620</v>
      </c>
      <c r="F1683">
        <v>136.464</v>
      </c>
      <c r="G1683">
        <v>2</v>
      </c>
      <c r="H1683">
        <v>15.3522</v>
      </c>
      <c r="I1683">
        <v>2</v>
      </c>
      <c r="J1683">
        <v>2013</v>
      </c>
      <c r="K1683" t="s">
        <v>2206</v>
      </c>
      <c r="L1683" t="str">
        <f>TEXT(maintable_2[[#This Row],[Order Date]],"mmmm")</f>
        <v>August</v>
      </c>
    </row>
    <row r="1684" spans="1:12" x14ac:dyDescent="0.3">
      <c r="A1684" s="1">
        <v>41489</v>
      </c>
      <c r="B1684" s="1">
        <v>41491</v>
      </c>
      <c r="C1684" t="s">
        <v>1619</v>
      </c>
      <c r="D1684" t="s">
        <v>15</v>
      </c>
      <c r="E1684" t="s">
        <v>120</v>
      </c>
      <c r="F1684">
        <v>333.57600000000002</v>
      </c>
      <c r="G1684">
        <v>3</v>
      </c>
      <c r="H1684">
        <v>33.357599999999998</v>
      </c>
      <c r="I1684">
        <v>2</v>
      </c>
      <c r="J1684">
        <v>2013</v>
      </c>
      <c r="K1684" t="s">
        <v>2206</v>
      </c>
      <c r="L1684" t="str">
        <f>TEXT(maintable_2[[#This Row],[Order Date]],"mmmm")</f>
        <v>August</v>
      </c>
    </row>
    <row r="1685" spans="1:12" x14ac:dyDescent="0.3">
      <c r="A1685" s="1">
        <v>41489</v>
      </c>
      <c r="B1685" s="1">
        <v>41491</v>
      </c>
      <c r="C1685" t="s">
        <v>1619</v>
      </c>
      <c r="D1685" t="s">
        <v>17</v>
      </c>
      <c r="E1685" t="s">
        <v>1621</v>
      </c>
      <c r="F1685">
        <v>12.544</v>
      </c>
      <c r="G1685">
        <v>2</v>
      </c>
      <c r="H1685">
        <v>4.7039999999999997</v>
      </c>
      <c r="I1685">
        <v>2</v>
      </c>
      <c r="J1685">
        <v>2013</v>
      </c>
      <c r="K1685" t="s">
        <v>2206</v>
      </c>
      <c r="L1685" t="str">
        <f>TEXT(maintable_2[[#This Row],[Order Date]],"mmmm")</f>
        <v>August</v>
      </c>
    </row>
    <row r="1686" spans="1:12" x14ac:dyDescent="0.3">
      <c r="A1686" s="1">
        <v>41947</v>
      </c>
      <c r="B1686" s="1">
        <v>41949</v>
      </c>
      <c r="C1686" t="s">
        <v>1622</v>
      </c>
      <c r="D1686" t="s">
        <v>37</v>
      </c>
      <c r="E1686" t="s">
        <v>1250</v>
      </c>
      <c r="F1686">
        <v>43.5</v>
      </c>
      <c r="G1686">
        <v>3</v>
      </c>
      <c r="H1686">
        <v>10.875</v>
      </c>
      <c r="I1686">
        <v>2</v>
      </c>
      <c r="J1686">
        <v>2014</v>
      </c>
      <c r="K1686" t="s">
        <v>2209</v>
      </c>
      <c r="L1686" t="str">
        <f>TEXT(maintable_2[[#This Row],[Order Date]],"mmmm")</f>
        <v>November</v>
      </c>
    </row>
    <row r="1687" spans="1:12" x14ac:dyDescent="0.3">
      <c r="A1687" s="1">
        <v>40609</v>
      </c>
      <c r="B1687" s="1">
        <v>40613</v>
      </c>
      <c r="C1687" t="s">
        <v>789</v>
      </c>
      <c r="D1687" t="s">
        <v>17</v>
      </c>
      <c r="E1687" t="s">
        <v>1623</v>
      </c>
      <c r="F1687">
        <v>107.648</v>
      </c>
      <c r="G1687">
        <v>2</v>
      </c>
      <c r="H1687">
        <v>33.64</v>
      </c>
      <c r="I1687">
        <v>4</v>
      </c>
      <c r="J1687">
        <v>2011</v>
      </c>
      <c r="K1687" t="s">
        <v>2208</v>
      </c>
      <c r="L1687" t="str">
        <f>TEXT(maintable_2[[#This Row],[Order Date]],"mmmm")</f>
        <v>March</v>
      </c>
    </row>
    <row r="1688" spans="1:12" x14ac:dyDescent="0.3">
      <c r="A1688" s="1">
        <v>41643</v>
      </c>
      <c r="B1688" s="1">
        <v>41648</v>
      </c>
      <c r="C1688" t="s">
        <v>1624</v>
      </c>
      <c r="D1688" t="s">
        <v>44</v>
      </c>
      <c r="E1688" t="s">
        <v>1257</v>
      </c>
      <c r="F1688">
        <v>38.880000000000003</v>
      </c>
      <c r="G1688">
        <v>6</v>
      </c>
      <c r="H1688">
        <v>18.662400000000002</v>
      </c>
      <c r="I1688">
        <v>5</v>
      </c>
      <c r="J1688">
        <v>2014</v>
      </c>
      <c r="K1688" t="s">
        <v>2210</v>
      </c>
      <c r="L1688" t="str">
        <f>TEXT(maintable_2[[#This Row],[Order Date]],"mmmm")</f>
        <v>January</v>
      </c>
    </row>
    <row r="1689" spans="1:12" x14ac:dyDescent="0.3">
      <c r="A1689" s="1">
        <v>41922</v>
      </c>
      <c r="B1689" s="1">
        <v>41924</v>
      </c>
      <c r="C1689" t="s">
        <v>230</v>
      </c>
      <c r="D1689" t="s">
        <v>44</v>
      </c>
      <c r="E1689" t="s">
        <v>1625</v>
      </c>
      <c r="F1689">
        <v>35.200000000000003</v>
      </c>
      <c r="G1689">
        <v>5</v>
      </c>
      <c r="H1689">
        <v>16.544</v>
      </c>
      <c r="I1689">
        <v>2</v>
      </c>
      <c r="J1689">
        <v>2014</v>
      </c>
      <c r="K1689" t="s">
        <v>2209</v>
      </c>
      <c r="L1689" t="str">
        <f>TEXT(maintable_2[[#This Row],[Order Date]],"mmmm")</f>
        <v>October</v>
      </c>
    </row>
    <row r="1690" spans="1:12" x14ac:dyDescent="0.3">
      <c r="A1690" s="1">
        <v>41913</v>
      </c>
      <c r="B1690" s="1">
        <v>41916</v>
      </c>
      <c r="C1690" t="s">
        <v>1164</v>
      </c>
      <c r="D1690" t="s">
        <v>44</v>
      </c>
      <c r="E1690" t="s">
        <v>1185</v>
      </c>
      <c r="F1690">
        <v>11.76</v>
      </c>
      <c r="G1690">
        <v>2</v>
      </c>
      <c r="H1690">
        <v>5.7624000000000004</v>
      </c>
      <c r="I1690">
        <v>3</v>
      </c>
      <c r="J1690">
        <v>2014</v>
      </c>
      <c r="K1690" t="s">
        <v>2209</v>
      </c>
      <c r="L1690" t="str">
        <f>TEXT(maintable_2[[#This Row],[Order Date]],"mmmm")</f>
        <v>October</v>
      </c>
    </row>
    <row r="1691" spans="1:12" x14ac:dyDescent="0.3">
      <c r="A1691" s="1">
        <v>41913</v>
      </c>
      <c r="B1691" s="1">
        <v>41916</v>
      </c>
      <c r="C1691" t="s">
        <v>1164</v>
      </c>
      <c r="D1691" t="s">
        <v>44</v>
      </c>
      <c r="E1691" t="s">
        <v>1626</v>
      </c>
      <c r="F1691">
        <v>167.94</v>
      </c>
      <c r="G1691">
        <v>3</v>
      </c>
      <c r="H1691">
        <v>82.290599999999998</v>
      </c>
      <c r="I1691">
        <v>3</v>
      </c>
      <c r="J1691">
        <v>2014</v>
      </c>
      <c r="K1691" t="s">
        <v>2209</v>
      </c>
      <c r="L1691" t="str">
        <f>TEXT(maintable_2[[#This Row],[Order Date]],"mmmm")</f>
        <v>October</v>
      </c>
    </row>
    <row r="1692" spans="1:12" x14ac:dyDescent="0.3">
      <c r="A1692" s="1">
        <v>41913</v>
      </c>
      <c r="B1692" s="1">
        <v>41916</v>
      </c>
      <c r="C1692" t="s">
        <v>1164</v>
      </c>
      <c r="D1692" t="s">
        <v>19</v>
      </c>
      <c r="E1692" t="s">
        <v>1627</v>
      </c>
      <c r="F1692">
        <v>3.89</v>
      </c>
      <c r="G1692">
        <v>1</v>
      </c>
      <c r="H1692">
        <v>1.0114000000000001</v>
      </c>
      <c r="I1692">
        <v>3</v>
      </c>
      <c r="J1692">
        <v>2014</v>
      </c>
      <c r="K1692" t="s">
        <v>2209</v>
      </c>
      <c r="L1692" t="str">
        <f>TEXT(maintable_2[[#This Row],[Order Date]],"mmmm")</f>
        <v>October</v>
      </c>
    </row>
    <row r="1693" spans="1:12" x14ac:dyDescent="0.3">
      <c r="A1693" s="1">
        <v>41894</v>
      </c>
      <c r="B1693" s="1">
        <v>41894</v>
      </c>
      <c r="C1693" t="s">
        <v>1628</v>
      </c>
      <c r="D1693" t="s">
        <v>11</v>
      </c>
      <c r="E1693" t="s">
        <v>1629</v>
      </c>
      <c r="F1693">
        <v>32.36</v>
      </c>
      <c r="G1693">
        <v>4</v>
      </c>
      <c r="H1693">
        <v>11.6496</v>
      </c>
      <c r="I1693">
        <v>0</v>
      </c>
      <c r="J1693">
        <v>2014</v>
      </c>
      <c r="K1693" t="s">
        <v>2209</v>
      </c>
      <c r="L1693" t="str">
        <f>TEXT(maintable_2[[#This Row],[Order Date]],"mmmm")</f>
        <v>September</v>
      </c>
    </row>
    <row r="1694" spans="1:12" x14ac:dyDescent="0.3">
      <c r="A1694" s="1">
        <v>41894</v>
      </c>
      <c r="B1694" s="1">
        <v>41894</v>
      </c>
      <c r="C1694" t="s">
        <v>1628</v>
      </c>
      <c r="D1694" t="s">
        <v>19</v>
      </c>
      <c r="E1694" t="s">
        <v>542</v>
      </c>
      <c r="F1694">
        <v>406.6</v>
      </c>
      <c r="G1694">
        <v>5</v>
      </c>
      <c r="H1694">
        <v>113.848</v>
      </c>
      <c r="I1694">
        <v>0</v>
      </c>
      <c r="J1694">
        <v>2014</v>
      </c>
      <c r="K1694" t="s">
        <v>2209</v>
      </c>
      <c r="L1694" t="str">
        <f>TEXT(maintable_2[[#This Row],[Order Date]],"mmmm")</f>
        <v>September</v>
      </c>
    </row>
    <row r="1695" spans="1:12" x14ac:dyDescent="0.3">
      <c r="A1695" s="1">
        <v>41656</v>
      </c>
      <c r="B1695" s="1">
        <v>41656</v>
      </c>
      <c r="C1695" t="s">
        <v>1357</v>
      </c>
      <c r="D1695" t="s">
        <v>11</v>
      </c>
      <c r="E1695" t="s">
        <v>12</v>
      </c>
      <c r="F1695">
        <v>27.92</v>
      </c>
      <c r="G1695">
        <v>4</v>
      </c>
      <c r="H1695">
        <v>8.0968</v>
      </c>
      <c r="I1695">
        <v>0</v>
      </c>
      <c r="J1695">
        <v>2014</v>
      </c>
      <c r="K1695" t="s">
        <v>2210</v>
      </c>
      <c r="L1695" t="str">
        <f>TEXT(maintable_2[[#This Row],[Order Date]],"mmmm")</f>
        <v>January</v>
      </c>
    </row>
    <row r="1696" spans="1:12" x14ac:dyDescent="0.3">
      <c r="A1696" s="1">
        <v>41656</v>
      </c>
      <c r="B1696" s="1">
        <v>41656</v>
      </c>
      <c r="C1696" t="s">
        <v>1357</v>
      </c>
      <c r="D1696" t="s">
        <v>21</v>
      </c>
      <c r="E1696" t="s">
        <v>1142</v>
      </c>
      <c r="F1696">
        <v>399.67200000000003</v>
      </c>
      <c r="G1696">
        <v>7</v>
      </c>
      <c r="H1696">
        <v>-14.9877</v>
      </c>
      <c r="I1696">
        <v>0</v>
      </c>
      <c r="J1696">
        <v>2014</v>
      </c>
      <c r="K1696" t="s">
        <v>2210</v>
      </c>
      <c r="L1696" t="str">
        <f>TEXT(maintable_2[[#This Row],[Order Date]],"mmmm")</f>
        <v>January</v>
      </c>
    </row>
    <row r="1697" spans="1:12" x14ac:dyDescent="0.3">
      <c r="A1697" s="1">
        <v>40632</v>
      </c>
      <c r="B1697" s="1">
        <v>40637</v>
      </c>
      <c r="C1697" t="s">
        <v>334</v>
      </c>
      <c r="D1697" t="s">
        <v>27</v>
      </c>
      <c r="E1697" t="s">
        <v>1321</v>
      </c>
      <c r="F1697">
        <v>15.84</v>
      </c>
      <c r="G1697">
        <v>3</v>
      </c>
      <c r="H1697">
        <v>0</v>
      </c>
      <c r="I1697">
        <v>5</v>
      </c>
      <c r="J1697">
        <v>2011</v>
      </c>
      <c r="K1697" t="s">
        <v>2208</v>
      </c>
      <c r="L1697" t="str">
        <f>TEXT(maintable_2[[#This Row],[Order Date]],"mmmm")</f>
        <v>March</v>
      </c>
    </row>
    <row r="1698" spans="1:12" x14ac:dyDescent="0.3">
      <c r="A1698" s="1">
        <v>40632</v>
      </c>
      <c r="B1698" s="1">
        <v>40637</v>
      </c>
      <c r="C1698" t="s">
        <v>334</v>
      </c>
      <c r="D1698" t="s">
        <v>8</v>
      </c>
      <c r="E1698" t="s">
        <v>576</v>
      </c>
      <c r="F1698">
        <v>44.4</v>
      </c>
      <c r="G1698">
        <v>3</v>
      </c>
      <c r="H1698">
        <v>22.2</v>
      </c>
      <c r="I1698">
        <v>5</v>
      </c>
      <c r="J1698">
        <v>2011</v>
      </c>
      <c r="K1698" t="s">
        <v>2208</v>
      </c>
      <c r="L1698" t="str">
        <f>TEXT(maintable_2[[#This Row],[Order Date]],"mmmm")</f>
        <v>March</v>
      </c>
    </row>
    <row r="1699" spans="1:12" x14ac:dyDescent="0.3">
      <c r="A1699" s="1">
        <v>41765</v>
      </c>
      <c r="B1699" s="1">
        <v>41766</v>
      </c>
      <c r="C1699" t="s">
        <v>1108</v>
      </c>
      <c r="D1699" t="s">
        <v>86</v>
      </c>
      <c r="E1699" t="s">
        <v>441</v>
      </c>
      <c r="F1699">
        <v>21.24</v>
      </c>
      <c r="G1699">
        <v>9</v>
      </c>
      <c r="H1699">
        <v>7.4340000000000002</v>
      </c>
      <c r="I1699">
        <v>1</v>
      </c>
      <c r="J1699">
        <v>2014</v>
      </c>
      <c r="K1699" t="s">
        <v>2208</v>
      </c>
      <c r="L1699" t="str">
        <f>TEXT(maintable_2[[#This Row],[Order Date]],"mmmm")</f>
        <v>May</v>
      </c>
    </row>
    <row r="1700" spans="1:12" x14ac:dyDescent="0.3">
      <c r="A1700" s="1">
        <v>41765</v>
      </c>
      <c r="B1700" s="1">
        <v>41766</v>
      </c>
      <c r="C1700" t="s">
        <v>1108</v>
      </c>
      <c r="D1700" t="s">
        <v>17</v>
      </c>
      <c r="E1700" t="s">
        <v>68</v>
      </c>
      <c r="F1700">
        <v>9.5519999999999996</v>
      </c>
      <c r="G1700">
        <v>8</v>
      </c>
      <c r="H1700">
        <v>-7.3231999999999999</v>
      </c>
      <c r="I1700">
        <v>1</v>
      </c>
      <c r="J1700">
        <v>2014</v>
      </c>
      <c r="K1700" t="s">
        <v>2208</v>
      </c>
      <c r="L1700" t="str">
        <f>TEXT(maintable_2[[#This Row],[Order Date]],"mmmm")</f>
        <v>May</v>
      </c>
    </row>
    <row r="1701" spans="1:12" x14ac:dyDescent="0.3">
      <c r="A1701" s="1">
        <v>41765</v>
      </c>
      <c r="B1701" s="1">
        <v>41766</v>
      </c>
      <c r="C1701" t="s">
        <v>1108</v>
      </c>
      <c r="D1701" t="s">
        <v>196</v>
      </c>
      <c r="E1701" t="s">
        <v>530</v>
      </c>
      <c r="F1701">
        <v>89.991</v>
      </c>
      <c r="G1701">
        <v>3</v>
      </c>
      <c r="H1701">
        <v>-152.9847</v>
      </c>
      <c r="I1701">
        <v>1</v>
      </c>
      <c r="J1701">
        <v>2014</v>
      </c>
      <c r="K1701" t="s">
        <v>2208</v>
      </c>
      <c r="L1701" t="str">
        <f>TEXT(maintable_2[[#This Row],[Order Date]],"mmmm")</f>
        <v>May</v>
      </c>
    </row>
    <row r="1702" spans="1:12" x14ac:dyDescent="0.3">
      <c r="A1702" s="1">
        <v>41760</v>
      </c>
      <c r="B1702" s="1">
        <v>41765</v>
      </c>
      <c r="C1702" t="s">
        <v>251</v>
      </c>
      <c r="D1702" t="s">
        <v>44</v>
      </c>
      <c r="E1702" t="s">
        <v>737</v>
      </c>
      <c r="F1702">
        <v>163.96</v>
      </c>
      <c r="G1702">
        <v>4</v>
      </c>
      <c r="H1702">
        <v>80.340400000000002</v>
      </c>
      <c r="I1702">
        <v>5</v>
      </c>
      <c r="J1702">
        <v>2014</v>
      </c>
      <c r="K1702" t="s">
        <v>2208</v>
      </c>
      <c r="L1702" t="str">
        <f>TEXT(maintable_2[[#This Row],[Order Date]],"mmmm")</f>
        <v>May</v>
      </c>
    </row>
    <row r="1703" spans="1:12" x14ac:dyDescent="0.3">
      <c r="A1703" s="1">
        <v>41541</v>
      </c>
      <c r="B1703" s="1">
        <v>41544</v>
      </c>
      <c r="C1703" t="s">
        <v>7</v>
      </c>
      <c r="D1703" t="s">
        <v>86</v>
      </c>
      <c r="E1703" t="s">
        <v>115</v>
      </c>
      <c r="F1703">
        <v>4.08</v>
      </c>
      <c r="G1703">
        <v>2</v>
      </c>
      <c r="H1703">
        <v>1.9176</v>
      </c>
      <c r="I1703">
        <v>3</v>
      </c>
      <c r="J1703">
        <v>2013</v>
      </c>
      <c r="K1703" t="s">
        <v>2209</v>
      </c>
      <c r="L1703" t="str">
        <f>TEXT(maintable_2[[#This Row],[Order Date]],"mmmm")</f>
        <v>September</v>
      </c>
    </row>
    <row r="1704" spans="1:12" x14ac:dyDescent="0.3">
      <c r="A1704" s="1">
        <v>41541</v>
      </c>
      <c r="B1704" s="1">
        <v>41544</v>
      </c>
      <c r="C1704" t="s">
        <v>7</v>
      </c>
      <c r="D1704" t="s">
        <v>8</v>
      </c>
      <c r="E1704" t="s">
        <v>1630</v>
      </c>
      <c r="F1704">
        <v>18.899999999999999</v>
      </c>
      <c r="G1704">
        <v>3</v>
      </c>
      <c r="H1704">
        <v>8.6940000000000008</v>
      </c>
      <c r="I1704">
        <v>3</v>
      </c>
      <c r="J1704">
        <v>2013</v>
      </c>
      <c r="K1704" t="s">
        <v>2209</v>
      </c>
      <c r="L1704" t="str">
        <f>TEXT(maintable_2[[#This Row],[Order Date]],"mmmm")</f>
        <v>September</v>
      </c>
    </row>
    <row r="1705" spans="1:12" x14ac:dyDescent="0.3">
      <c r="A1705" s="1">
        <v>41760</v>
      </c>
      <c r="B1705" s="1">
        <v>41765</v>
      </c>
      <c r="C1705" t="s">
        <v>1083</v>
      </c>
      <c r="D1705" t="s">
        <v>11</v>
      </c>
      <c r="E1705" t="s">
        <v>1631</v>
      </c>
      <c r="F1705">
        <v>64.959999999999994</v>
      </c>
      <c r="G1705">
        <v>2</v>
      </c>
      <c r="H1705">
        <v>21.436800000000002</v>
      </c>
      <c r="I1705">
        <v>5</v>
      </c>
      <c r="J1705">
        <v>2014</v>
      </c>
      <c r="K1705" t="s">
        <v>2208</v>
      </c>
      <c r="L1705" t="str">
        <f>TEXT(maintable_2[[#This Row],[Order Date]],"mmmm")</f>
        <v>May</v>
      </c>
    </row>
    <row r="1706" spans="1:12" x14ac:dyDescent="0.3">
      <c r="A1706" s="1">
        <v>41760</v>
      </c>
      <c r="B1706" s="1">
        <v>41765</v>
      </c>
      <c r="C1706" t="s">
        <v>1083</v>
      </c>
      <c r="D1706" t="s">
        <v>86</v>
      </c>
      <c r="E1706" t="s">
        <v>521</v>
      </c>
      <c r="F1706">
        <v>30.56</v>
      </c>
      <c r="G1706">
        <v>4</v>
      </c>
      <c r="H1706">
        <v>14.974399999999999</v>
      </c>
      <c r="I1706">
        <v>5</v>
      </c>
      <c r="J1706">
        <v>2014</v>
      </c>
      <c r="K1706" t="s">
        <v>2208</v>
      </c>
      <c r="L1706" t="str">
        <f>TEXT(maintable_2[[#This Row],[Order Date]],"mmmm")</f>
        <v>May</v>
      </c>
    </row>
    <row r="1707" spans="1:12" x14ac:dyDescent="0.3">
      <c r="A1707" s="1">
        <v>41247</v>
      </c>
      <c r="B1707" s="1">
        <v>41252</v>
      </c>
      <c r="C1707" t="s">
        <v>430</v>
      </c>
      <c r="D1707" t="s">
        <v>13</v>
      </c>
      <c r="E1707" t="s">
        <v>769</v>
      </c>
      <c r="F1707">
        <v>16.899999999999999</v>
      </c>
      <c r="G1707">
        <v>5</v>
      </c>
      <c r="H1707">
        <v>6.2530000000000001</v>
      </c>
      <c r="I1707">
        <v>5</v>
      </c>
      <c r="J1707">
        <v>2012</v>
      </c>
      <c r="K1707" t="s">
        <v>2207</v>
      </c>
      <c r="L1707" t="str">
        <f>TEXT(maintable_2[[#This Row],[Order Date]],"mmmm")</f>
        <v>December</v>
      </c>
    </row>
    <row r="1708" spans="1:12" x14ac:dyDescent="0.3">
      <c r="A1708" s="1">
        <v>41247</v>
      </c>
      <c r="B1708" s="1">
        <v>41252</v>
      </c>
      <c r="C1708" t="s">
        <v>430</v>
      </c>
      <c r="D1708" t="s">
        <v>11</v>
      </c>
      <c r="E1708" t="s">
        <v>633</v>
      </c>
      <c r="F1708">
        <v>25.08</v>
      </c>
      <c r="G1708">
        <v>6</v>
      </c>
      <c r="H1708">
        <v>9.0288000000000004</v>
      </c>
      <c r="I1708">
        <v>5</v>
      </c>
      <c r="J1708">
        <v>2012</v>
      </c>
      <c r="K1708" t="s">
        <v>2207</v>
      </c>
      <c r="L1708" t="str">
        <f>TEXT(maintable_2[[#This Row],[Order Date]],"mmmm")</f>
        <v>December</v>
      </c>
    </row>
    <row r="1709" spans="1:12" x14ac:dyDescent="0.3">
      <c r="A1709" s="1">
        <v>40550</v>
      </c>
      <c r="B1709" s="1">
        <v>40552</v>
      </c>
      <c r="C1709" t="s">
        <v>1632</v>
      </c>
      <c r="D1709" t="s">
        <v>44</v>
      </c>
      <c r="E1709" t="s">
        <v>300</v>
      </c>
      <c r="F1709">
        <v>19.440000000000001</v>
      </c>
      <c r="G1709">
        <v>3</v>
      </c>
      <c r="H1709">
        <v>9.3312000000000008</v>
      </c>
      <c r="I1709">
        <v>2</v>
      </c>
      <c r="J1709">
        <v>2011</v>
      </c>
      <c r="K1709" t="s">
        <v>2210</v>
      </c>
      <c r="L1709" t="str">
        <f>TEXT(maintable_2[[#This Row],[Order Date]],"mmmm")</f>
        <v>January</v>
      </c>
    </row>
    <row r="1710" spans="1:12" x14ac:dyDescent="0.3">
      <c r="A1710" s="1">
        <v>41050</v>
      </c>
      <c r="B1710" s="1">
        <v>41054</v>
      </c>
      <c r="C1710" t="s">
        <v>760</v>
      </c>
      <c r="D1710" t="s">
        <v>17</v>
      </c>
      <c r="E1710" t="s">
        <v>387</v>
      </c>
      <c r="F1710">
        <v>26.975999999999999</v>
      </c>
      <c r="G1710">
        <v>4</v>
      </c>
      <c r="H1710">
        <v>8.7672000000000008</v>
      </c>
      <c r="I1710">
        <v>4</v>
      </c>
      <c r="J1710">
        <v>2012</v>
      </c>
      <c r="K1710" t="s">
        <v>2208</v>
      </c>
      <c r="L1710" t="str">
        <f>TEXT(maintable_2[[#This Row],[Order Date]],"mmmm")</f>
        <v>May</v>
      </c>
    </row>
    <row r="1711" spans="1:12" x14ac:dyDescent="0.3">
      <c r="A1711" s="1">
        <v>41929</v>
      </c>
      <c r="B1711" s="1">
        <v>41934</v>
      </c>
      <c r="C1711" t="s">
        <v>1633</v>
      </c>
      <c r="D1711" t="s">
        <v>44</v>
      </c>
      <c r="E1711" t="s">
        <v>1020</v>
      </c>
      <c r="F1711">
        <v>307.77600000000001</v>
      </c>
      <c r="G1711">
        <v>7</v>
      </c>
      <c r="H1711">
        <v>111.5688</v>
      </c>
      <c r="I1711">
        <v>5</v>
      </c>
      <c r="J1711">
        <v>2014</v>
      </c>
      <c r="K1711" t="s">
        <v>2209</v>
      </c>
      <c r="L1711" t="str">
        <f>TEXT(maintable_2[[#This Row],[Order Date]],"mmmm")</f>
        <v>October</v>
      </c>
    </row>
    <row r="1712" spans="1:12" x14ac:dyDescent="0.3">
      <c r="A1712" s="1">
        <v>41720</v>
      </c>
      <c r="B1712" s="1">
        <v>41722</v>
      </c>
      <c r="C1712" t="s">
        <v>716</v>
      </c>
      <c r="D1712" t="s">
        <v>27</v>
      </c>
      <c r="E1712" t="s">
        <v>134</v>
      </c>
      <c r="F1712">
        <v>725.84</v>
      </c>
      <c r="G1712">
        <v>4</v>
      </c>
      <c r="H1712">
        <v>210.49359999999999</v>
      </c>
      <c r="I1712">
        <v>2</v>
      </c>
      <c r="J1712">
        <v>2014</v>
      </c>
      <c r="K1712" t="s">
        <v>2208</v>
      </c>
      <c r="L1712" t="str">
        <f>TEXT(maintable_2[[#This Row],[Order Date]],"mmmm")</f>
        <v>March</v>
      </c>
    </row>
    <row r="1713" spans="1:12" x14ac:dyDescent="0.3">
      <c r="A1713" s="1">
        <v>41720</v>
      </c>
      <c r="B1713" s="1">
        <v>41722</v>
      </c>
      <c r="C1713" t="s">
        <v>716</v>
      </c>
      <c r="D1713" t="s">
        <v>17</v>
      </c>
      <c r="E1713" t="s">
        <v>626</v>
      </c>
      <c r="F1713">
        <v>10.896000000000001</v>
      </c>
      <c r="G1713">
        <v>3</v>
      </c>
      <c r="H1713">
        <v>3.9498000000000002</v>
      </c>
      <c r="I1713">
        <v>2</v>
      </c>
      <c r="J1713">
        <v>2014</v>
      </c>
      <c r="K1713" t="s">
        <v>2208</v>
      </c>
      <c r="L1713" t="str">
        <f>TEXT(maintable_2[[#This Row],[Order Date]],"mmmm")</f>
        <v>March</v>
      </c>
    </row>
    <row r="1714" spans="1:12" x14ac:dyDescent="0.3">
      <c r="A1714" s="1">
        <v>41720</v>
      </c>
      <c r="B1714" s="1">
        <v>41722</v>
      </c>
      <c r="C1714" t="s">
        <v>716</v>
      </c>
      <c r="D1714" t="s">
        <v>17</v>
      </c>
      <c r="E1714" t="s">
        <v>1634</v>
      </c>
      <c r="F1714">
        <v>8.5440000000000005</v>
      </c>
      <c r="G1714">
        <v>2</v>
      </c>
      <c r="H1714">
        <v>2.8835999999999999</v>
      </c>
      <c r="I1714">
        <v>2</v>
      </c>
      <c r="J1714">
        <v>2014</v>
      </c>
      <c r="K1714" t="s">
        <v>2208</v>
      </c>
      <c r="L1714" t="str">
        <f>TEXT(maintable_2[[#This Row],[Order Date]],"mmmm")</f>
        <v>March</v>
      </c>
    </row>
    <row r="1715" spans="1:12" x14ac:dyDescent="0.3">
      <c r="A1715" s="1">
        <v>40676</v>
      </c>
      <c r="B1715" s="1">
        <v>40682</v>
      </c>
      <c r="C1715" t="s">
        <v>1635</v>
      </c>
      <c r="D1715" t="s">
        <v>71</v>
      </c>
      <c r="E1715" t="s">
        <v>1636</v>
      </c>
      <c r="F1715">
        <v>279.45600000000002</v>
      </c>
      <c r="G1715">
        <v>6</v>
      </c>
      <c r="H1715">
        <v>20.959199999999999</v>
      </c>
      <c r="I1715">
        <v>6</v>
      </c>
      <c r="J1715">
        <v>2011</v>
      </c>
      <c r="K1715" t="s">
        <v>2208</v>
      </c>
      <c r="L1715" t="str">
        <f>TEXT(maintable_2[[#This Row],[Order Date]],"mmmm")</f>
        <v>May</v>
      </c>
    </row>
    <row r="1716" spans="1:12" x14ac:dyDescent="0.3">
      <c r="A1716" s="1">
        <v>40676</v>
      </c>
      <c r="B1716" s="1">
        <v>40682</v>
      </c>
      <c r="C1716" t="s">
        <v>1635</v>
      </c>
      <c r="D1716" t="s">
        <v>44</v>
      </c>
      <c r="E1716" t="s">
        <v>1637</v>
      </c>
      <c r="F1716">
        <v>8</v>
      </c>
      <c r="G1716">
        <v>2</v>
      </c>
      <c r="H1716">
        <v>3.84</v>
      </c>
      <c r="I1716">
        <v>6</v>
      </c>
      <c r="J1716">
        <v>2011</v>
      </c>
      <c r="K1716" t="s">
        <v>2208</v>
      </c>
      <c r="L1716" t="str">
        <f>TEXT(maintable_2[[#This Row],[Order Date]],"mmmm")</f>
        <v>May</v>
      </c>
    </row>
    <row r="1717" spans="1:12" x14ac:dyDescent="0.3">
      <c r="A1717" s="1">
        <v>41547</v>
      </c>
      <c r="B1717" s="1">
        <v>41551</v>
      </c>
      <c r="C1717" t="s">
        <v>1638</v>
      </c>
      <c r="D1717" t="s">
        <v>17</v>
      </c>
      <c r="E1717" t="s">
        <v>896</v>
      </c>
      <c r="F1717">
        <v>27.24</v>
      </c>
      <c r="G1717">
        <v>5</v>
      </c>
      <c r="H1717">
        <v>9.5340000000000007</v>
      </c>
      <c r="I1717">
        <v>4</v>
      </c>
      <c r="J1717">
        <v>2013</v>
      </c>
      <c r="K1717" t="s">
        <v>2209</v>
      </c>
      <c r="L1717" t="str">
        <f>TEXT(maintable_2[[#This Row],[Order Date]],"mmmm")</f>
        <v>September</v>
      </c>
    </row>
    <row r="1718" spans="1:12" x14ac:dyDescent="0.3">
      <c r="A1718" s="1">
        <v>40760</v>
      </c>
      <c r="B1718" s="1">
        <v>40766</v>
      </c>
      <c r="C1718" t="s">
        <v>236</v>
      </c>
      <c r="D1718" t="s">
        <v>37</v>
      </c>
      <c r="E1718" t="s">
        <v>1190</v>
      </c>
      <c r="F1718">
        <v>16.36</v>
      </c>
      <c r="G1718">
        <v>1</v>
      </c>
      <c r="H1718">
        <v>1.6359999999999999</v>
      </c>
      <c r="I1718">
        <v>6</v>
      </c>
      <c r="J1718">
        <v>2011</v>
      </c>
      <c r="K1718" t="s">
        <v>2206</v>
      </c>
      <c r="L1718" t="str">
        <f>TEXT(maintable_2[[#This Row],[Order Date]],"mmmm")</f>
        <v>August</v>
      </c>
    </row>
    <row r="1719" spans="1:12" x14ac:dyDescent="0.3">
      <c r="A1719" s="1">
        <v>40760</v>
      </c>
      <c r="B1719" s="1">
        <v>40766</v>
      </c>
      <c r="C1719" t="s">
        <v>236</v>
      </c>
      <c r="D1719" t="s">
        <v>27</v>
      </c>
      <c r="E1719" t="s">
        <v>1639</v>
      </c>
      <c r="F1719">
        <v>15.78</v>
      </c>
      <c r="G1719">
        <v>2</v>
      </c>
      <c r="H1719">
        <v>0.63119999999999998</v>
      </c>
      <c r="I1719">
        <v>6</v>
      </c>
      <c r="J1719">
        <v>2011</v>
      </c>
      <c r="K1719" t="s">
        <v>2206</v>
      </c>
      <c r="L1719" t="str">
        <f>TEXT(maintable_2[[#This Row],[Order Date]],"mmmm")</f>
        <v>August</v>
      </c>
    </row>
    <row r="1720" spans="1:12" x14ac:dyDescent="0.3">
      <c r="A1720" s="1">
        <v>40760</v>
      </c>
      <c r="B1720" s="1">
        <v>40766</v>
      </c>
      <c r="C1720" t="s">
        <v>236</v>
      </c>
      <c r="D1720" t="s">
        <v>13</v>
      </c>
      <c r="E1720" t="s">
        <v>1640</v>
      </c>
      <c r="F1720">
        <v>45.98</v>
      </c>
      <c r="G1720">
        <v>2</v>
      </c>
      <c r="H1720">
        <v>12.8744</v>
      </c>
      <c r="I1720">
        <v>6</v>
      </c>
      <c r="J1720">
        <v>2011</v>
      </c>
      <c r="K1720" t="s">
        <v>2206</v>
      </c>
      <c r="L1720" t="str">
        <f>TEXT(maintable_2[[#This Row],[Order Date]],"mmmm")</f>
        <v>August</v>
      </c>
    </row>
    <row r="1721" spans="1:12" x14ac:dyDescent="0.3">
      <c r="A1721" s="1">
        <v>40562</v>
      </c>
      <c r="B1721" s="1">
        <v>40565</v>
      </c>
      <c r="C1721" t="s">
        <v>1405</v>
      </c>
      <c r="D1721" t="s">
        <v>19</v>
      </c>
      <c r="E1721" t="s">
        <v>872</v>
      </c>
      <c r="F1721">
        <v>64.864000000000004</v>
      </c>
      <c r="G1721">
        <v>4</v>
      </c>
      <c r="H1721">
        <v>6.4863999999999997</v>
      </c>
      <c r="I1721">
        <v>3</v>
      </c>
      <c r="J1721">
        <v>2011</v>
      </c>
      <c r="K1721" t="s">
        <v>2210</v>
      </c>
      <c r="L1721" t="str">
        <f>TEXT(maintable_2[[#This Row],[Order Date]],"mmmm")</f>
        <v>January</v>
      </c>
    </row>
    <row r="1722" spans="1:12" x14ac:dyDescent="0.3">
      <c r="A1722" s="1">
        <v>41801</v>
      </c>
      <c r="B1722" s="1">
        <v>41806</v>
      </c>
      <c r="C1722" t="s">
        <v>266</v>
      </c>
      <c r="D1722" t="s">
        <v>15</v>
      </c>
      <c r="E1722" t="s">
        <v>420</v>
      </c>
      <c r="F1722">
        <v>88.775999999999996</v>
      </c>
      <c r="G1722">
        <v>3</v>
      </c>
      <c r="H1722">
        <v>7.7679</v>
      </c>
      <c r="I1722">
        <v>5</v>
      </c>
      <c r="J1722">
        <v>2014</v>
      </c>
      <c r="K1722" t="s">
        <v>2206</v>
      </c>
      <c r="L1722" t="str">
        <f>TEXT(maintable_2[[#This Row],[Order Date]],"mmmm")</f>
        <v>June</v>
      </c>
    </row>
    <row r="1723" spans="1:12" x14ac:dyDescent="0.3">
      <c r="A1723" s="1">
        <v>41801</v>
      </c>
      <c r="B1723" s="1">
        <v>41806</v>
      </c>
      <c r="C1723" t="s">
        <v>266</v>
      </c>
      <c r="D1723" t="s">
        <v>8</v>
      </c>
      <c r="E1723" t="s">
        <v>1044</v>
      </c>
      <c r="F1723">
        <v>11.56</v>
      </c>
      <c r="G1723">
        <v>4</v>
      </c>
      <c r="H1723">
        <v>5.4332000000000003</v>
      </c>
      <c r="I1723">
        <v>5</v>
      </c>
      <c r="J1723">
        <v>2014</v>
      </c>
      <c r="K1723" t="s">
        <v>2206</v>
      </c>
      <c r="L1723" t="str">
        <f>TEXT(maintable_2[[#This Row],[Order Date]],"mmmm")</f>
        <v>June</v>
      </c>
    </row>
    <row r="1724" spans="1:12" x14ac:dyDescent="0.3">
      <c r="A1724" s="1">
        <v>41801</v>
      </c>
      <c r="B1724" s="1">
        <v>41806</v>
      </c>
      <c r="C1724" t="s">
        <v>266</v>
      </c>
      <c r="D1724" t="s">
        <v>27</v>
      </c>
      <c r="E1724" t="s">
        <v>1641</v>
      </c>
      <c r="F1724">
        <v>15.58</v>
      </c>
      <c r="G1724">
        <v>1</v>
      </c>
      <c r="H1724">
        <v>3.895</v>
      </c>
      <c r="I1724">
        <v>5</v>
      </c>
      <c r="J1724">
        <v>2014</v>
      </c>
      <c r="K1724" t="s">
        <v>2206</v>
      </c>
      <c r="L1724" t="str">
        <f>TEXT(maintable_2[[#This Row],[Order Date]],"mmmm")</f>
        <v>June</v>
      </c>
    </row>
    <row r="1725" spans="1:12" x14ac:dyDescent="0.3">
      <c r="A1725" s="1">
        <v>41787</v>
      </c>
      <c r="B1725" s="1">
        <v>41791</v>
      </c>
      <c r="C1725" t="s">
        <v>1642</v>
      </c>
      <c r="D1725" t="s">
        <v>37</v>
      </c>
      <c r="E1725" t="s">
        <v>1190</v>
      </c>
      <c r="F1725">
        <v>98.16</v>
      </c>
      <c r="G1725">
        <v>6</v>
      </c>
      <c r="H1725">
        <v>9.8160000000000007</v>
      </c>
      <c r="I1725">
        <v>4</v>
      </c>
      <c r="J1725">
        <v>2014</v>
      </c>
      <c r="K1725" t="s">
        <v>2208</v>
      </c>
      <c r="L1725" t="str">
        <f>TEXT(maintable_2[[#This Row],[Order Date]],"mmmm")</f>
        <v>May</v>
      </c>
    </row>
    <row r="1726" spans="1:12" x14ac:dyDescent="0.3">
      <c r="A1726" s="1">
        <v>41787</v>
      </c>
      <c r="B1726" s="1">
        <v>41791</v>
      </c>
      <c r="C1726" t="s">
        <v>1642</v>
      </c>
      <c r="D1726" t="s">
        <v>13</v>
      </c>
      <c r="E1726" t="s">
        <v>105</v>
      </c>
      <c r="F1726">
        <v>31.44</v>
      </c>
      <c r="G1726">
        <v>3</v>
      </c>
      <c r="H1726">
        <v>7.86</v>
      </c>
      <c r="I1726">
        <v>4</v>
      </c>
      <c r="J1726">
        <v>2014</v>
      </c>
      <c r="K1726" t="s">
        <v>2208</v>
      </c>
      <c r="L1726" t="str">
        <f>TEXT(maintable_2[[#This Row],[Order Date]],"mmmm")</f>
        <v>May</v>
      </c>
    </row>
    <row r="1727" spans="1:12" x14ac:dyDescent="0.3">
      <c r="A1727" s="1">
        <v>41501</v>
      </c>
      <c r="B1727" s="1">
        <v>41505</v>
      </c>
      <c r="C1727" t="s">
        <v>1591</v>
      </c>
      <c r="D1727" t="s">
        <v>44</v>
      </c>
      <c r="E1727" t="s">
        <v>1643</v>
      </c>
      <c r="F1727">
        <v>15.54</v>
      </c>
      <c r="G1727">
        <v>3</v>
      </c>
      <c r="H1727">
        <v>7.6146000000000003</v>
      </c>
      <c r="I1727">
        <v>4</v>
      </c>
      <c r="J1727">
        <v>2013</v>
      </c>
      <c r="K1727" t="s">
        <v>2206</v>
      </c>
      <c r="L1727" t="str">
        <f>TEXT(maintable_2[[#This Row],[Order Date]],"mmmm")</f>
        <v>August</v>
      </c>
    </row>
    <row r="1728" spans="1:12" x14ac:dyDescent="0.3">
      <c r="A1728" s="1">
        <v>41501</v>
      </c>
      <c r="B1728" s="1">
        <v>41505</v>
      </c>
      <c r="C1728" t="s">
        <v>1591</v>
      </c>
      <c r="D1728" t="s">
        <v>494</v>
      </c>
      <c r="E1728" t="s">
        <v>1644</v>
      </c>
      <c r="F1728">
        <v>105.55200000000001</v>
      </c>
      <c r="G1728">
        <v>6</v>
      </c>
      <c r="H1728">
        <v>35.623800000000003</v>
      </c>
      <c r="I1728">
        <v>4</v>
      </c>
      <c r="J1728">
        <v>2013</v>
      </c>
      <c r="K1728" t="s">
        <v>2206</v>
      </c>
      <c r="L1728" t="str">
        <f>TEXT(maintable_2[[#This Row],[Order Date]],"mmmm")</f>
        <v>August</v>
      </c>
    </row>
    <row r="1729" spans="1:12" x14ac:dyDescent="0.3">
      <c r="A1729" s="1">
        <v>41689</v>
      </c>
      <c r="B1729" s="1">
        <v>41692</v>
      </c>
      <c r="C1729" t="s">
        <v>426</v>
      </c>
      <c r="D1729" t="s">
        <v>15</v>
      </c>
      <c r="E1729" t="s">
        <v>235</v>
      </c>
      <c r="F1729">
        <v>167.976</v>
      </c>
      <c r="G1729">
        <v>3</v>
      </c>
      <c r="H1729">
        <v>10.4985</v>
      </c>
      <c r="I1729">
        <v>3</v>
      </c>
      <c r="J1729">
        <v>2014</v>
      </c>
      <c r="K1729" t="s">
        <v>2210</v>
      </c>
      <c r="L1729" t="str">
        <f>TEXT(maintable_2[[#This Row],[Order Date]],"mmmm")</f>
        <v>February</v>
      </c>
    </row>
    <row r="1730" spans="1:12" x14ac:dyDescent="0.3">
      <c r="A1730" s="1">
        <v>41689</v>
      </c>
      <c r="B1730" s="1">
        <v>41692</v>
      </c>
      <c r="C1730" t="s">
        <v>426</v>
      </c>
      <c r="D1730" t="s">
        <v>37</v>
      </c>
      <c r="E1730" t="s">
        <v>940</v>
      </c>
      <c r="F1730">
        <v>109.53</v>
      </c>
      <c r="G1730">
        <v>3</v>
      </c>
      <c r="H1730">
        <v>47.097900000000003</v>
      </c>
      <c r="I1730">
        <v>3</v>
      </c>
      <c r="J1730">
        <v>2014</v>
      </c>
      <c r="K1730" t="s">
        <v>2210</v>
      </c>
      <c r="L1730" t="str">
        <f>TEXT(maintable_2[[#This Row],[Order Date]],"mmmm")</f>
        <v>February</v>
      </c>
    </row>
    <row r="1731" spans="1:12" x14ac:dyDescent="0.3">
      <c r="A1731" s="1">
        <v>41689</v>
      </c>
      <c r="B1731" s="1">
        <v>41692</v>
      </c>
      <c r="C1731" t="s">
        <v>426</v>
      </c>
      <c r="D1731" t="s">
        <v>8</v>
      </c>
      <c r="E1731" t="s">
        <v>1645</v>
      </c>
      <c r="F1731">
        <v>9.82</v>
      </c>
      <c r="G1731">
        <v>2</v>
      </c>
      <c r="H1731">
        <v>4.8117999999999999</v>
      </c>
      <c r="I1731">
        <v>3</v>
      </c>
      <c r="J1731">
        <v>2014</v>
      </c>
      <c r="K1731" t="s">
        <v>2210</v>
      </c>
      <c r="L1731" t="str">
        <f>TEXT(maintable_2[[#This Row],[Order Date]],"mmmm")</f>
        <v>February</v>
      </c>
    </row>
    <row r="1732" spans="1:12" x14ac:dyDescent="0.3">
      <c r="A1732" s="1">
        <v>41954</v>
      </c>
      <c r="B1732" s="1">
        <v>41956</v>
      </c>
      <c r="C1732" t="s">
        <v>1389</v>
      </c>
      <c r="D1732" t="s">
        <v>17</v>
      </c>
      <c r="E1732" t="s">
        <v>805</v>
      </c>
      <c r="F1732">
        <v>26.352</v>
      </c>
      <c r="G1732">
        <v>3</v>
      </c>
      <c r="H1732">
        <v>9.5526</v>
      </c>
      <c r="I1732">
        <v>2</v>
      </c>
      <c r="J1732">
        <v>2014</v>
      </c>
      <c r="K1732" t="s">
        <v>2209</v>
      </c>
      <c r="L1732" t="str">
        <f>TEXT(maintable_2[[#This Row],[Order Date]],"mmmm")</f>
        <v>November</v>
      </c>
    </row>
    <row r="1733" spans="1:12" x14ac:dyDescent="0.3">
      <c r="A1733" s="1">
        <v>40865</v>
      </c>
      <c r="B1733" s="1">
        <v>40868</v>
      </c>
      <c r="C1733" t="s">
        <v>1646</v>
      </c>
      <c r="D1733" t="s">
        <v>44</v>
      </c>
      <c r="E1733" t="s">
        <v>1031</v>
      </c>
      <c r="F1733">
        <v>21.98</v>
      </c>
      <c r="G1733">
        <v>7</v>
      </c>
      <c r="H1733">
        <v>9.891</v>
      </c>
      <c r="I1733">
        <v>3</v>
      </c>
      <c r="J1733">
        <v>2011</v>
      </c>
      <c r="K1733" t="s">
        <v>2209</v>
      </c>
      <c r="L1733" t="str">
        <f>TEXT(maintable_2[[#This Row],[Order Date]],"mmmm")</f>
        <v>November</v>
      </c>
    </row>
    <row r="1734" spans="1:12" x14ac:dyDescent="0.3">
      <c r="A1734" s="1">
        <v>41542</v>
      </c>
      <c r="B1734" s="1">
        <v>41542</v>
      </c>
      <c r="C1734" t="s">
        <v>656</v>
      </c>
      <c r="D1734" t="s">
        <v>11</v>
      </c>
      <c r="E1734" t="s">
        <v>1595</v>
      </c>
      <c r="F1734">
        <v>63.2</v>
      </c>
      <c r="G1734">
        <v>5</v>
      </c>
      <c r="H1734">
        <v>23.384</v>
      </c>
      <c r="I1734">
        <v>0</v>
      </c>
      <c r="J1734">
        <v>2013</v>
      </c>
      <c r="K1734" t="s">
        <v>2209</v>
      </c>
      <c r="L1734" t="str">
        <f>TEXT(maintable_2[[#This Row],[Order Date]],"mmmm")</f>
        <v>September</v>
      </c>
    </row>
    <row r="1735" spans="1:12" x14ac:dyDescent="0.3">
      <c r="A1735" s="1">
        <v>41599</v>
      </c>
      <c r="B1735" s="1">
        <v>41606</v>
      </c>
      <c r="C1735" t="s">
        <v>1647</v>
      </c>
      <c r="D1735" t="s">
        <v>19</v>
      </c>
      <c r="E1735" t="s">
        <v>118</v>
      </c>
      <c r="F1735">
        <v>39</v>
      </c>
      <c r="G1735">
        <v>12</v>
      </c>
      <c r="H1735">
        <v>11.31</v>
      </c>
      <c r="I1735">
        <v>7</v>
      </c>
      <c r="J1735">
        <v>2013</v>
      </c>
      <c r="K1735" t="s">
        <v>2209</v>
      </c>
      <c r="L1735" t="str">
        <f>TEXT(maintable_2[[#This Row],[Order Date]],"mmmm")</f>
        <v>November</v>
      </c>
    </row>
    <row r="1736" spans="1:12" x14ac:dyDescent="0.3">
      <c r="A1736" s="1">
        <v>41374</v>
      </c>
      <c r="B1736" s="1">
        <v>41379</v>
      </c>
      <c r="C1736" t="s">
        <v>1052</v>
      </c>
      <c r="D1736" t="s">
        <v>196</v>
      </c>
      <c r="E1736" t="s">
        <v>1648</v>
      </c>
      <c r="F1736">
        <v>556.66499999999996</v>
      </c>
      <c r="G1736">
        <v>5</v>
      </c>
      <c r="H1736">
        <v>6.5490000000000004</v>
      </c>
      <c r="I1736">
        <v>5</v>
      </c>
      <c r="J1736">
        <v>2013</v>
      </c>
      <c r="K1736" t="s">
        <v>2208</v>
      </c>
      <c r="L1736" t="str">
        <f>TEXT(maintable_2[[#This Row],[Order Date]],"mmmm")</f>
        <v>April</v>
      </c>
    </row>
    <row r="1737" spans="1:12" x14ac:dyDescent="0.3">
      <c r="A1737" s="1">
        <v>41904</v>
      </c>
      <c r="B1737" s="1">
        <v>41906</v>
      </c>
      <c r="C1737" t="s">
        <v>1649</v>
      </c>
      <c r="D1737" t="s">
        <v>37</v>
      </c>
      <c r="E1737" t="s">
        <v>189</v>
      </c>
      <c r="F1737">
        <v>71.98</v>
      </c>
      <c r="G1737">
        <v>2</v>
      </c>
      <c r="H1737">
        <v>15.1158</v>
      </c>
      <c r="I1737">
        <v>2</v>
      </c>
      <c r="J1737">
        <v>2014</v>
      </c>
      <c r="K1737" t="s">
        <v>2209</v>
      </c>
      <c r="L1737" t="str">
        <f>TEXT(maintable_2[[#This Row],[Order Date]],"mmmm")</f>
        <v>September</v>
      </c>
    </row>
    <row r="1738" spans="1:12" x14ac:dyDescent="0.3">
      <c r="A1738" s="1">
        <v>41904</v>
      </c>
      <c r="B1738" s="1">
        <v>41906</v>
      </c>
      <c r="C1738" t="s">
        <v>1649</v>
      </c>
      <c r="D1738" t="s">
        <v>37</v>
      </c>
      <c r="E1738" t="s">
        <v>1650</v>
      </c>
      <c r="F1738">
        <v>79.98</v>
      </c>
      <c r="G1738">
        <v>2</v>
      </c>
      <c r="H1738">
        <v>26.3934</v>
      </c>
      <c r="I1738">
        <v>2</v>
      </c>
      <c r="J1738">
        <v>2014</v>
      </c>
      <c r="K1738" t="s">
        <v>2209</v>
      </c>
      <c r="L1738" t="str">
        <f>TEXT(maintable_2[[#This Row],[Order Date]],"mmmm")</f>
        <v>September</v>
      </c>
    </row>
    <row r="1739" spans="1:12" x14ac:dyDescent="0.3">
      <c r="A1739" s="1">
        <v>41327</v>
      </c>
      <c r="B1739" s="1">
        <v>41331</v>
      </c>
      <c r="C1739" t="s">
        <v>430</v>
      </c>
      <c r="D1739" t="s">
        <v>15</v>
      </c>
      <c r="E1739" t="s">
        <v>304</v>
      </c>
      <c r="F1739">
        <v>445.96</v>
      </c>
      <c r="G1739">
        <v>5</v>
      </c>
      <c r="H1739">
        <v>55.744999999999997</v>
      </c>
      <c r="I1739">
        <v>4</v>
      </c>
      <c r="J1739">
        <v>2013</v>
      </c>
      <c r="K1739" t="s">
        <v>2210</v>
      </c>
      <c r="L1739" t="str">
        <f>TEXT(maintable_2[[#This Row],[Order Date]],"mmmm")</f>
        <v>February</v>
      </c>
    </row>
    <row r="1740" spans="1:12" x14ac:dyDescent="0.3">
      <c r="A1740" s="1">
        <v>41327</v>
      </c>
      <c r="B1740" s="1">
        <v>41331</v>
      </c>
      <c r="C1740" t="s">
        <v>430</v>
      </c>
      <c r="D1740" t="s">
        <v>37</v>
      </c>
      <c r="E1740" t="s">
        <v>1204</v>
      </c>
      <c r="F1740">
        <v>36.24</v>
      </c>
      <c r="G1740">
        <v>1</v>
      </c>
      <c r="H1740">
        <v>15.220800000000001</v>
      </c>
      <c r="I1740">
        <v>4</v>
      </c>
      <c r="J1740">
        <v>2013</v>
      </c>
      <c r="K1740" t="s">
        <v>2210</v>
      </c>
      <c r="L1740" t="str">
        <f>TEXT(maintable_2[[#This Row],[Order Date]],"mmmm")</f>
        <v>February</v>
      </c>
    </row>
    <row r="1741" spans="1:12" x14ac:dyDescent="0.3">
      <c r="A1741" s="1">
        <v>41327</v>
      </c>
      <c r="B1741" s="1">
        <v>41331</v>
      </c>
      <c r="C1741" t="s">
        <v>430</v>
      </c>
      <c r="D1741" t="s">
        <v>78</v>
      </c>
      <c r="E1741" t="s">
        <v>1651</v>
      </c>
      <c r="F1741">
        <v>10.65</v>
      </c>
      <c r="G1741">
        <v>3</v>
      </c>
      <c r="H1741">
        <v>5.0054999999999996</v>
      </c>
      <c r="I1741">
        <v>4</v>
      </c>
      <c r="J1741">
        <v>2013</v>
      </c>
      <c r="K1741" t="s">
        <v>2210</v>
      </c>
      <c r="L1741" t="str">
        <f>TEXT(maintable_2[[#This Row],[Order Date]],"mmmm")</f>
        <v>February</v>
      </c>
    </row>
    <row r="1742" spans="1:12" x14ac:dyDescent="0.3">
      <c r="A1742" s="1">
        <v>41982</v>
      </c>
      <c r="B1742" s="1">
        <v>41988</v>
      </c>
      <c r="C1742" t="s">
        <v>1652</v>
      </c>
      <c r="D1742" t="s">
        <v>44</v>
      </c>
      <c r="E1742" t="s">
        <v>1653</v>
      </c>
      <c r="F1742">
        <v>87.92</v>
      </c>
      <c r="G1742">
        <v>4</v>
      </c>
      <c r="H1742">
        <v>40.443199999999997</v>
      </c>
      <c r="I1742">
        <v>6</v>
      </c>
      <c r="J1742">
        <v>2014</v>
      </c>
      <c r="K1742" t="s">
        <v>2207</v>
      </c>
      <c r="L1742" t="str">
        <f>TEXT(maintable_2[[#This Row],[Order Date]],"mmmm")</f>
        <v>December</v>
      </c>
    </row>
    <row r="1743" spans="1:12" x14ac:dyDescent="0.3">
      <c r="A1743" s="1">
        <v>41982</v>
      </c>
      <c r="B1743" s="1">
        <v>41988</v>
      </c>
      <c r="C1743" t="s">
        <v>1652</v>
      </c>
      <c r="D1743" t="s">
        <v>17</v>
      </c>
      <c r="E1743" t="s">
        <v>1376</v>
      </c>
      <c r="F1743">
        <v>22.423999999999999</v>
      </c>
      <c r="G1743">
        <v>1</v>
      </c>
      <c r="H1743">
        <v>8.4090000000000007</v>
      </c>
      <c r="I1743">
        <v>6</v>
      </c>
      <c r="J1743">
        <v>2014</v>
      </c>
      <c r="K1743" t="s">
        <v>2207</v>
      </c>
      <c r="L1743" t="str">
        <f>TEXT(maintable_2[[#This Row],[Order Date]],"mmmm")</f>
        <v>December</v>
      </c>
    </row>
    <row r="1744" spans="1:12" x14ac:dyDescent="0.3">
      <c r="A1744" s="1">
        <v>41982</v>
      </c>
      <c r="B1744" s="1">
        <v>41988</v>
      </c>
      <c r="C1744" t="s">
        <v>1652</v>
      </c>
      <c r="D1744" t="s">
        <v>17</v>
      </c>
      <c r="E1744" t="s">
        <v>243</v>
      </c>
      <c r="F1744">
        <v>90.48</v>
      </c>
      <c r="G1744">
        <v>3</v>
      </c>
      <c r="H1744">
        <v>33.93</v>
      </c>
      <c r="I1744">
        <v>6</v>
      </c>
      <c r="J1744">
        <v>2014</v>
      </c>
      <c r="K1744" t="s">
        <v>2207</v>
      </c>
      <c r="L1744" t="str">
        <f>TEXT(maintable_2[[#This Row],[Order Date]],"mmmm")</f>
        <v>December</v>
      </c>
    </row>
    <row r="1745" spans="1:12" x14ac:dyDescent="0.3">
      <c r="A1745" s="1">
        <v>41982</v>
      </c>
      <c r="B1745" s="1">
        <v>41988</v>
      </c>
      <c r="C1745" t="s">
        <v>1652</v>
      </c>
      <c r="D1745" t="s">
        <v>27</v>
      </c>
      <c r="E1745" t="s">
        <v>1654</v>
      </c>
      <c r="F1745">
        <v>42.76</v>
      </c>
      <c r="G1745">
        <v>1</v>
      </c>
      <c r="H1745">
        <v>11.117599999999999</v>
      </c>
      <c r="I1745">
        <v>6</v>
      </c>
      <c r="J1745">
        <v>2014</v>
      </c>
      <c r="K1745" t="s">
        <v>2207</v>
      </c>
      <c r="L1745" t="str">
        <f>TEXT(maintable_2[[#This Row],[Order Date]],"mmmm")</f>
        <v>December</v>
      </c>
    </row>
    <row r="1746" spans="1:12" x14ac:dyDescent="0.3">
      <c r="A1746" s="1">
        <v>41901</v>
      </c>
      <c r="B1746" s="1">
        <v>41905</v>
      </c>
      <c r="C1746" t="s">
        <v>1259</v>
      </c>
      <c r="D1746" t="s">
        <v>17</v>
      </c>
      <c r="E1746" t="s">
        <v>429</v>
      </c>
      <c r="F1746">
        <v>10.08</v>
      </c>
      <c r="G1746">
        <v>7</v>
      </c>
      <c r="H1746">
        <v>3.528</v>
      </c>
      <c r="I1746">
        <v>4</v>
      </c>
      <c r="J1746">
        <v>2014</v>
      </c>
      <c r="K1746" t="s">
        <v>2209</v>
      </c>
      <c r="L1746" t="str">
        <f>TEXT(maintable_2[[#This Row],[Order Date]],"mmmm")</f>
        <v>September</v>
      </c>
    </row>
    <row r="1747" spans="1:12" x14ac:dyDescent="0.3">
      <c r="A1747" s="1">
        <v>41901</v>
      </c>
      <c r="B1747" s="1">
        <v>41905</v>
      </c>
      <c r="C1747" t="s">
        <v>1259</v>
      </c>
      <c r="D1747" t="s">
        <v>37</v>
      </c>
      <c r="E1747" t="s">
        <v>1655</v>
      </c>
      <c r="F1747">
        <v>101.34</v>
      </c>
      <c r="G1747">
        <v>3</v>
      </c>
      <c r="H1747">
        <v>8.1072000000000006</v>
      </c>
      <c r="I1747">
        <v>4</v>
      </c>
      <c r="J1747">
        <v>2014</v>
      </c>
      <c r="K1747" t="s">
        <v>2209</v>
      </c>
      <c r="L1747" t="str">
        <f>TEXT(maintable_2[[#This Row],[Order Date]],"mmmm")</f>
        <v>September</v>
      </c>
    </row>
    <row r="1748" spans="1:12" x14ac:dyDescent="0.3">
      <c r="A1748" s="1">
        <v>41638</v>
      </c>
      <c r="B1748" s="1">
        <v>41642</v>
      </c>
      <c r="C1748" t="s">
        <v>531</v>
      </c>
      <c r="D1748" t="s">
        <v>17</v>
      </c>
      <c r="E1748" t="s">
        <v>346</v>
      </c>
      <c r="F1748">
        <v>11.231999999999999</v>
      </c>
      <c r="G1748">
        <v>3</v>
      </c>
      <c r="H1748">
        <v>3.9312</v>
      </c>
      <c r="I1748">
        <v>4</v>
      </c>
      <c r="J1748">
        <v>2013</v>
      </c>
      <c r="K1748" t="s">
        <v>2207</v>
      </c>
      <c r="L1748" t="str">
        <f>TEXT(maintable_2[[#This Row],[Order Date]],"mmmm")</f>
        <v>December</v>
      </c>
    </row>
    <row r="1749" spans="1:12" x14ac:dyDescent="0.3">
      <c r="A1749" s="1">
        <v>41612</v>
      </c>
      <c r="B1749" s="1">
        <v>41615</v>
      </c>
      <c r="C1749" t="s">
        <v>486</v>
      </c>
      <c r="D1749" t="s">
        <v>37</v>
      </c>
      <c r="E1749" t="s">
        <v>1656</v>
      </c>
      <c r="F1749">
        <v>1649.95</v>
      </c>
      <c r="G1749">
        <v>5</v>
      </c>
      <c r="H1749">
        <v>659.98</v>
      </c>
      <c r="I1749">
        <v>3</v>
      </c>
      <c r="J1749">
        <v>2013</v>
      </c>
      <c r="K1749" t="s">
        <v>2207</v>
      </c>
      <c r="L1749" t="str">
        <f>TEXT(maintable_2[[#This Row],[Order Date]],"mmmm")</f>
        <v>December</v>
      </c>
    </row>
    <row r="1750" spans="1:12" x14ac:dyDescent="0.3">
      <c r="A1750" s="1">
        <v>41612</v>
      </c>
      <c r="B1750" s="1">
        <v>41615</v>
      </c>
      <c r="C1750" t="s">
        <v>486</v>
      </c>
      <c r="D1750" t="s">
        <v>11</v>
      </c>
      <c r="E1750" t="s">
        <v>1657</v>
      </c>
      <c r="F1750">
        <v>111.9</v>
      </c>
      <c r="G1750">
        <v>6</v>
      </c>
      <c r="H1750">
        <v>51.473999999999997</v>
      </c>
      <c r="I1750">
        <v>3</v>
      </c>
      <c r="J1750">
        <v>2013</v>
      </c>
      <c r="K1750" t="s">
        <v>2207</v>
      </c>
      <c r="L1750" t="str">
        <f>TEXT(maintable_2[[#This Row],[Order Date]],"mmmm")</f>
        <v>December</v>
      </c>
    </row>
    <row r="1751" spans="1:12" x14ac:dyDescent="0.3">
      <c r="A1751" s="1">
        <v>41440</v>
      </c>
      <c r="B1751" s="1">
        <v>41440</v>
      </c>
      <c r="C1751" t="s">
        <v>1658</v>
      </c>
      <c r="D1751" t="s">
        <v>196</v>
      </c>
      <c r="E1751" t="s">
        <v>1659</v>
      </c>
      <c r="F1751">
        <v>599.16499999999996</v>
      </c>
      <c r="G1751">
        <v>5</v>
      </c>
      <c r="H1751">
        <v>35.244999999999997</v>
      </c>
      <c r="I1751">
        <v>0</v>
      </c>
      <c r="J1751">
        <v>2013</v>
      </c>
      <c r="K1751" t="s">
        <v>2206</v>
      </c>
      <c r="L1751" t="str">
        <f>TEXT(maintable_2[[#This Row],[Order Date]],"mmmm")</f>
        <v>June</v>
      </c>
    </row>
    <row r="1752" spans="1:12" x14ac:dyDescent="0.3">
      <c r="A1752" s="1">
        <v>41520</v>
      </c>
      <c r="B1752" s="1">
        <v>41522</v>
      </c>
      <c r="C1752" t="s">
        <v>571</v>
      </c>
      <c r="D1752" t="s">
        <v>27</v>
      </c>
      <c r="E1752" t="s">
        <v>1660</v>
      </c>
      <c r="F1752">
        <v>46.53</v>
      </c>
      <c r="G1752">
        <v>3</v>
      </c>
      <c r="H1752">
        <v>12.097799999999999</v>
      </c>
      <c r="I1752">
        <v>2</v>
      </c>
      <c r="J1752">
        <v>2013</v>
      </c>
      <c r="K1752" t="s">
        <v>2209</v>
      </c>
      <c r="L1752" t="str">
        <f>TEXT(maintable_2[[#This Row],[Order Date]],"mmmm")</f>
        <v>September</v>
      </c>
    </row>
    <row r="1753" spans="1:12" x14ac:dyDescent="0.3">
      <c r="A1753" s="1">
        <v>41755</v>
      </c>
      <c r="B1753" s="1">
        <v>41759</v>
      </c>
      <c r="C1753" t="s">
        <v>1661</v>
      </c>
      <c r="D1753" t="s">
        <v>13</v>
      </c>
      <c r="E1753" t="s">
        <v>954</v>
      </c>
      <c r="F1753">
        <v>8.8960000000000008</v>
      </c>
      <c r="G1753">
        <v>4</v>
      </c>
      <c r="H1753">
        <v>0.66720000000000002</v>
      </c>
      <c r="I1753">
        <v>4</v>
      </c>
      <c r="J1753">
        <v>2014</v>
      </c>
      <c r="K1753" t="s">
        <v>2208</v>
      </c>
      <c r="L1753" t="str">
        <f>TEXT(maintable_2[[#This Row],[Order Date]],"mmmm")</f>
        <v>April</v>
      </c>
    </row>
    <row r="1754" spans="1:12" x14ac:dyDescent="0.3">
      <c r="A1754" s="1">
        <v>41201</v>
      </c>
      <c r="B1754" s="1">
        <v>41206</v>
      </c>
      <c r="C1754" t="s">
        <v>1481</v>
      </c>
      <c r="D1754" t="s">
        <v>19</v>
      </c>
      <c r="E1754" t="s">
        <v>1662</v>
      </c>
      <c r="F1754">
        <v>1640.7</v>
      </c>
      <c r="G1754">
        <v>5</v>
      </c>
      <c r="H1754">
        <v>459.39600000000002</v>
      </c>
      <c r="I1754">
        <v>5</v>
      </c>
      <c r="J1754">
        <v>2012</v>
      </c>
      <c r="K1754" t="s">
        <v>2209</v>
      </c>
      <c r="L1754" t="str">
        <f>TEXT(maintable_2[[#This Row],[Order Date]],"mmmm")</f>
        <v>October</v>
      </c>
    </row>
    <row r="1755" spans="1:12" x14ac:dyDescent="0.3">
      <c r="A1755" s="1">
        <v>41201</v>
      </c>
      <c r="B1755" s="1">
        <v>41206</v>
      </c>
      <c r="C1755" t="s">
        <v>1481</v>
      </c>
      <c r="D1755" t="s">
        <v>37</v>
      </c>
      <c r="E1755" t="s">
        <v>1663</v>
      </c>
      <c r="F1755">
        <v>270</v>
      </c>
      <c r="G1755">
        <v>3</v>
      </c>
      <c r="H1755">
        <v>97.2</v>
      </c>
      <c r="I1755">
        <v>5</v>
      </c>
      <c r="J1755">
        <v>2012</v>
      </c>
      <c r="K1755" t="s">
        <v>2209</v>
      </c>
      <c r="L1755" t="str">
        <f>TEXT(maintable_2[[#This Row],[Order Date]],"mmmm")</f>
        <v>October</v>
      </c>
    </row>
    <row r="1756" spans="1:12" x14ac:dyDescent="0.3">
      <c r="A1756" s="1">
        <v>41892</v>
      </c>
      <c r="B1756" s="1">
        <v>41896</v>
      </c>
      <c r="C1756" t="s">
        <v>1580</v>
      </c>
      <c r="D1756" t="s">
        <v>44</v>
      </c>
      <c r="E1756" t="s">
        <v>1664</v>
      </c>
      <c r="F1756">
        <v>6.3680000000000003</v>
      </c>
      <c r="G1756">
        <v>2</v>
      </c>
      <c r="H1756">
        <v>2.3879999999999999</v>
      </c>
      <c r="I1756">
        <v>4</v>
      </c>
      <c r="J1756">
        <v>2014</v>
      </c>
      <c r="K1756" t="s">
        <v>2209</v>
      </c>
      <c r="L1756" t="str">
        <f>TEXT(maintable_2[[#This Row],[Order Date]],"mmmm")</f>
        <v>September</v>
      </c>
    </row>
    <row r="1757" spans="1:12" x14ac:dyDescent="0.3">
      <c r="A1757" s="1">
        <v>41478</v>
      </c>
      <c r="B1757" s="1">
        <v>41485</v>
      </c>
      <c r="C1757" t="s">
        <v>931</v>
      </c>
      <c r="D1757" t="s">
        <v>81</v>
      </c>
      <c r="E1757" t="s">
        <v>1665</v>
      </c>
      <c r="F1757">
        <v>86.2</v>
      </c>
      <c r="G1757">
        <v>5</v>
      </c>
      <c r="H1757">
        <v>24.998000000000001</v>
      </c>
      <c r="I1757">
        <v>7</v>
      </c>
      <c r="J1757">
        <v>2013</v>
      </c>
      <c r="K1757" t="s">
        <v>2206</v>
      </c>
      <c r="L1757" t="str">
        <f>TEXT(maintable_2[[#This Row],[Order Date]],"mmmm")</f>
        <v>July</v>
      </c>
    </row>
    <row r="1758" spans="1:12" x14ac:dyDescent="0.3">
      <c r="A1758" s="1">
        <v>42003</v>
      </c>
      <c r="B1758" s="1">
        <v>42007</v>
      </c>
      <c r="C1758" t="s">
        <v>116</v>
      </c>
      <c r="D1758" t="s">
        <v>78</v>
      </c>
      <c r="E1758" t="s">
        <v>1666</v>
      </c>
      <c r="F1758">
        <v>19.600000000000001</v>
      </c>
      <c r="G1758">
        <v>5</v>
      </c>
      <c r="H1758">
        <v>9.6039999999999992</v>
      </c>
      <c r="I1758">
        <v>4</v>
      </c>
      <c r="J1758">
        <v>2014</v>
      </c>
      <c r="K1758" t="s">
        <v>2207</v>
      </c>
      <c r="L1758" t="str">
        <f>TEXT(maintable_2[[#This Row],[Order Date]],"mmmm")</f>
        <v>December</v>
      </c>
    </row>
    <row r="1759" spans="1:12" x14ac:dyDescent="0.3">
      <c r="A1759" s="1">
        <v>42003</v>
      </c>
      <c r="B1759" s="1">
        <v>42007</v>
      </c>
      <c r="C1759" t="s">
        <v>116</v>
      </c>
      <c r="D1759" t="s">
        <v>11</v>
      </c>
      <c r="E1759" t="s">
        <v>776</v>
      </c>
      <c r="F1759">
        <v>68.459999999999994</v>
      </c>
      <c r="G1759">
        <v>2</v>
      </c>
      <c r="H1759">
        <v>20.538</v>
      </c>
      <c r="I1759">
        <v>4</v>
      </c>
      <c r="J1759">
        <v>2014</v>
      </c>
      <c r="K1759" t="s">
        <v>2207</v>
      </c>
      <c r="L1759" t="str">
        <f>TEXT(maintable_2[[#This Row],[Order Date]],"mmmm")</f>
        <v>December</v>
      </c>
    </row>
    <row r="1760" spans="1:12" x14ac:dyDescent="0.3">
      <c r="A1760" s="1">
        <v>41887</v>
      </c>
      <c r="B1760" s="1">
        <v>41889</v>
      </c>
      <c r="C1760" t="s">
        <v>1025</v>
      </c>
      <c r="D1760" t="s">
        <v>17</v>
      </c>
      <c r="E1760" t="s">
        <v>1567</v>
      </c>
      <c r="F1760">
        <v>13.343999999999999</v>
      </c>
      <c r="G1760">
        <v>6</v>
      </c>
      <c r="H1760">
        <v>4.3368000000000002</v>
      </c>
      <c r="I1760">
        <v>2</v>
      </c>
      <c r="J1760">
        <v>2014</v>
      </c>
      <c r="K1760" t="s">
        <v>2209</v>
      </c>
      <c r="L1760" t="str">
        <f>TEXT(maintable_2[[#This Row],[Order Date]],"mmmm")</f>
        <v>September</v>
      </c>
    </row>
    <row r="1761" spans="1:12" x14ac:dyDescent="0.3">
      <c r="A1761" s="1">
        <v>41887</v>
      </c>
      <c r="B1761" s="1">
        <v>41889</v>
      </c>
      <c r="C1761" t="s">
        <v>1025</v>
      </c>
      <c r="D1761" t="s">
        <v>21</v>
      </c>
      <c r="E1761" t="s">
        <v>1667</v>
      </c>
      <c r="F1761">
        <v>1478.2719999999999</v>
      </c>
      <c r="G1761">
        <v>8</v>
      </c>
      <c r="H1761">
        <v>92.391999999999996</v>
      </c>
      <c r="I1761">
        <v>2</v>
      </c>
      <c r="J1761">
        <v>2014</v>
      </c>
      <c r="K1761" t="s">
        <v>2209</v>
      </c>
      <c r="L1761" t="str">
        <f>TEXT(maintable_2[[#This Row],[Order Date]],"mmmm")</f>
        <v>September</v>
      </c>
    </row>
    <row r="1762" spans="1:12" x14ac:dyDescent="0.3">
      <c r="A1762" s="1">
        <v>41911</v>
      </c>
      <c r="B1762" s="1">
        <v>41917</v>
      </c>
      <c r="C1762" t="s">
        <v>1482</v>
      </c>
      <c r="D1762" t="s">
        <v>11</v>
      </c>
      <c r="E1762" t="s">
        <v>83</v>
      </c>
      <c r="F1762">
        <v>9.24</v>
      </c>
      <c r="G1762">
        <v>3</v>
      </c>
      <c r="H1762">
        <v>4.4352</v>
      </c>
      <c r="I1762">
        <v>6</v>
      </c>
      <c r="J1762">
        <v>2014</v>
      </c>
      <c r="K1762" t="s">
        <v>2209</v>
      </c>
      <c r="L1762" t="str">
        <f>TEXT(maintable_2[[#This Row],[Order Date]],"mmmm")</f>
        <v>September</v>
      </c>
    </row>
    <row r="1763" spans="1:12" x14ac:dyDescent="0.3">
      <c r="A1763" s="1">
        <v>40563</v>
      </c>
      <c r="B1763" s="1">
        <v>40564</v>
      </c>
      <c r="C1763" t="s">
        <v>1373</v>
      </c>
      <c r="D1763" t="s">
        <v>17</v>
      </c>
      <c r="E1763" t="s">
        <v>718</v>
      </c>
      <c r="F1763">
        <v>32.340000000000003</v>
      </c>
      <c r="G1763">
        <v>10</v>
      </c>
      <c r="H1763">
        <v>-23.716000000000001</v>
      </c>
      <c r="I1763">
        <v>1</v>
      </c>
      <c r="J1763">
        <v>2011</v>
      </c>
      <c r="K1763" t="s">
        <v>2210</v>
      </c>
      <c r="L1763" t="str">
        <f>TEXT(maintable_2[[#This Row],[Order Date]],"mmmm")</f>
        <v>January</v>
      </c>
    </row>
    <row r="1764" spans="1:12" x14ac:dyDescent="0.3">
      <c r="A1764" s="1">
        <v>40563</v>
      </c>
      <c r="B1764" s="1">
        <v>40564</v>
      </c>
      <c r="C1764" t="s">
        <v>1373</v>
      </c>
      <c r="D1764" t="s">
        <v>44</v>
      </c>
      <c r="E1764" t="s">
        <v>1668</v>
      </c>
      <c r="F1764">
        <v>56.064</v>
      </c>
      <c r="G1764">
        <v>4</v>
      </c>
      <c r="H1764">
        <v>19.622399999999999</v>
      </c>
      <c r="I1764">
        <v>1</v>
      </c>
      <c r="J1764">
        <v>2011</v>
      </c>
      <c r="K1764" t="s">
        <v>2210</v>
      </c>
      <c r="L1764" t="str">
        <f>TEXT(maintable_2[[#This Row],[Order Date]],"mmmm")</f>
        <v>January</v>
      </c>
    </row>
    <row r="1765" spans="1:12" x14ac:dyDescent="0.3">
      <c r="A1765" s="1">
        <v>40563</v>
      </c>
      <c r="B1765" s="1">
        <v>40564</v>
      </c>
      <c r="C1765" t="s">
        <v>1373</v>
      </c>
      <c r="D1765" t="s">
        <v>86</v>
      </c>
      <c r="E1765" t="s">
        <v>1160</v>
      </c>
      <c r="F1765">
        <v>108.72</v>
      </c>
      <c r="G1765">
        <v>5</v>
      </c>
      <c r="H1765">
        <v>36.692999999999998</v>
      </c>
      <c r="I1765">
        <v>1</v>
      </c>
      <c r="J1765">
        <v>2011</v>
      </c>
      <c r="K1765" t="s">
        <v>2210</v>
      </c>
      <c r="L1765" t="str">
        <f>TEXT(maintable_2[[#This Row],[Order Date]],"mmmm")</f>
        <v>January</v>
      </c>
    </row>
    <row r="1766" spans="1:12" x14ac:dyDescent="0.3">
      <c r="A1766" s="1">
        <v>40563</v>
      </c>
      <c r="B1766" s="1">
        <v>40564</v>
      </c>
      <c r="C1766" t="s">
        <v>1373</v>
      </c>
      <c r="D1766" t="s">
        <v>196</v>
      </c>
      <c r="E1766" t="s">
        <v>197</v>
      </c>
      <c r="F1766">
        <v>181.47</v>
      </c>
      <c r="G1766">
        <v>5</v>
      </c>
      <c r="H1766">
        <v>-320.59699999999998</v>
      </c>
      <c r="I1766">
        <v>1</v>
      </c>
      <c r="J1766">
        <v>2011</v>
      </c>
      <c r="K1766" t="s">
        <v>2210</v>
      </c>
      <c r="L1766" t="str">
        <f>TEXT(maintable_2[[#This Row],[Order Date]],"mmmm")</f>
        <v>January</v>
      </c>
    </row>
    <row r="1767" spans="1:12" x14ac:dyDescent="0.3">
      <c r="A1767" s="1">
        <v>41435</v>
      </c>
      <c r="B1767" s="1">
        <v>41440</v>
      </c>
      <c r="C1767" t="s">
        <v>1669</v>
      </c>
      <c r="D1767" t="s">
        <v>71</v>
      </c>
      <c r="E1767" t="s">
        <v>920</v>
      </c>
      <c r="F1767">
        <v>122.352</v>
      </c>
      <c r="G1767">
        <v>3</v>
      </c>
      <c r="H1767">
        <v>13.7646</v>
      </c>
      <c r="I1767">
        <v>5</v>
      </c>
      <c r="J1767">
        <v>2013</v>
      </c>
      <c r="K1767" t="s">
        <v>2206</v>
      </c>
      <c r="L1767" t="str">
        <f>TEXT(maintable_2[[#This Row],[Order Date]],"mmmm")</f>
        <v>June</v>
      </c>
    </row>
    <row r="1768" spans="1:12" x14ac:dyDescent="0.3">
      <c r="A1768" s="1">
        <v>40812</v>
      </c>
      <c r="B1768" s="1">
        <v>40813</v>
      </c>
      <c r="C1768" t="s">
        <v>863</v>
      </c>
      <c r="D1768" t="s">
        <v>71</v>
      </c>
      <c r="E1768" t="s">
        <v>1535</v>
      </c>
      <c r="F1768">
        <v>585.55200000000002</v>
      </c>
      <c r="G1768">
        <v>3</v>
      </c>
      <c r="H1768">
        <v>73.194000000000003</v>
      </c>
      <c r="I1768">
        <v>1</v>
      </c>
      <c r="J1768">
        <v>2011</v>
      </c>
      <c r="K1768" t="s">
        <v>2209</v>
      </c>
      <c r="L1768" t="str">
        <f>TEXT(maintable_2[[#This Row],[Order Date]],"mmmm")</f>
        <v>September</v>
      </c>
    </row>
    <row r="1769" spans="1:12" x14ac:dyDescent="0.3">
      <c r="A1769" s="1">
        <v>40812</v>
      </c>
      <c r="B1769" s="1">
        <v>40813</v>
      </c>
      <c r="C1769" t="s">
        <v>863</v>
      </c>
      <c r="D1769" t="s">
        <v>44</v>
      </c>
      <c r="E1769" t="s">
        <v>1670</v>
      </c>
      <c r="F1769">
        <v>19.440000000000001</v>
      </c>
      <c r="G1769">
        <v>3</v>
      </c>
      <c r="H1769">
        <v>9.3312000000000008</v>
      </c>
      <c r="I1769">
        <v>1</v>
      </c>
      <c r="J1769">
        <v>2011</v>
      </c>
      <c r="K1769" t="s">
        <v>2209</v>
      </c>
      <c r="L1769" t="str">
        <f>TEXT(maintable_2[[#This Row],[Order Date]],"mmmm")</f>
        <v>September</v>
      </c>
    </row>
    <row r="1770" spans="1:12" x14ac:dyDescent="0.3">
      <c r="A1770" s="1">
        <v>41993</v>
      </c>
      <c r="B1770" s="1">
        <v>41997</v>
      </c>
      <c r="C1770" t="s">
        <v>1259</v>
      </c>
      <c r="D1770" t="s">
        <v>11</v>
      </c>
      <c r="E1770" t="s">
        <v>1671</v>
      </c>
      <c r="F1770">
        <v>13.36</v>
      </c>
      <c r="G1770">
        <v>5</v>
      </c>
      <c r="H1770">
        <v>4.008</v>
      </c>
      <c r="I1770">
        <v>4</v>
      </c>
      <c r="J1770">
        <v>2014</v>
      </c>
      <c r="K1770" t="s">
        <v>2207</v>
      </c>
      <c r="L1770" t="str">
        <f>TEXT(maintable_2[[#This Row],[Order Date]],"mmmm")</f>
        <v>December</v>
      </c>
    </row>
    <row r="1771" spans="1:12" x14ac:dyDescent="0.3">
      <c r="A1771" s="1">
        <v>41993</v>
      </c>
      <c r="B1771" s="1">
        <v>41997</v>
      </c>
      <c r="C1771" t="s">
        <v>1259</v>
      </c>
      <c r="D1771" t="s">
        <v>27</v>
      </c>
      <c r="E1771" t="s">
        <v>1672</v>
      </c>
      <c r="F1771">
        <v>78.256</v>
      </c>
      <c r="G1771">
        <v>2</v>
      </c>
      <c r="H1771">
        <v>-17.607600000000001</v>
      </c>
      <c r="I1771">
        <v>4</v>
      </c>
      <c r="J1771">
        <v>2014</v>
      </c>
      <c r="K1771" t="s">
        <v>2207</v>
      </c>
      <c r="L1771" t="str">
        <f>TEXT(maintable_2[[#This Row],[Order Date]],"mmmm")</f>
        <v>December</v>
      </c>
    </row>
    <row r="1772" spans="1:12" x14ac:dyDescent="0.3">
      <c r="A1772" s="1">
        <v>41993</v>
      </c>
      <c r="B1772" s="1">
        <v>41997</v>
      </c>
      <c r="C1772" t="s">
        <v>1259</v>
      </c>
      <c r="D1772" t="s">
        <v>196</v>
      </c>
      <c r="E1772" t="s">
        <v>1673</v>
      </c>
      <c r="F1772">
        <v>102.018</v>
      </c>
      <c r="G1772">
        <v>7</v>
      </c>
      <c r="H1772">
        <v>-183.63239999999999</v>
      </c>
      <c r="I1772">
        <v>4</v>
      </c>
      <c r="J1772">
        <v>2014</v>
      </c>
      <c r="K1772" t="s">
        <v>2207</v>
      </c>
      <c r="L1772" t="str">
        <f>TEXT(maintable_2[[#This Row],[Order Date]],"mmmm")</f>
        <v>December</v>
      </c>
    </row>
    <row r="1773" spans="1:12" x14ac:dyDescent="0.3">
      <c r="A1773" s="1">
        <v>41921</v>
      </c>
      <c r="B1773" s="1">
        <v>41927</v>
      </c>
      <c r="C1773" t="s">
        <v>1410</v>
      </c>
      <c r="D1773" t="s">
        <v>15</v>
      </c>
      <c r="E1773" t="s">
        <v>1674</v>
      </c>
      <c r="F1773">
        <v>103.19199999999999</v>
      </c>
      <c r="G1773">
        <v>1</v>
      </c>
      <c r="H1773">
        <v>11.6091</v>
      </c>
      <c r="I1773">
        <v>6</v>
      </c>
      <c r="J1773">
        <v>2014</v>
      </c>
      <c r="K1773" t="s">
        <v>2209</v>
      </c>
      <c r="L1773" t="str">
        <f>TEXT(maintable_2[[#This Row],[Order Date]],"mmmm")</f>
        <v>October</v>
      </c>
    </row>
    <row r="1774" spans="1:12" x14ac:dyDescent="0.3">
      <c r="A1774" s="1">
        <v>41921</v>
      </c>
      <c r="B1774" s="1">
        <v>41927</v>
      </c>
      <c r="C1774" t="s">
        <v>1410</v>
      </c>
      <c r="D1774" t="s">
        <v>37</v>
      </c>
      <c r="E1774" t="s">
        <v>1675</v>
      </c>
      <c r="F1774">
        <v>36</v>
      </c>
      <c r="G1774">
        <v>2</v>
      </c>
      <c r="H1774">
        <v>6.48</v>
      </c>
      <c r="I1774">
        <v>6</v>
      </c>
      <c r="J1774">
        <v>2014</v>
      </c>
      <c r="K1774" t="s">
        <v>2209</v>
      </c>
      <c r="L1774" t="str">
        <f>TEXT(maintable_2[[#This Row],[Order Date]],"mmmm")</f>
        <v>October</v>
      </c>
    </row>
    <row r="1775" spans="1:12" x14ac:dyDescent="0.3">
      <c r="A1775" s="1">
        <v>41921</v>
      </c>
      <c r="B1775" s="1">
        <v>41927</v>
      </c>
      <c r="C1775" t="s">
        <v>1410</v>
      </c>
      <c r="D1775" t="s">
        <v>37</v>
      </c>
      <c r="E1775" t="s">
        <v>342</v>
      </c>
      <c r="F1775">
        <v>239.96</v>
      </c>
      <c r="G1775">
        <v>4</v>
      </c>
      <c r="H1775">
        <v>115.1808</v>
      </c>
      <c r="I1775">
        <v>6</v>
      </c>
      <c r="J1775">
        <v>2014</v>
      </c>
      <c r="K1775" t="s">
        <v>2209</v>
      </c>
      <c r="L1775" t="str">
        <f>TEXT(maintable_2[[#This Row],[Order Date]],"mmmm")</f>
        <v>October</v>
      </c>
    </row>
    <row r="1776" spans="1:12" x14ac:dyDescent="0.3">
      <c r="A1776" s="1">
        <v>41921</v>
      </c>
      <c r="B1776" s="1">
        <v>41927</v>
      </c>
      <c r="C1776" t="s">
        <v>1410</v>
      </c>
      <c r="D1776" t="s">
        <v>27</v>
      </c>
      <c r="E1776" t="s">
        <v>1454</v>
      </c>
      <c r="F1776">
        <v>40.68</v>
      </c>
      <c r="G1776">
        <v>2</v>
      </c>
      <c r="H1776">
        <v>0.40679999999999999</v>
      </c>
      <c r="I1776">
        <v>6</v>
      </c>
      <c r="J1776">
        <v>2014</v>
      </c>
      <c r="K1776" t="s">
        <v>2209</v>
      </c>
      <c r="L1776" t="str">
        <f>TEXT(maintable_2[[#This Row],[Order Date]],"mmmm")</f>
        <v>October</v>
      </c>
    </row>
    <row r="1777" spans="1:12" x14ac:dyDescent="0.3">
      <c r="A1777" s="1">
        <v>40875</v>
      </c>
      <c r="B1777" s="1">
        <v>40875</v>
      </c>
      <c r="C1777" t="s">
        <v>1676</v>
      </c>
      <c r="D1777" t="s">
        <v>81</v>
      </c>
      <c r="E1777" t="s">
        <v>105</v>
      </c>
      <c r="F1777">
        <v>7.36</v>
      </c>
      <c r="G1777">
        <v>2</v>
      </c>
      <c r="H1777">
        <v>0.1472</v>
      </c>
      <c r="I1777">
        <v>0</v>
      </c>
      <c r="J1777">
        <v>2011</v>
      </c>
      <c r="K1777" t="s">
        <v>2209</v>
      </c>
      <c r="L1777" t="str">
        <f>TEXT(maintable_2[[#This Row],[Order Date]],"mmmm")</f>
        <v>November</v>
      </c>
    </row>
    <row r="1778" spans="1:12" x14ac:dyDescent="0.3">
      <c r="A1778" s="1">
        <v>40875</v>
      </c>
      <c r="B1778" s="1">
        <v>40875</v>
      </c>
      <c r="C1778" t="s">
        <v>1676</v>
      </c>
      <c r="D1778" t="s">
        <v>8</v>
      </c>
      <c r="E1778" t="s">
        <v>1167</v>
      </c>
      <c r="F1778">
        <v>41.4</v>
      </c>
      <c r="G1778">
        <v>4</v>
      </c>
      <c r="H1778">
        <v>19.872</v>
      </c>
      <c r="I1778">
        <v>0</v>
      </c>
      <c r="J1778">
        <v>2011</v>
      </c>
      <c r="K1778" t="s">
        <v>2209</v>
      </c>
      <c r="L1778" t="str">
        <f>TEXT(maintable_2[[#This Row],[Order Date]],"mmmm")</f>
        <v>November</v>
      </c>
    </row>
    <row r="1779" spans="1:12" x14ac:dyDescent="0.3">
      <c r="A1779" s="1">
        <v>40875</v>
      </c>
      <c r="B1779" s="1">
        <v>40875</v>
      </c>
      <c r="C1779" t="s">
        <v>1676</v>
      </c>
      <c r="D1779" t="s">
        <v>196</v>
      </c>
      <c r="E1779" t="s">
        <v>733</v>
      </c>
      <c r="F1779">
        <v>411.33199999999999</v>
      </c>
      <c r="G1779">
        <v>4</v>
      </c>
      <c r="H1779">
        <v>-4.8391999999999999</v>
      </c>
      <c r="I1779">
        <v>0</v>
      </c>
      <c r="J1779">
        <v>2011</v>
      </c>
      <c r="K1779" t="s">
        <v>2209</v>
      </c>
      <c r="L1779" t="str">
        <f>TEXT(maintable_2[[#This Row],[Order Date]],"mmmm")</f>
        <v>November</v>
      </c>
    </row>
    <row r="1780" spans="1:12" x14ac:dyDescent="0.3">
      <c r="A1780" s="1">
        <v>41556</v>
      </c>
      <c r="B1780" s="1">
        <v>41556</v>
      </c>
      <c r="C1780" t="s">
        <v>208</v>
      </c>
      <c r="D1780" t="s">
        <v>44</v>
      </c>
      <c r="E1780" t="s">
        <v>1677</v>
      </c>
      <c r="F1780">
        <v>61.96</v>
      </c>
      <c r="G1780">
        <v>2</v>
      </c>
      <c r="H1780">
        <v>27.882000000000001</v>
      </c>
      <c r="I1780">
        <v>0</v>
      </c>
      <c r="J1780">
        <v>2013</v>
      </c>
      <c r="K1780" t="s">
        <v>2209</v>
      </c>
      <c r="L1780" t="str">
        <f>TEXT(maintable_2[[#This Row],[Order Date]],"mmmm")</f>
        <v>October</v>
      </c>
    </row>
    <row r="1781" spans="1:12" x14ac:dyDescent="0.3">
      <c r="A1781" s="1">
        <v>41190</v>
      </c>
      <c r="B1781" s="1">
        <v>41194</v>
      </c>
      <c r="C1781" t="s">
        <v>610</v>
      </c>
      <c r="D1781" t="s">
        <v>11</v>
      </c>
      <c r="E1781" t="s">
        <v>572</v>
      </c>
      <c r="F1781">
        <v>145.9</v>
      </c>
      <c r="G1781">
        <v>5</v>
      </c>
      <c r="H1781">
        <v>62.737000000000002</v>
      </c>
      <c r="I1781">
        <v>4</v>
      </c>
      <c r="J1781">
        <v>2012</v>
      </c>
      <c r="K1781" t="s">
        <v>2209</v>
      </c>
      <c r="L1781" t="str">
        <f>TEXT(maintable_2[[#This Row],[Order Date]],"mmmm")</f>
        <v>October</v>
      </c>
    </row>
    <row r="1782" spans="1:12" x14ac:dyDescent="0.3">
      <c r="A1782" s="1">
        <v>40599</v>
      </c>
      <c r="B1782" s="1">
        <v>40604</v>
      </c>
      <c r="C1782" t="s">
        <v>1678</v>
      </c>
      <c r="D1782" t="s">
        <v>44</v>
      </c>
      <c r="E1782" t="s">
        <v>1679</v>
      </c>
      <c r="F1782">
        <v>32.896000000000001</v>
      </c>
      <c r="G1782">
        <v>4</v>
      </c>
      <c r="H1782">
        <v>11.102399999999999</v>
      </c>
      <c r="I1782">
        <v>5</v>
      </c>
      <c r="J1782">
        <v>2011</v>
      </c>
      <c r="K1782" t="s">
        <v>2210</v>
      </c>
      <c r="L1782" t="str">
        <f>TEXT(maintable_2[[#This Row],[Order Date]],"mmmm")</f>
        <v>February</v>
      </c>
    </row>
    <row r="1783" spans="1:12" x14ac:dyDescent="0.3">
      <c r="A1783" s="1">
        <v>40599</v>
      </c>
      <c r="B1783" s="1">
        <v>40604</v>
      </c>
      <c r="C1783" t="s">
        <v>1678</v>
      </c>
      <c r="D1783" t="s">
        <v>44</v>
      </c>
      <c r="E1783" t="s">
        <v>1680</v>
      </c>
      <c r="F1783">
        <v>22.776</v>
      </c>
      <c r="G1783">
        <v>3</v>
      </c>
      <c r="H1783">
        <v>7.6868999999999996</v>
      </c>
      <c r="I1783">
        <v>5</v>
      </c>
      <c r="J1783">
        <v>2011</v>
      </c>
      <c r="K1783" t="s">
        <v>2210</v>
      </c>
      <c r="L1783" t="str">
        <f>TEXT(maintable_2[[#This Row],[Order Date]],"mmmm")</f>
        <v>February</v>
      </c>
    </row>
    <row r="1784" spans="1:12" x14ac:dyDescent="0.3">
      <c r="A1784" s="1">
        <v>41431</v>
      </c>
      <c r="B1784" s="1">
        <v>41433</v>
      </c>
      <c r="C1784" t="s">
        <v>1681</v>
      </c>
      <c r="D1784" t="s">
        <v>17</v>
      </c>
      <c r="E1784" t="s">
        <v>165</v>
      </c>
      <c r="F1784">
        <v>21.552</v>
      </c>
      <c r="G1784">
        <v>6</v>
      </c>
      <c r="H1784">
        <v>7.0044000000000004</v>
      </c>
      <c r="I1784">
        <v>2</v>
      </c>
      <c r="J1784">
        <v>2013</v>
      </c>
      <c r="K1784" t="s">
        <v>2206</v>
      </c>
      <c r="L1784" t="str">
        <f>TEXT(maintable_2[[#This Row],[Order Date]],"mmmm")</f>
        <v>June</v>
      </c>
    </row>
    <row r="1785" spans="1:12" x14ac:dyDescent="0.3">
      <c r="A1785" s="1">
        <v>41431</v>
      </c>
      <c r="B1785" s="1">
        <v>41433</v>
      </c>
      <c r="C1785" t="s">
        <v>1681</v>
      </c>
      <c r="D1785" t="s">
        <v>19</v>
      </c>
      <c r="E1785" t="s">
        <v>1682</v>
      </c>
      <c r="F1785">
        <v>58.24</v>
      </c>
      <c r="G1785">
        <v>4</v>
      </c>
      <c r="H1785">
        <v>15.7248</v>
      </c>
      <c r="I1785">
        <v>2</v>
      </c>
      <c r="J1785">
        <v>2013</v>
      </c>
      <c r="K1785" t="s">
        <v>2206</v>
      </c>
      <c r="L1785" t="str">
        <f>TEXT(maintable_2[[#This Row],[Order Date]],"mmmm")</f>
        <v>June</v>
      </c>
    </row>
    <row r="1786" spans="1:12" x14ac:dyDescent="0.3">
      <c r="A1786" s="1">
        <v>41619</v>
      </c>
      <c r="B1786" s="1">
        <v>41621</v>
      </c>
      <c r="C1786" t="s">
        <v>1193</v>
      </c>
      <c r="D1786" t="s">
        <v>44</v>
      </c>
      <c r="E1786" t="s">
        <v>798</v>
      </c>
      <c r="F1786">
        <v>80.28</v>
      </c>
      <c r="G1786">
        <v>12</v>
      </c>
      <c r="H1786">
        <v>36.928800000000003</v>
      </c>
      <c r="I1786">
        <v>2</v>
      </c>
      <c r="J1786">
        <v>2013</v>
      </c>
      <c r="K1786" t="s">
        <v>2207</v>
      </c>
      <c r="L1786" t="str">
        <f>TEXT(maintable_2[[#This Row],[Order Date]],"mmmm")</f>
        <v>December</v>
      </c>
    </row>
    <row r="1787" spans="1:12" x14ac:dyDescent="0.3">
      <c r="A1787" s="1">
        <v>41760</v>
      </c>
      <c r="B1787" s="1">
        <v>41765</v>
      </c>
      <c r="C1787" t="s">
        <v>1683</v>
      </c>
      <c r="D1787" t="s">
        <v>13</v>
      </c>
      <c r="E1787" t="s">
        <v>1684</v>
      </c>
      <c r="F1787">
        <v>9.7799999999999994</v>
      </c>
      <c r="G1787">
        <v>2</v>
      </c>
      <c r="H1787">
        <v>4.0098000000000003</v>
      </c>
      <c r="I1787">
        <v>5</v>
      </c>
      <c r="J1787">
        <v>2014</v>
      </c>
      <c r="K1787" t="s">
        <v>2208</v>
      </c>
      <c r="L1787" t="str">
        <f>TEXT(maintable_2[[#This Row],[Order Date]],"mmmm")</f>
        <v>May</v>
      </c>
    </row>
    <row r="1788" spans="1:12" x14ac:dyDescent="0.3">
      <c r="A1788" s="1">
        <v>41754</v>
      </c>
      <c r="B1788" s="1">
        <v>41758</v>
      </c>
      <c r="C1788" t="s">
        <v>1004</v>
      </c>
      <c r="D1788" t="s">
        <v>78</v>
      </c>
      <c r="E1788" t="s">
        <v>1685</v>
      </c>
      <c r="F1788">
        <v>1.81</v>
      </c>
      <c r="G1788">
        <v>1</v>
      </c>
      <c r="H1788">
        <v>0.65159999999999996</v>
      </c>
      <c r="I1788">
        <v>4</v>
      </c>
      <c r="J1788">
        <v>2014</v>
      </c>
      <c r="K1788" t="s">
        <v>2208</v>
      </c>
      <c r="L1788" t="str">
        <f>TEXT(maintable_2[[#This Row],[Order Date]],"mmmm")</f>
        <v>April</v>
      </c>
    </row>
    <row r="1789" spans="1:12" x14ac:dyDescent="0.3">
      <c r="A1789" s="1">
        <v>41628</v>
      </c>
      <c r="B1789" s="1">
        <v>41634</v>
      </c>
      <c r="C1789" t="s">
        <v>264</v>
      </c>
      <c r="D1789" t="s">
        <v>21</v>
      </c>
      <c r="E1789" t="s">
        <v>1686</v>
      </c>
      <c r="F1789">
        <v>455.97</v>
      </c>
      <c r="G1789">
        <v>6</v>
      </c>
      <c r="H1789">
        <v>-218.8656</v>
      </c>
      <c r="I1789">
        <v>6</v>
      </c>
      <c r="J1789">
        <v>2013</v>
      </c>
      <c r="K1789" t="s">
        <v>2207</v>
      </c>
      <c r="L1789" t="str">
        <f>TEXT(maintable_2[[#This Row],[Order Date]],"mmmm")</f>
        <v>December</v>
      </c>
    </row>
    <row r="1790" spans="1:12" x14ac:dyDescent="0.3">
      <c r="A1790" s="1">
        <v>41628</v>
      </c>
      <c r="B1790" s="1">
        <v>41634</v>
      </c>
      <c r="C1790" t="s">
        <v>264</v>
      </c>
      <c r="D1790" t="s">
        <v>17</v>
      </c>
      <c r="E1790" t="s">
        <v>1111</v>
      </c>
      <c r="F1790">
        <v>10.44</v>
      </c>
      <c r="G1790">
        <v>6</v>
      </c>
      <c r="H1790">
        <v>-7.6559999999999997</v>
      </c>
      <c r="I1790">
        <v>6</v>
      </c>
      <c r="J1790">
        <v>2013</v>
      </c>
      <c r="K1790" t="s">
        <v>2207</v>
      </c>
      <c r="L1790" t="str">
        <f>TEXT(maintable_2[[#This Row],[Order Date]],"mmmm")</f>
        <v>December</v>
      </c>
    </row>
    <row r="1791" spans="1:12" x14ac:dyDescent="0.3">
      <c r="A1791" s="1">
        <v>41628</v>
      </c>
      <c r="B1791" s="1">
        <v>41634</v>
      </c>
      <c r="C1791" t="s">
        <v>264</v>
      </c>
      <c r="D1791" t="s">
        <v>17</v>
      </c>
      <c r="E1791" t="s">
        <v>544</v>
      </c>
      <c r="F1791">
        <v>5.2140000000000004</v>
      </c>
      <c r="G1791">
        <v>2</v>
      </c>
      <c r="H1791">
        <v>-4.1711999999999998</v>
      </c>
      <c r="I1791">
        <v>6</v>
      </c>
      <c r="J1791">
        <v>2013</v>
      </c>
      <c r="K1791" t="s">
        <v>2207</v>
      </c>
      <c r="L1791" t="str">
        <f>TEXT(maintable_2[[#This Row],[Order Date]],"mmmm")</f>
        <v>December</v>
      </c>
    </row>
    <row r="1792" spans="1:12" x14ac:dyDescent="0.3">
      <c r="A1792" s="1">
        <v>41890</v>
      </c>
      <c r="B1792" s="1">
        <v>41891</v>
      </c>
      <c r="C1792" t="s">
        <v>901</v>
      </c>
      <c r="D1792" t="s">
        <v>11</v>
      </c>
      <c r="E1792" t="s">
        <v>1332</v>
      </c>
      <c r="F1792">
        <v>25.16</v>
      </c>
      <c r="G1792">
        <v>2</v>
      </c>
      <c r="H1792">
        <v>10.5672</v>
      </c>
      <c r="I1792">
        <v>1</v>
      </c>
      <c r="J1792">
        <v>2014</v>
      </c>
      <c r="K1792" t="s">
        <v>2209</v>
      </c>
      <c r="L1792" t="str">
        <f>TEXT(maintable_2[[#This Row],[Order Date]],"mmmm")</f>
        <v>September</v>
      </c>
    </row>
    <row r="1793" spans="1:12" x14ac:dyDescent="0.3">
      <c r="A1793" s="1">
        <v>41890</v>
      </c>
      <c r="B1793" s="1">
        <v>41891</v>
      </c>
      <c r="C1793" t="s">
        <v>901</v>
      </c>
      <c r="D1793" t="s">
        <v>15</v>
      </c>
      <c r="E1793" t="s">
        <v>1687</v>
      </c>
      <c r="F1793">
        <v>126.56</v>
      </c>
      <c r="G1793">
        <v>4</v>
      </c>
      <c r="H1793">
        <v>47.46</v>
      </c>
      <c r="I1793">
        <v>1</v>
      </c>
      <c r="J1793">
        <v>2014</v>
      </c>
      <c r="K1793" t="s">
        <v>2209</v>
      </c>
      <c r="L1793" t="str">
        <f>TEXT(maintable_2[[#This Row],[Order Date]],"mmmm")</f>
        <v>September</v>
      </c>
    </row>
    <row r="1794" spans="1:12" x14ac:dyDescent="0.3">
      <c r="A1794" s="1">
        <v>40875</v>
      </c>
      <c r="B1794" s="1">
        <v>40878</v>
      </c>
      <c r="C1794" t="s">
        <v>1545</v>
      </c>
      <c r="D1794" t="s">
        <v>19</v>
      </c>
      <c r="E1794" t="s">
        <v>1682</v>
      </c>
      <c r="F1794">
        <v>43.68</v>
      </c>
      <c r="G1794">
        <v>3</v>
      </c>
      <c r="H1794">
        <v>11.7936</v>
      </c>
      <c r="I1794">
        <v>3</v>
      </c>
      <c r="J1794">
        <v>2011</v>
      </c>
      <c r="K1794" t="s">
        <v>2209</v>
      </c>
      <c r="L1794" t="str">
        <f>TEXT(maintable_2[[#This Row],[Order Date]],"mmmm")</f>
        <v>November</v>
      </c>
    </row>
    <row r="1795" spans="1:12" x14ac:dyDescent="0.3">
      <c r="A1795" s="1">
        <v>40875</v>
      </c>
      <c r="B1795" s="1">
        <v>40878</v>
      </c>
      <c r="C1795" t="s">
        <v>1545</v>
      </c>
      <c r="D1795" t="s">
        <v>37</v>
      </c>
      <c r="E1795" t="s">
        <v>469</v>
      </c>
      <c r="F1795">
        <v>139.93</v>
      </c>
      <c r="G1795">
        <v>7</v>
      </c>
      <c r="H1795">
        <v>34.982500000000002</v>
      </c>
      <c r="I1795">
        <v>3</v>
      </c>
      <c r="J1795">
        <v>2011</v>
      </c>
      <c r="K1795" t="s">
        <v>2209</v>
      </c>
      <c r="L1795" t="str">
        <f>TEXT(maintable_2[[#This Row],[Order Date]],"mmmm")</f>
        <v>November</v>
      </c>
    </row>
    <row r="1796" spans="1:12" x14ac:dyDescent="0.3">
      <c r="A1796" s="1">
        <v>41249</v>
      </c>
      <c r="B1796" s="1">
        <v>41253</v>
      </c>
      <c r="C1796" t="s">
        <v>864</v>
      </c>
      <c r="D1796" t="s">
        <v>44</v>
      </c>
      <c r="E1796" t="s">
        <v>1688</v>
      </c>
      <c r="F1796">
        <v>6.48</v>
      </c>
      <c r="G1796">
        <v>1</v>
      </c>
      <c r="H1796">
        <v>3.1103999999999998</v>
      </c>
      <c r="I1796">
        <v>4</v>
      </c>
      <c r="J1796">
        <v>2012</v>
      </c>
      <c r="K1796" t="s">
        <v>2207</v>
      </c>
      <c r="L1796" t="str">
        <f>TEXT(maintable_2[[#This Row],[Order Date]],"mmmm")</f>
        <v>December</v>
      </c>
    </row>
    <row r="1797" spans="1:12" x14ac:dyDescent="0.3">
      <c r="A1797" s="1">
        <v>41249</v>
      </c>
      <c r="B1797" s="1">
        <v>41253</v>
      </c>
      <c r="C1797" t="s">
        <v>864</v>
      </c>
      <c r="D1797" t="s">
        <v>27</v>
      </c>
      <c r="E1797" t="s">
        <v>843</v>
      </c>
      <c r="F1797">
        <v>1325.85</v>
      </c>
      <c r="G1797">
        <v>5</v>
      </c>
      <c r="H1797">
        <v>238.65299999999999</v>
      </c>
      <c r="I1797">
        <v>4</v>
      </c>
      <c r="J1797">
        <v>2012</v>
      </c>
      <c r="K1797" t="s">
        <v>2207</v>
      </c>
      <c r="L1797" t="str">
        <f>TEXT(maintable_2[[#This Row],[Order Date]],"mmmm")</f>
        <v>December</v>
      </c>
    </row>
    <row r="1798" spans="1:12" x14ac:dyDescent="0.3">
      <c r="A1798" s="1">
        <v>41249</v>
      </c>
      <c r="B1798" s="1">
        <v>41253</v>
      </c>
      <c r="C1798" t="s">
        <v>864</v>
      </c>
      <c r="D1798" t="s">
        <v>8</v>
      </c>
      <c r="E1798" t="s">
        <v>1511</v>
      </c>
      <c r="F1798">
        <v>14.94</v>
      </c>
      <c r="G1798">
        <v>3</v>
      </c>
      <c r="H1798">
        <v>6.8723999999999998</v>
      </c>
      <c r="I1798">
        <v>4</v>
      </c>
      <c r="J1798">
        <v>2012</v>
      </c>
      <c r="K1798" t="s">
        <v>2207</v>
      </c>
      <c r="L1798" t="str">
        <f>TEXT(maintable_2[[#This Row],[Order Date]],"mmmm")</f>
        <v>December</v>
      </c>
    </row>
    <row r="1799" spans="1:12" x14ac:dyDescent="0.3">
      <c r="A1799" s="1">
        <v>41621</v>
      </c>
      <c r="B1799" s="1">
        <v>41625</v>
      </c>
      <c r="C1799" t="s">
        <v>1689</v>
      </c>
      <c r="D1799" t="s">
        <v>11</v>
      </c>
      <c r="E1799" t="s">
        <v>239</v>
      </c>
      <c r="F1799">
        <v>383.64</v>
      </c>
      <c r="G1799">
        <v>6</v>
      </c>
      <c r="H1799">
        <v>122.76479999999999</v>
      </c>
      <c r="I1799">
        <v>4</v>
      </c>
      <c r="J1799">
        <v>2013</v>
      </c>
      <c r="K1799" t="s">
        <v>2207</v>
      </c>
      <c r="L1799" t="str">
        <f>TEXT(maintable_2[[#This Row],[Order Date]],"mmmm")</f>
        <v>December</v>
      </c>
    </row>
    <row r="1800" spans="1:12" x14ac:dyDescent="0.3">
      <c r="A1800" s="1">
        <v>41621</v>
      </c>
      <c r="B1800" s="1">
        <v>41625</v>
      </c>
      <c r="C1800" t="s">
        <v>1689</v>
      </c>
      <c r="D1800" t="s">
        <v>19</v>
      </c>
      <c r="E1800" t="s">
        <v>323</v>
      </c>
      <c r="F1800">
        <v>56.52</v>
      </c>
      <c r="G1800">
        <v>3</v>
      </c>
      <c r="H1800">
        <v>15.8256</v>
      </c>
      <c r="I1800">
        <v>4</v>
      </c>
      <c r="J1800">
        <v>2013</v>
      </c>
      <c r="K1800" t="s">
        <v>2207</v>
      </c>
      <c r="L1800" t="str">
        <f>TEXT(maintable_2[[#This Row],[Order Date]],"mmmm")</f>
        <v>December</v>
      </c>
    </row>
    <row r="1801" spans="1:12" x14ac:dyDescent="0.3">
      <c r="A1801" s="1">
        <v>41892</v>
      </c>
      <c r="B1801" s="1">
        <v>41897</v>
      </c>
      <c r="C1801" t="s">
        <v>1219</v>
      </c>
      <c r="D1801" t="s">
        <v>13</v>
      </c>
      <c r="E1801" t="s">
        <v>1690</v>
      </c>
      <c r="F1801">
        <v>6.56</v>
      </c>
      <c r="G1801">
        <v>2</v>
      </c>
      <c r="H1801">
        <v>1.9024000000000001</v>
      </c>
      <c r="I1801">
        <v>5</v>
      </c>
      <c r="J1801">
        <v>2014</v>
      </c>
      <c r="K1801" t="s">
        <v>2209</v>
      </c>
      <c r="L1801" t="str">
        <f>TEXT(maintable_2[[#This Row],[Order Date]],"mmmm")</f>
        <v>September</v>
      </c>
    </row>
    <row r="1802" spans="1:12" x14ac:dyDescent="0.3">
      <c r="A1802" s="1">
        <v>41892</v>
      </c>
      <c r="B1802" s="1">
        <v>41897</v>
      </c>
      <c r="C1802" t="s">
        <v>1219</v>
      </c>
      <c r="D1802" t="s">
        <v>71</v>
      </c>
      <c r="E1802" t="s">
        <v>821</v>
      </c>
      <c r="F1802">
        <v>243.92</v>
      </c>
      <c r="G1802">
        <v>5</v>
      </c>
      <c r="H1802">
        <v>-15.244999999999999</v>
      </c>
      <c r="I1802">
        <v>5</v>
      </c>
      <c r="J1802">
        <v>2014</v>
      </c>
      <c r="K1802" t="s">
        <v>2209</v>
      </c>
      <c r="L1802" t="str">
        <f>TEXT(maintable_2[[#This Row],[Order Date]],"mmmm")</f>
        <v>September</v>
      </c>
    </row>
    <row r="1803" spans="1:12" x14ac:dyDescent="0.3">
      <c r="A1803" s="1">
        <v>41892</v>
      </c>
      <c r="B1803" s="1">
        <v>41897</v>
      </c>
      <c r="C1803" t="s">
        <v>1219</v>
      </c>
      <c r="D1803" t="s">
        <v>44</v>
      </c>
      <c r="E1803" t="s">
        <v>1573</v>
      </c>
      <c r="F1803">
        <v>47.52</v>
      </c>
      <c r="G1803">
        <v>9</v>
      </c>
      <c r="H1803">
        <v>22.8096</v>
      </c>
      <c r="I1803">
        <v>5</v>
      </c>
      <c r="J1803">
        <v>2014</v>
      </c>
      <c r="K1803" t="s">
        <v>2209</v>
      </c>
      <c r="L1803" t="str">
        <f>TEXT(maintable_2[[#This Row],[Order Date]],"mmmm")</f>
        <v>September</v>
      </c>
    </row>
    <row r="1804" spans="1:12" x14ac:dyDescent="0.3">
      <c r="A1804" s="1">
        <v>40892</v>
      </c>
      <c r="B1804" s="1">
        <v>40896</v>
      </c>
      <c r="C1804" t="s">
        <v>141</v>
      </c>
      <c r="D1804" t="s">
        <v>11</v>
      </c>
      <c r="E1804" t="s">
        <v>1691</v>
      </c>
      <c r="F1804">
        <v>6.16</v>
      </c>
      <c r="G1804">
        <v>2</v>
      </c>
      <c r="H1804">
        <v>1.9712000000000001</v>
      </c>
      <c r="I1804">
        <v>4</v>
      </c>
      <c r="J1804">
        <v>2011</v>
      </c>
      <c r="K1804" t="s">
        <v>2207</v>
      </c>
      <c r="L1804" t="str">
        <f>TEXT(maintable_2[[#This Row],[Order Date]],"mmmm")</f>
        <v>December</v>
      </c>
    </row>
    <row r="1805" spans="1:12" x14ac:dyDescent="0.3">
      <c r="A1805" s="1">
        <v>40987</v>
      </c>
      <c r="B1805" s="1">
        <v>40988</v>
      </c>
      <c r="C1805" t="s">
        <v>1066</v>
      </c>
      <c r="D1805" t="s">
        <v>78</v>
      </c>
      <c r="E1805" t="s">
        <v>492</v>
      </c>
      <c r="F1805">
        <v>10.9</v>
      </c>
      <c r="G1805">
        <v>5</v>
      </c>
      <c r="H1805">
        <v>3.597</v>
      </c>
      <c r="I1805">
        <v>1</v>
      </c>
      <c r="J1805">
        <v>2012</v>
      </c>
      <c r="K1805" t="s">
        <v>2208</v>
      </c>
      <c r="L1805" t="str">
        <f>TEXT(maintable_2[[#This Row],[Order Date]],"mmmm")</f>
        <v>March</v>
      </c>
    </row>
    <row r="1806" spans="1:12" x14ac:dyDescent="0.3">
      <c r="A1806" s="1">
        <v>40743</v>
      </c>
      <c r="B1806" s="1">
        <v>40748</v>
      </c>
      <c r="C1806" t="s">
        <v>1112</v>
      </c>
      <c r="D1806" t="s">
        <v>17</v>
      </c>
      <c r="E1806" t="s">
        <v>413</v>
      </c>
      <c r="F1806">
        <v>6.0960000000000001</v>
      </c>
      <c r="G1806">
        <v>2</v>
      </c>
      <c r="H1806">
        <v>2.2098</v>
      </c>
      <c r="I1806">
        <v>5</v>
      </c>
      <c r="J1806">
        <v>2011</v>
      </c>
      <c r="K1806" t="s">
        <v>2206</v>
      </c>
      <c r="L1806" t="str">
        <f>TEXT(maintable_2[[#This Row],[Order Date]],"mmmm")</f>
        <v>July</v>
      </c>
    </row>
    <row r="1807" spans="1:12" x14ac:dyDescent="0.3">
      <c r="A1807" s="1">
        <v>41617</v>
      </c>
      <c r="B1807" s="1">
        <v>41620</v>
      </c>
      <c r="C1807" t="s">
        <v>161</v>
      </c>
      <c r="D1807" t="s">
        <v>27</v>
      </c>
      <c r="E1807" t="s">
        <v>1151</v>
      </c>
      <c r="F1807">
        <v>34.049999999999997</v>
      </c>
      <c r="G1807">
        <v>3</v>
      </c>
      <c r="H1807">
        <v>9.5340000000000007</v>
      </c>
      <c r="I1807">
        <v>3</v>
      </c>
      <c r="J1807">
        <v>2013</v>
      </c>
      <c r="K1807" t="s">
        <v>2207</v>
      </c>
      <c r="L1807" t="str">
        <f>TEXT(maintable_2[[#This Row],[Order Date]],"mmmm")</f>
        <v>December</v>
      </c>
    </row>
    <row r="1808" spans="1:12" x14ac:dyDescent="0.3">
      <c r="A1808" s="1">
        <v>41617</v>
      </c>
      <c r="B1808" s="1">
        <v>41620</v>
      </c>
      <c r="C1808" t="s">
        <v>161</v>
      </c>
      <c r="D1808" t="s">
        <v>27</v>
      </c>
      <c r="E1808" t="s">
        <v>1692</v>
      </c>
      <c r="F1808">
        <v>352.38</v>
      </c>
      <c r="G1808">
        <v>2</v>
      </c>
      <c r="H1808">
        <v>81.047399999999996</v>
      </c>
      <c r="I1808">
        <v>3</v>
      </c>
      <c r="J1808">
        <v>2013</v>
      </c>
      <c r="K1808" t="s">
        <v>2207</v>
      </c>
      <c r="L1808" t="str">
        <f>TEXT(maintable_2[[#This Row],[Order Date]],"mmmm")</f>
        <v>December</v>
      </c>
    </row>
    <row r="1809" spans="1:12" x14ac:dyDescent="0.3">
      <c r="A1809" s="1">
        <v>41249</v>
      </c>
      <c r="B1809" s="1">
        <v>41254</v>
      </c>
      <c r="C1809" t="s">
        <v>1693</v>
      </c>
      <c r="D1809" t="s">
        <v>19</v>
      </c>
      <c r="E1809" t="s">
        <v>1627</v>
      </c>
      <c r="F1809">
        <v>7.78</v>
      </c>
      <c r="G1809">
        <v>2</v>
      </c>
      <c r="H1809">
        <v>2.0228000000000002</v>
      </c>
      <c r="I1809">
        <v>5</v>
      </c>
      <c r="J1809">
        <v>2012</v>
      </c>
      <c r="K1809" t="s">
        <v>2207</v>
      </c>
      <c r="L1809" t="str">
        <f>TEXT(maintable_2[[#This Row],[Order Date]],"mmmm")</f>
        <v>December</v>
      </c>
    </row>
    <row r="1810" spans="1:12" x14ac:dyDescent="0.3">
      <c r="A1810" s="1">
        <v>41870</v>
      </c>
      <c r="B1810" s="1">
        <v>41874</v>
      </c>
      <c r="C1810" t="s">
        <v>369</v>
      </c>
      <c r="D1810" t="s">
        <v>37</v>
      </c>
      <c r="E1810" t="s">
        <v>685</v>
      </c>
      <c r="F1810">
        <v>843.9</v>
      </c>
      <c r="G1810">
        <v>2</v>
      </c>
      <c r="H1810">
        <v>371.31599999999997</v>
      </c>
      <c r="I1810">
        <v>4</v>
      </c>
      <c r="J1810">
        <v>2014</v>
      </c>
      <c r="K1810" t="s">
        <v>2206</v>
      </c>
      <c r="L1810" t="str">
        <f>TEXT(maintable_2[[#This Row],[Order Date]],"mmmm")</f>
        <v>August</v>
      </c>
    </row>
    <row r="1811" spans="1:12" x14ac:dyDescent="0.3">
      <c r="A1811" s="1">
        <v>41870</v>
      </c>
      <c r="B1811" s="1">
        <v>41874</v>
      </c>
      <c r="C1811" t="s">
        <v>369</v>
      </c>
      <c r="D1811" t="s">
        <v>37</v>
      </c>
      <c r="E1811" t="s">
        <v>329</v>
      </c>
      <c r="F1811">
        <v>1496.16</v>
      </c>
      <c r="G1811">
        <v>9</v>
      </c>
      <c r="H1811">
        <v>224.42400000000001</v>
      </c>
      <c r="I1811">
        <v>4</v>
      </c>
      <c r="J1811">
        <v>2014</v>
      </c>
      <c r="K1811" t="s">
        <v>2206</v>
      </c>
      <c r="L1811" t="str">
        <f>TEXT(maintable_2[[#This Row],[Order Date]],"mmmm")</f>
        <v>August</v>
      </c>
    </row>
    <row r="1812" spans="1:12" x14ac:dyDescent="0.3">
      <c r="A1812" s="1">
        <v>41170</v>
      </c>
      <c r="B1812" s="1">
        <v>41173</v>
      </c>
      <c r="C1812" t="s">
        <v>1225</v>
      </c>
      <c r="D1812" t="s">
        <v>27</v>
      </c>
      <c r="E1812" t="s">
        <v>1616</v>
      </c>
      <c r="F1812">
        <v>443.92</v>
      </c>
      <c r="G1812">
        <v>4</v>
      </c>
      <c r="H1812">
        <v>8.8783999999999992</v>
      </c>
      <c r="I1812">
        <v>3</v>
      </c>
      <c r="J1812">
        <v>2012</v>
      </c>
      <c r="K1812" t="s">
        <v>2209</v>
      </c>
      <c r="L1812" t="str">
        <f>TEXT(maintable_2[[#This Row],[Order Date]],"mmmm")</f>
        <v>September</v>
      </c>
    </row>
    <row r="1813" spans="1:12" x14ac:dyDescent="0.3">
      <c r="A1813" s="1">
        <v>41572</v>
      </c>
      <c r="B1813" s="1">
        <v>41576</v>
      </c>
      <c r="C1813" t="s">
        <v>640</v>
      </c>
      <c r="D1813" t="s">
        <v>37</v>
      </c>
      <c r="E1813" t="s">
        <v>682</v>
      </c>
      <c r="F1813">
        <v>100</v>
      </c>
      <c r="G1813">
        <v>4</v>
      </c>
      <c r="H1813">
        <v>21</v>
      </c>
      <c r="I1813">
        <v>4</v>
      </c>
      <c r="J1813">
        <v>2013</v>
      </c>
      <c r="K1813" t="s">
        <v>2209</v>
      </c>
      <c r="L1813" t="str">
        <f>TEXT(maintable_2[[#This Row],[Order Date]],"mmmm")</f>
        <v>October</v>
      </c>
    </row>
    <row r="1814" spans="1:12" x14ac:dyDescent="0.3">
      <c r="A1814" s="1">
        <v>41572</v>
      </c>
      <c r="B1814" s="1">
        <v>41576</v>
      </c>
      <c r="C1814" t="s">
        <v>640</v>
      </c>
      <c r="D1814" t="s">
        <v>37</v>
      </c>
      <c r="E1814" t="s">
        <v>1694</v>
      </c>
      <c r="F1814">
        <v>359.98</v>
      </c>
      <c r="G1814">
        <v>2</v>
      </c>
      <c r="H1814">
        <v>21.598800000000001</v>
      </c>
      <c r="I1814">
        <v>4</v>
      </c>
      <c r="J1814">
        <v>2013</v>
      </c>
      <c r="K1814" t="s">
        <v>2209</v>
      </c>
      <c r="L1814" t="str">
        <f>TEXT(maintable_2[[#This Row],[Order Date]],"mmmm")</f>
        <v>October</v>
      </c>
    </row>
    <row r="1815" spans="1:12" x14ac:dyDescent="0.3">
      <c r="A1815" s="1">
        <v>40815</v>
      </c>
      <c r="B1815" s="1">
        <v>40817</v>
      </c>
      <c r="C1815" t="s">
        <v>1695</v>
      </c>
      <c r="D1815" t="s">
        <v>11</v>
      </c>
      <c r="E1815" t="s">
        <v>83</v>
      </c>
      <c r="F1815">
        <v>6.16</v>
      </c>
      <c r="G1815">
        <v>2</v>
      </c>
      <c r="H1815">
        <v>2.9567999999999999</v>
      </c>
      <c r="I1815">
        <v>2</v>
      </c>
      <c r="J1815">
        <v>2011</v>
      </c>
      <c r="K1815" t="s">
        <v>2209</v>
      </c>
      <c r="L1815" t="str">
        <f>TEXT(maintable_2[[#This Row],[Order Date]],"mmmm")</f>
        <v>September</v>
      </c>
    </row>
    <row r="1816" spans="1:12" x14ac:dyDescent="0.3">
      <c r="A1816" s="1">
        <v>40815</v>
      </c>
      <c r="B1816" s="1">
        <v>40817</v>
      </c>
      <c r="C1816" t="s">
        <v>1695</v>
      </c>
      <c r="D1816" t="s">
        <v>21</v>
      </c>
      <c r="E1816" t="s">
        <v>1500</v>
      </c>
      <c r="F1816">
        <v>2348.8200000000002</v>
      </c>
      <c r="G1816">
        <v>9</v>
      </c>
      <c r="H1816">
        <v>399.29939999999999</v>
      </c>
      <c r="I1816">
        <v>2</v>
      </c>
      <c r="J1816">
        <v>2011</v>
      </c>
      <c r="K1816" t="s">
        <v>2209</v>
      </c>
      <c r="L1816" t="str">
        <f>TEXT(maintable_2[[#This Row],[Order Date]],"mmmm")</f>
        <v>September</v>
      </c>
    </row>
    <row r="1817" spans="1:12" x14ac:dyDescent="0.3">
      <c r="A1817" s="1">
        <v>41886</v>
      </c>
      <c r="B1817" s="1">
        <v>41891</v>
      </c>
      <c r="C1817" t="s">
        <v>1568</v>
      </c>
      <c r="D1817" t="s">
        <v>17</v>
      </c>
      <c r="E1817" t="s">
        <v>182</v>
      </c>
      <c r="F1817">
        <v>82.56</v>
      </c>
      <c r="G1817">
        <v>5</v>
      </c>
      <c r="H1817">
        <v>28.896000000000001</v>
      </c>
      <c r="I1817">
        <v>5</v>
      </c>
      <c r="J1817">
        <v>2014</v>
      </c>
      <c r="K1817" t="s">
        <v>2209</v>
      </c>
      <c r="L1817" t="str">
        <f>TEXT(maintable_2[[#This Row],[Order Date]],"mmmm")</f>
        <v>September</v>
      </c>
    </row>
    <row r="1818" spans="1:12" x14ac:dyDescent="0.3">
      <c r="A1818" s="1">
        <v>41886</v>
      </c>
      <c r="B1818" s="1">
        <v>41891</v>
      </c>
      <c r="C1818" t="s">
        <v>1568</v>
      </c>
      <c r="D1818" t="s">
        <v>37</v>
      </c>
      <c r="E1818" t="s">
        <v>1696</v>
      </c>
      <c r="F1818">
        <v>284.97000000000003</v>
      </c>
      <c r="G1818">
        <v>3</v>
      </c>
      <c r="H1818">
        <v>85.491</v>
      </c>
      <c r="I1818">
        <v>5</v>
      </c>
      <c r="J1818">
        <v>2014</v>
      </c>
      <c r="K1818" t="s">
        <v>2209</v>
      </c>
      <c r="L1818" t="str">
        <f>TEXT(maintable_2[[#This Row],[Order Date]],"mmmm")</f>
        <v>September</v>
      </c>
    </row>
    <row r="1819" spans="1:12" x14ac:dyDescent="0.3">
      <c r="A1819" s="1">
        <v>40898</v>
      </c>
      <c r="B1819" s="1">
        <v>40904</v>
      </c>
      <c r="C1819" t="s">
        <v>372</v>
      </c>
      <c r="D1819" t="s">
        <v>71</v>
      </c>
      <c r="E1819" t="s">
        <v>794</v>
      </c>
      <c r="F1819">
        <v>1325.76</v>
      </c>
      <c r="G1819">
        <v>6</v>
      </c>
      <c r="H1819">
        <v>149.148</v>
      </c>
      <c r="I1819">
        <v>6</v>
      </c>
      <c r="J1819">
        <v>2011</v>
      </c>
      <c r="K1819" t="s">
        <v>2207</v>
      </c>
      <c r="L1819" t="str">
        <f>TEXT(maintable_2[[#This Row],[Order Date]],"mmmm")</f>
        <v>December</v>
      </c>
    </row>
    <row r="1820" spans="1:12" x14ac:dyDescent="0.3">
      <c r="A1820" s="1">
        <v>40898</v>
      </c>
      <c r="B1820" s="1">
        <v>40904</v>
      </c>
      <c r="C1820" t="s">
        <v>372</v>
      </c>
      <c r="D1820" t="s">
        <v>71</v>
      </c>
      <c r="E1820" t="s">
        <v>259</v>
      </c>
      <c r="F1820">
        <v>572.16</v>
      </c>
      <c r="G1820">
        <v>3</v>
      </c>
      <c r="H1820">
        <v>35.76</v>
      </c>
      <c r="I1820">
        <v>6</v>
      </c>
      <c r="J1820">
        <v>2011</v>
      </c>
      <c r="K1820" t="s">
        <v>2207</v>
      </c>
      <c r="L1820" t="str">
        <f>TEXT(maintable_2[[#This Row],[Order Date]],"mmmm")</f>
        <v>December</v>
      </c>
    </row>
    <row r="1821" spans="1:12" x14ac:dyDescent="0.3">
      <c r="A1821" s="1">
        <v>41722</v>
      </c>
      <c r="B1821" s="1">
        <v>41725</v>
      </c>
      <c r="C1821" t="s">
        <v>1193</v>
      </c>
      <c r="D1821" t="s">
        <v>17</v>
      </c>
      <c r="E1821" t="s">
        <v>544</v>
      </c>
      <c r="F1821">
        <v>34.76</v>
      </c>
      <c r="G1821">
        <v>5</v>
      </c>
      <c r="H1821">
        <v>11.297000000000001</v>
      </c>
      <c r="I1821">
        <v>3</v>
      </c>
      <c r="J1821">
        <v>2014</v>
      </c>
      <c r="K1821" t="s">
        <v>2208</v>
      </c>
      <c r="L1821" t="str">
        <f>TEXT(maintable_2[[#This Row],[Order Date]],"mmmm")</f>
        <v>March</v>
      </c>
    </row>
    <row r="1822" spans="1:12" x14ac:dyDescent="0.3">
      <c r="A1822" s="1">
        <v>41946</v>
      </c>
      <c r="B1822" s="1">
        <v>41951</v>
      </c>
      <c r="C1822" t="s">
        <v>1697</v>
      </c>
      <c r="D1822" t="s">
        <v>44</v>
      </c>
      <c r="E1822" t="s">
        <v>508</v>
      </c>
      <c r="F1822">
        <v>19.440000000000001</v>
      </c>
      <c r="G1822">
        <v>3</v>
      </c>
      <c r="H1822">
        <v>9.3312000000000008</v>
      </c>
      <c r="I1822">
        <v>5</v>
      </c>
      <c r="J1822">
        <v>2014</v>
      </c>
      <c r="K1822" t="s">
        <v>2209</v>
      </c>
      <c r="L1822" t="str">
        <f>TEXT(maintable_2[[#This Row],[Order Date]],"mmmm")</f>
        <v>November</v>
      </c>
    </row>
    <row r="1823" spans="1:12" x14ac:dyDescent="0.3">
      <c r="A1823" s="1">
        <v>41838</v>
      </c>
      <c r="B1823" s="1">
        <v>41840</v>
      </c>
      <c r="C1823" t="s">
        <v>1034</v>
      </c>
      <c r="D1823" t="s">
        <v>44</v>
      </c>
      <c r="E1823" t="s">
        <v>1698</v>
      </c>
      <c r="F1823">
        <v>32.4</v>
      </c>
      <c r="G1823">
        <v>5</v>
      </c>
      <c r="H1823">
        <v>15.552</v>
      </c>
      <c r="I1823">
        <v>2</v>
      </c>
      <c r="J1823">
        <v>2014</v>
      </c>
      <c r="K1823" t="s">
        <v>2206</v>
      </c>
      <c r="L1823" t="str">
        <f>TEXT(maintable_2[[#This Row],[Order Date]],"mmmm")</f>
        <v>July</v>
      </c>
    </row>
    <row r="1824" spans="1:12" x14ac:dyDescent="0.3">
      <c r="A1824" s="1">
        <v>41838</v>
      </c>
      <c r="B1824" s="1">
        <v>41840</v>
      </c>
      <c r="C1824" t="s">
        <v>1034</v>
      </c>
      <c r="D1824" t="s">
        <v>86</v>
      </c>
      <c r="E1824" t="s">
        <v>1607</v>
      </c>
      <c r="F1824">
        <v>57.9</v>
      </c>
      <c r="G1824">
        <v>5</v>
      </c>
      <c r="H1824">
        <v>28.95</v>
      </c>
      <c r="I1824">
        <v>2</v>
      </c>
      <c r="J1824">
        <v>2014</v>
      </c>
      <c r="K1824" t="s">
        <v>2206</v>
      </c>
      <c r="L1824" t="str">
        <f>TEXT(maintable_2[[#This Row],[Order Date]],"mmmm")</f>
        <v>July</v>
      </c>
    </row>
    <row r="1825" spans="1:12" x14ac:dyDescent="0.3">
      <c r="A1825" s="1">
        <v>41838</v>
      </c>
      <c r="B1825" s="1">
        <v>41840</v>
      </c>
      <c r="C1825" t="s">
        <v>1034</v>
      </c>
      <c r="D1825" t="s">
        <v>27</v>
      </c>
      <c r="E1825" t="s">
        <v>1321</v>
      </c>
      <c r="F1825">
        <v>10.56</v>
      </c>
      <c r="G1825">
        <v>2</v>
      </c>
      <c r="H1825">
        <v>0</v>
      </c>
      <c r="I1825">
        <v>2</v>
      </c>
      <c r="J1825">
        <v>2014</v>
      </c>
      <c r="K1825" t="s">
        <v>2206</v>
      </c>
      <c r="L1825" t="str">
        <f>TEXT(maintable_2[[#This Row],[Order Date]],"mmmm")</f>
        <v>July</v>
      </c>
    </row>
    <row r="1826" spans="1:12" x14ac:dyDescent="0.3">
      <c r="A1826" s="1">
        <v>41838</v>
      </c>
      <c r="B1826" s="1">
        <v>41840</v>
      </c>
      <c r="C1826" t="s">
        <v>1034</v>
      </c>
      <c r="D1826" t="s">
        <v>196</v>
      </c>
      <c r="E1826" t="s">
        <v>574</v>
      </c>
      <c r="F1826">
        <v>1194.165</v>
      </c>
      <c r="G1826">
        <v>5</v>
      </c>
      <c r="H1826">
        <v>210.73500000000001</v>
      </c>
      <c r="I1826">
        <v>2</v>
      </c>
      <c r="J1826">
        <v>2014</v>
      </c>
      <c r="K1826" t="s">
        <v>2206</v>
      </c>
      <c r="L1826" t="str">
        <f>TEXT(maintable_2[[#This Row],[Order Date]],"mmmm")</f>
        <v>July</v>
      </c>
    </row>
    <row r="1827" spans="1:12" x14ac:dyDescent="0.3">
      <c r="A1827" s="1">
        <v>40851</v>
      </c>
      <c r="B1827" s="1">
        <v>40858</v>
      </c>
      <c r="C1827" t="s">
        <v>1406</v>
      </c>
      <c r="D1827" t="s">
        <v>13</v>
      </c>
      <c r="E1827" t="s">
        <v>85</v>
      </c>
      <c r="F1827">
        <v>2.94</v>
      </c>
      <c r="G1827">
        <v>1</v>
      </c>
      <c r="H1827">
        <v>0.79379999999999995</v>
      </c>
      <c r="I1827">
        <v>7</v>
      </c>
      <c r="J1827">
        <v>2011</v>
      </c>
      <c r="K1827" t="s">
        <v>2209</v>
      </c>
      <c r="L1827" t="str">
        <f>TEXT(maintable_2[[#This Row],[Order Date]],"mmmm")</f>
        <v>November</v>
      </c>
    </row>
    <row r="1828" spans="1:12" x14ac:dyDescent="0.3">
      <c r="A1828" s="1">
        <v>41627</v>
      </c>
      <c r="B1828" s="1">
        <v>41630</v>
      </c>
      <c r="C1828" t="s">
        <v>845</v>
      </c>
      <c r="D1828" t="s">
        <v>17</v>
      </c>
      <c r="E1828" t="s">
        <v>243</v>
      </c>
      <c r="F1828">
        <v>45.24</v>
      </c>
      <c r="G1828">
        <v>4</v>
      </c>
      <c r="H1828">
        <v>-30.16</v>
      </c>
      <c r="I1828">
        <v>3</v>
      </c>
      <c r="J1828">
        <v>2013</v>
      </c>
      <c r="K1828" t="s">
        <v>2207</v>
      </c>
      <c r="L1828" t="str">
        <f>TEXT(maintable_2[[#This Row],[Order Date]],"mmmm")</f>
        <v>December</v>
      </c>
    </row>
    <row r="1829" spans="1:12" x14ac:dyDescent="0.3">
      <c r="A1829" s="1">
        <v>41627</v>
      </c>
      <c r="B1829" s="1">
        <v>41630</v>
      </c>
      <c r="C1829" t="s">
        <v>845</v>
      </c>
      <c r="D1829" t="s">
        <v>13</v>
      </c>
      <c r="E1829" t="s">
        <v>1699</v>
      </c>
      <c r="F1829">
        <v>18.687999999999999</v>
      </c>
      <c r="G1829">
        <v>4</v>
      </c>
      <c r="H1829">
        <v>2.3359999999999999</v>
      </c>
      <c r="I1829">
        <v>3</v>
      </c>
      <c r="J1829">
        <v>2013</v>
      </c>
      <c r="K1829" t="s">
        <v>2207</v>
      </c>
      <c r="L1829" t="str">
        <f>TEXT(maintable_2[[#This Row],[Order Date]],"mmmm")</f>
        <v>December</v>
      </c>
    </row>
    <row r="1830" spans="1:12" x14ac:dyDescent="0.3">
      <c r="A1830" s="1">
        <v>41627</v>
      </c>
      <c r="B1830" s="1">
        <v>41630</v>
      </c>
      <c r="C1830" t="s">
        <v>845</v>
      </c>
      <c r="D1830" t="s">
        <v>44</v>
      </c>
      <c r="E1830" t="s">
        <v>1700</v>
      </c>
      <c r="F1830">
        <v>11.648</v>
      </c>
      <c r="G1830">
        <v>2</v>
      </c>
      <c r="H1830">
        <v>3.7856000000000001</v>
      </c>
      <c r="I1830">
        <v>3</v>
      </c>
      <c r="J1830">
        <v>2013</v>
      </c>
      <c r="K1830" t="s">
        <v>2207</v>
      </c>
      <c r="L1830" t="str">
        <f>TEXT(maintable_2[[#This Row],[Order Date]],"mmmm")</f>
        <v>December</v>
      </c>
    </row>
    <row r="1831" spans="1:12" x14ac:dyDescent="0.3">
      <c r="A1831" s="1">
        <v>41627</v>
      </c>
      <c r="B1831" s="1">
        <v>41630</v>
      </c>
      <c r="C1831" t="s">
        <v>845</v>
      </c>
      <c r="D1831" t="s">
        <v>37</v>
      </c>
      <c r="E1831" t="s">
        <v>237</v>
      </c>
      <c r="F1831">
        <v>112.776</v>
      </c>
      <c r="G1831">
        <v>3</v>
      </c>
      <c r="H1831">
        <v>-8.4581999999999997</v>
      </c>
      <c r="I1831">
        <v>3</v>
      </c>
      <c r="J1831">
        <v>2013</v>
      </c>
      <c r="K1831" t="s">
        <v>2207</v>
      </c>
      <c r="L1831" t="str">
        <f>TEXT(maintable_2[[#This Row],[Order Date]],"mmmm")</f>
        <v>December</v>
      </c>
    </row>
    <row r="1832" spans="1:12" x14ac:dyDescent="0.3">
      <c r="A1832" s="1">
        <v>41627</v>
      </c>
      <c r="B1832" s="1">
        <v>41630</v>
      </c>
      <c r="C1832" t="s">
        <v>845</v>
      </c>
      <c r="D1832" t="s">
        <v>21</v>
      </c>
      <c r="E1832" t="s">
        <v>1701</v>
      </c>
      <c r="F1832">
        <v>377.45</v>
      </c>
      <c r="G1832">
        <v>5</v>
      </c>
      <c r="H1832">
        <v>-264.21499999999997</v>
      </c>
      <c r="I1832">
        <v>3</v>
      </c>
      <c r="J1832">
        <v>2013</v>
      </c>
      <c r="K1832" t="s">
        <v>2207</v>
      </c>
      <c r="L1832" t="str">
        <f>TEXT(maintable_2[[#This Row],[Order Date]],"mmmm")</f>
        <v>December</v>
      </c>
    </row>
    <row r="1833" spans="1:12" x14ac:dyDescent="0.3">
      <c r="A1833" s="1">
        <v>41627</v>
      </c>
      <c r="B1833" s="1">
        <v>41630</v>
      </c>
      <c r="C1833" t="s">
        <v>845</v>
      </c>
      <c r="D1833" t="s">
        <v>8</v>
      </c>
      <c r="E1833" t="s">
        <v>1182</v>
      </c>
      <c r="F1833">
        <v>15.936</v>
      </c>
      <c r="G1833">
        <v>4</v>
      </c>
      <c r="H1833">
        <v>5.1791999999999998</v>
      </c>
      <c r="I1833">
        <v>3</v>
      </c>
      <c r="J1833">
        <v>2013</v>
      </c>
      <c r="K1833" t="s">
        <v>2207</v>
      </c>
      <c r="L1833" t="str">
        <f>TEXT(maintable_2[[#This Row],[Order Date]],"mmmm")</f>
        <v>December</v>
      </c>
    </row>
    <row r="1834" spans="1:12" x14ac:dyDescent="0.3">
      <c r="A1834" s="1">
        <v>41627</v>
      </c>
      <c r="B1834" s="1">
        <v>41630</v>
      </c>
      <c r="C1834" t="s">
        <v>845</v>
      </c>
      <c r="D1834" t="s">
        <v>15</v>
      </c>
      <c r="E1834" t="s">
        <v>1251</v>
      </c>
      <c r="F1834">
        <v>28.68</v>
      </c>
      <c r="G1834">
        <v>3</v>
      </c>
      <c r="H1834">
        <v>-7.17</v>
      </c>
      <c r="I1834">
        <v>3</v>
      </c>
      <c r="J1834">
        <v>2013</v>
      </c>
      <c r="K1834" t="s">
        <v>2207</v>
      </c>
      <c r="L1834" t="str">
        <f>TEXT(maintable_2[[#This Row],[Order Date]],"mmmm")</f>
        <v>December</v>
      </c>
    </row>
    <row r="1835" spans="1:12" x14ac:dyDescent="0.3">
      <c r="A1835" s="1">
        <v>41542</v>
      </c>
      <c r="B1835" s="1">
        <v>41549</v>
      </c>
      <c r="C1835" t="s">
        <v>1564</v>
      </c>
      <c r="D1835" t="s">
        <v>11</v>
      </c>
      <c r="E1835" t="s">
        <v>1702</v>
      </c>
      <c r="F1835">
        <v>21.44</v>
      </c>
      <c r="G1835">
        <v>2</v>
      </c>
      <c r="H1835">
        <v>7.5039999999999996</v>
      </c>
      <c r="I1835">
        <v>7</v>
      </c>
      <c r="J1835">
        <v>2013</v>
      </c>
      <c r="K1835" t="s">
        <v>2209</v>
      </c>
      <c r="L1835" t="str">
        <f>TEXT(maintable_2[[#This Row],[Order Date]],"mmmm")</f>
        <v>September</v>
      </c>
    </row>
    <row r="1836" spans="1:12" x14ac:dyDescent="0.3">
      <c r="A1836" s="1">
        <v>41542</v>
      </c>
      <c r="B1836" s="1">
        <v>41549</v>
      </c>
      <c r="C1836" t="s">
        <v>1564</v>
      </c>
      <c r="D1836" t="s">
        <v>27</v>
      </c>
      <c r="E1836" t="s">
        <v>1303</v>
      </c>
      <c r="F1836">
        <v>511.05599999999998</v>
      </c>
      <c r="G1836">
        <v>9</v>
      </c>
      <c r="H1836">
        <v>-95.822999999999993</v>
      </c>
      <c r="I1836">
        <v>7</v>
      </c>
      <c r="J1836">
        <v>2013</v>
      </c>
      <c r="K1836" t="s">
        <v>2209</v>
      </c>
      <c r="L1836" t="str">
        <f>TEXT(maintable_2[[#This Row],[Order Date]],"mmmm")</f>
        <v>September</v>
      </c>
    </row>
    <row r="1837" spans="1:12" x14ac:dyDescent="0.3">
      <c r="A1837" s="1">
        <v>41437</v>
      </c>
      <c r="B1837" s="1">
        <v>41441</v>
      </c>
      <c r="C1837" t="s">
        <v>1042</v>
      </c>
      <c r="D1837" t="s">
        <v>8</v>
      </c>
      <c r="E1837" t="s">
        <v>389</v>
      </c>
      <c r="F1837">
        <v>14.62</v>
      </c>
      <c r="G1837">
        <v>2</v>
      </c>
      <c r="H1837">
        <v>6.8714000000000004</v>
      </c>
      <c r="I1837">
        <v>4</v>
      </c>
      <c r="J1837">
        <v>2013</v>
      </c>
      <c r="K1837" t="s">
        <v>2206</v>
      </c>
      <c r="L1837" t="str">
        <f>TEXT(maintable_2[[#This Row],[Order Date]],"mmmm")</f>
        <v>June</v>
      </c>
    </row>
    <row r="1838" spans="1:12" x14ac:dyDescent="0.3">
      <c r="A1838" s="1">
        <v>41437</v>
      </c>
      <c r="B1838" s="1">
        <v>41441</v>
      </c>
      <c r="C1838" t="s">
        <v>1042</v>
      </c>
      <c r="D1838" t="s">
        <v>17</v>
      </c>
      <c r="E1838" t="s">
        <v>319</v>
      </c>
      <c r="F1838">
        <v>53.984000000000002</v>
      </c>
      <c r="G1838">
        <v>14</v>
      </c>
      <c r="H1838">
        <v>17.544799999999999</v>
      </c>
      <c r="I1838">
        <v>4</v>
      </c>
      <c r="J1838">
        <v>2013</v>
      </c>
      <c r="K1838" t="s">
        <v>2206</v>
      </c>
      <c r="L1838" t="str">
        <f>TEXT(maintable_2[[#This Row],[Order Date]],"mmmm")</f>
        <v>June</v>
      </c>
    </row>
    <row r="1839" spans="1:12" x14ac:dyDescent="0.3">
      <c r="A1839" s="1">
        <v>41437</v>
      </c>
      <c r="B1839" s="1">
        <v>41441</v>
      </c>
      <c r="C1839" t="s">
        <v>1042</v>
      </c>
      <c r="D1839" t="s">
        <v>37</v>
      </c>
      <c r="E1839" t="s">
        <v>1703</v>
      </c>
      <c r="F1839">
        <v>389.97</v>
      </c>
      <c r="G1839">
        <v>3</v>
      </c>
      <c r="H1839">
        <v>132.5898</v>
      </c>
      <c r="I1839">
        <v>4</v>
      </c>
      <c r="J1839">
        <v>2013</v>
      </c>
      <c r="K1839" t="s">
        <v>2206</v>
      </c>
      <c r="L1839" t="str">
        <f>TEXT(maintable_2[[#This Row],[Order Date]],"mmmm")</f>
        <v>June</v>
      </c>
    </row>
    <row r="1840" spans="1:12" x14ac:dyDescent="0.3">
      <c r="A1840" s="1">
        <v>41069</v>
      </c>
      <c r="B1840" s="1">
        <v>41071</v>
      </c>
      <c r="C1840" t="s">
        <v>288</v>
      </c>
      <c r="D1840" t="s">
        <v>11</v>
      </c>
      <c r="E1840" t="s">
        <v>1704</v>
      </c>
      <c r="F1840">
        <v>355.36</v>
      </c>
      <c r="G1840">
        <v>4</v>
      </c>
      <c r="H1840">
        <v>92.393600000000006</v>
      </c>
      <c r="I1840">
        <v>2</v>
      </c>
      <c r="J1840">
        <v>2012</v>
      </c>
      <c r="K1840" t="s">
        <v>2206</v>
      </c>
      <c r="L1840" t="str">
        <f>TEXT(maintable_2[[#This Row],[Order Date]],"mmmm")</f>
        <v>June</v>
      </c>
    </row>
    <row r="1841" spans="1:12" x14ac:dyDescent="0.3">
      <c r="A1841" s="1">
        <v>41069</v>
      </c>
      <c r="B1841" s="1">
        <v>41071</v>
      </c>
      <c r="C1841" t="s">
        <v>288</v>
      </c>
      <c r="D1841" t="s">
        <v>15</v>
      </c>
      <c r="E1841" t="s">
        <v>1705</v>
      </c>
      <c r="F1841">
        <v>140.376</v>
      </c>
      <c r="G1841">
        <v>3</v>
      </c>
      <c r="H1841">
        <v>8.7735000000000003</v>
      </c>
      <c r="I1841">
        <v>2</v>
      </c>
      <c r="J1841">
        <v>2012</v>
      </c>
      <c r="K1841" t="s">
        <v>2206</v>
      </c>
      <c r="L1841" t="str">
        <f>TEXT(maintable_2[[#This Row],[Order Date]],"mmmm")</f>
        <v>June</v>
      </c>
    </row>
    <row r="1842" spans="1:12" x14ac:dyDescent="0.3">
      <c r="A1842" s="1">
        <v>41296</v>
      </c>
      <c r="B1842" s="1">
        <v>41301</v>
      </c>
      <c r="C1842" t="s">
        <v>810</v>
      </c>
      <c r="D1842" t="s">
        <v>44</v>
      </c>
      <c r="E1842" t="s">
        <v>773</v>
      </c>
      <c r="F1842">
        <v>12.96</v>
      </c>
      <c r="G1842">
        <v>2</v>
      </c>
      <c r="H1842">
        <v>6.2207999999999997</v>
      </c>
      <c r="I1842">
        <v>5</v>
      </c>
      <c r="J1842">
        <v>2013</v>
      </c>
      <c r="K1842" t="s">
        <v>2210</v>
      </c>
      <c r="L1842" t="str">
        <f>TEXT(maintable_2[[#This Row],[Order Date]],"mmmm")</f>
        <v>January</v>
      </c>
    </row>
    <row r="1843" spans="1:12" x14ac:dyDescent="0.3">
      <c r="A1843" s="1">
        <v>40691</v>
      </c>
      <c r="B1843" s="1">
        <v>40696</v>
      </c>
      <c r="C1843" t="s">
        <v>1706</v>
      </c>
      <c r="D1843" t="s">
        <v>15</v>
      </c>
      <c r="E1843" t="s">
        <v>1707</v>
      </c>
      <c r="F1843">
        <v>57.408000000000001</v>
      </c>
      <c r="G1843">
        <v>6</v>
      </c>
      <c r="H1843">
        <v>5.7408000000000001</v>
      </c>
      <c r="I1843">
        <v>5</v>
      </c>
      <c r="J1843">
        <v>2011</v>
      </c>
      <c r="K1843" t="s">
        <v>2208</v>
      </c>
      <c r="L1843" t="str">
        <f>TEXT(maintable_2[[#This Row],[Order Date]],"mmmm")</f>
        <v>May</v>
      </c>
    </row>
    <row r="1844" spans="1:12" x14ac:dyDescent="0.3">
      <c r="A1844" s="1">
        <v>40691</v>
      </c>
      <c r="B1844" s="1">
        <v>40696</v>
      </c>
      <c r="C1844" t="s">
        <v>1706</v>
      </c>
      <c r="D1844" t="s">
        <v>37</v>
      </c>
      <c r="E1844" t="s">
        <v>1495</v>
      </c>
      <c r="F1844">
        <v>27.6</v>
      </c>
      <c r="G1844">
        <v>4</v>
      </c>
      <c r="H1844">
        <v>2.2080000000000002</v>
      </c>
      <c r="I1844">
        <v>5</v>
      </c>
      <c r="J1844">
        <v>2011</v>
      </c>
      <c r="K1844" t="s">
        <v>2208</v>
      </c>
      <c r="L1844" t="str">
        <f>TEXT(maintable_2[[#This Row],[Order Date]],"mmmm")</f>
        <v>May</v>
      </c>
    </row>
    <row r="1845" spans="1:12" x14ac:dyDescent="0.3">
      <c r="A1845" s="1">
        <v>41218</v>
      </c>
      <c r="B1845" s="1">
        <v>41218</v>
      </c>
      <c r="C1845" t="s">
        <v>169</v>
      </c>
      <c r="D1845" t="s">
        <v>17</v>
      </c>
      <c r="E1845" t="s">
        <v>64</v>
      </c>
      <c r="F1845">
        <v>98.352000000000004</v>
      </c>
      <c r="G1845">
        <v>3</v>
      </c>
      <c r="H1845">
        <v>35.6526</v>
      </c>
      <c r="I1845">
        <v>0</v>
      </c>
      <c r="J1845">
        <v>2012</v>
      </c>
      <c r="K1845" t="s">
        <v>2209</v>
      </c>
      <c r="L1845" t="str">
        <f>TEXT(maintable_2[[#This Row],[Order Date]],"mmmm")</f>
        <v>November</v>
      </c>
    </row>
    <row r="1846" spans="1:12" x14ac:dyDescent="0.3">
      <c r="A1846" s="1">
        <v>41400</v>
      </c>
      <c r="B1846" s="1">
        <v>41402</v>
      </c>
      <c r="C1846" t="s">
        <v>1708</v>
      </c>
      <c r="D1846" t="s">
        <v>21</v>
      </c>
      <c r="E1846" t="s">
        <v>1509</v>
      </c>
      <c r="F1846">
        <v>71.087999999999994</v>
      </c>
      <c r="G1846">
        <v>2</v>
      </c>
      <c r="H1846">
        <v>-1.7771999999999999</v>
      </c>
      <c r="I1846">
        <v>2</v>
      </c>
      <c r="J1846">
        <v>2013</v>
      </c>
      <c r="K1846" t="s">
        <v>2208</v>
      </c>
      <c r="L1846" t="str">
        <f>TEXT(maintable_2[[#This Row],[Order Date]],"mmmm")</f>
        <v>May</v>
      </c>
    </row>
    <row r="1847" spans="1:12" x14ac:dyDescent="0.3">
      <c r="A1847" s="1">
        <v>41947</v>
      </c>
      <c r="B1847" s="1">
        <v>41952</v>
      </c>
      <c r="C1847" t="s">
        <v>766</v>
      </c>
      <c r="D1847" t="s">
        <v>44</v>
      </c>
      <c r="E1847" t="s">
        <v>1442</v>
      </c>
      <c r="F1847">
        <v>35.880000000000003</v>
      </c>
      <c r="G1847">
        <v>6</v>
      </c>
      <c r="H1847">
        <v>17.581199999999999</v>
      </c>
      <c r="I1847">
        <v>5</v>
      </c>
      <c r="J1847">
        <v>2014</v>
      </c>
      <c r="K1847" t="s">
        <v>2209</v>
      </c>
      <c r="L1847" t="str">
        <f>TEXT(maintable_2[[#This Row],[Order Date]],"mmmm")</f>
        <v>November</v>
      </c>
    </row>
    <row r="1848" spans="1:12" x14ac:dyDescent="0.3">
      <c r="A1848" s="1">
        <v>41227</v>
      </c>
      <c r="B1848" s="1">
        <v>41230</v>
      </c>
      <c r="C1848" t="s">
        <v>1398</v>
      </c>
      <c r="D1848" t="s">
        <v>78</v>
      </c>
      <c r="E1848" t="s">
        <v>1554</v>
      </c>
      <c r="F1848">
        <v>8.7200000000000006</v>
      </c>
      <c r="G1848">
        <v>5</v>
      </c>
      <c r="H1848">
        <v>2.2890000000000001</v>
      </c>
      <c r="I1848">
        <v>3</v>
      </c>
      <c r="J1848">
        <v>2012</v>
      </c>
      <c r="K1848" t="s">
        <v>2209</v>
      </c>
      <c r="L1848" t="str">
        <f>TEXT(maintable_2[[#This Row],[Order Date]],"mmmm")</f>
        <v>November</v>
      </c>
    </row>
    <row r="1849" spans="1:12" x14ac:dyDescent="0.3">
      <c r="A1849" s="1">
        <v>41227</v>
      </c>
      <c r="B1849" s="1">
        <v>41230</v>
      </c>
      <c r="C1849" t="s">
        <v>1398</v>
      </c>
      <c r="D1849" t="s">
        <v>37</v>
      </c>
      <c r="E1849" t="s">
        <v>930</v>
      </c>
      <c r="F1849">
        <v>91.176000000000002</v>
      </c>
      <c r="G1849">
        <v>3</v>
      </c>
      <c r="H1849">
        <v>4.5587999999999997</v>
      </c>
      <c r="I1849">
        <v>3</v>
      </c>
      <c r="J1849">
        <v>2012</v>
      </c>
      <c r="K1849" t="s">
        <v>2209</v>
      </c>
      <c r="L1849" t="str">
        <f>TEXT(maintable_2[[#This Row],[Order Date]],"mmmm")</f>
        <v>November</v>
      </c>
    </row>
    <row r="1850" spans="1:12" x14ac:dyDescent="0.3">
      <c r="A1850" s="1">
        <v>41227</v>
      </c>
      <c r="B1850" s="1">
        <v>41230</v>
      </c>
      <c r="C1850" t="s">
        <v>1398</v>
      </c>
      <c r="D1850" t="s">
        <v>37</v>
      </c>
      <c r="E1850" t="s">
        <v>824</v>
      </c>
      <c r="F1850">
        <v>159.96799999999999</v>
      </c>
      <c r="G1850">
        <v>4</v>
      </c>
      <c r="H1850">
        <v>29.994</v>
      </c>
      <c r="I1850">
        <v>3</v>
      </c>
      <c r="J1850">
        <v>2012</v>
      </c>
      <c r="K1850" t="s">
        <v>2209</v>
      </c>
      <c r="L1850" t="str">
        <f>TEXT(maintable_2[[#This Row],[Order Date]],"mmmm")</f>
        <v>November</v>
      </c>
    </row>
    <row r="1851" spans="1:12" x14ac:dyDescent="0.3">
      <c r="A1851" s="1">
        <v>41544</v>
      </c>
      <c r="B1851" s="1">
        <v>41548</v>
      </c>
      <c r="C1851" t="s">
        <v>1709</v>
      </c>
      <c r="D1851" t="s">
        <v>44</v>
      </c>
      <c r="E1851" t="s">
        <v>1257</v>
      </c>
      <c r="F1851">
        <v>12.96</v>
      </c>
      <c r="G1851">
        <v>2</v>
      </c>
      <c r="H1851">
        <v>6.2207999999999997</v>
      </c>
      <c r="I1851">
        <v>4</v>
      </c>
      <c r="J1851">
        <v>2013</v>
      </c>
      <c r="K1851" t="s">
        <v>2209</v>
      </c>
      <c r="L1851" t="str">
        <f>TEXT(maintable_2[[#This Row],[Order Date]],"mmmm")</f>
        <v>September</v>
      </c>
    </row>
    <row r="1852" spans="1:12" x14ac:dyDescent="0.3">
      <c r="A1852" s="1">
        <v>40564</v>
      </c>
      <c r="B1852" s="1">
        <v>40569</v>
      </c>
      <c r="C1852" t="s">
        <v>1423</v>
      </c>
      <c r="D1852" t="s">
        <v>44</v>
      </c>
      <c r="E1852" t="s">
        <v>193</v>
      </c>
      <c r="F1852">
        <v>19.36</v>
      </c>
      <c r="G1852">
        <v>2</v>
      </c>
      <c r="H1852">
        <v>9.2927999999999997</v>
      </c>
      <c r="I1852">
        <v>5</v>
      </c>
      <c r="J1852">
        <v>2011</v>
      </c>
      <c r="K1852" t="s">
        <v>2210</v>
      </c>
      <c r="L1852" t="str">
        <f>TEXT(maintable_2[[#This Row],[Order Date]],"mmmm")</f>
        <v>January</v>
      </c>
    </row>
    <row r="1853" spans="1:12" x14ac:dyDescent="0.3">
      <c r="A1853" s="1">
        <v>40564</v>
      </c>
      <c r="B1853" s="1">
        <v>40569</v>
      </c>
      <c r="C1853" t="s">
        <v>1423</v>
      </c>
      <c r="D1853" t="s">
        <v>11</v>
      </c>
      <c r="E1853" t="s">
        <v>1710</v>
      </c>
      <c r="F1853">
        <v>19.3</v>
      </c>
      <c r="G1853">
        <v>2</v>
      </c>
      <c r="H1853">
        <v>5.79</v>
      </c>
      <c r="I1853">
        <v>5</v>
      </c>
      <c r="J1853">
        <v>2011</v>
      </c>
      <c r="K1853" t="s">
        <v>2210</v>
      </c>
      <c r="L1853" t="str">
        <f>TEXT(maintable_2[[#This Row],[Order Date]],"mmmm")</f>
        <v>January</v>
      </c>
    </row>
    <row r="1854" spans="1:12" x14ac:dyDescent="0.3">
      <c r="A1854" s="1">
        <v>41640</v>
      </c>
      <c r="B1854" s="1">
        <v>41646</v>
      </c>
      <c r="C1854" t="s">
        <v>1711</v>
      </c>
      <c r="D1854" t="s">
        <v>17</v>
      </c>
      <c r="E1854" t="s">
        <v>1022</v>
      </c>
      <c r="F1854">
        <v>38.375999999999998</v>
      </c>
      <c r="G1854">
        <v>3</v>
      </c>
      <c r="H1854">
        <v>13.4316</v>
      </c>
      <c r="I1854">
        <v>6</v>
      </c>
      <c r="J1854">
        <v>2014</v>
      </c>
      <c r="K1854" t="s">
        <v>2207</v>
      </c>
      <c r="L1854" t="str">
        <f>TEXT(maintable_2[[#This Row],[Order Date]],"mmmm")</f>
        <v>January</v>
      </c>
    </row>
    <row r="1855" spans="1:12" x14ac:dyDescent="0.3">
      <c r="A1855" s="1">
        <v>41727</v>
      </c>
      <c r="B1855" s="1">
        <v>41730</v>
      </c>
      <c r="C1855" t="s">
        <v>1712</v>
      </c>
      <c r="D1855" t="s">
        <v>44</v>
      </c>
      <c r="E1855" t="s">
        <v>1713</v>
      </c>
      <c r="F1855">
        <v>12.96</v>
      </c>
      <c r="G1855">
        <v>2</v>
      </c>
      <c r="H1855">
        <v>6.3503999999999996</v>
      </c>
      <c r="I1855">
        <v>3</v>
      </c>
      <c r="J1855">
        <v>2014</v>
      </c>
      <c r="K1855" t="s">
        <v>2208</v>
      </c>
      <c r="L1855" t="str">
        <f>TEXT(maintable_2[[#This Row],[Order Date]],"mmmm")</f>
        <v>March</v>
      </c>
    </row>
    <row r="1856" spans="1:12" x14ac:dyDescent="0.3">
      <c r="A1856" s="1">
        <v>41727</v>
      </c>
      <c r="B1856" s="1">
        <v>41730</v>
      </c>
      <c r="C1856" t="s">
        <v>1712</v>
      </c>
      <c r="D1856" t="s">
        <v>11</v>
      </c>
      <c r="E1856" t="s">
        <v>1714</v>
      </c>
      <c r="F1856">
        <v>26.48</v>
      </c>
      <c r="G1856">
        <v>1</v>
      </c>
      <c r="H1856">
        <v>10.0624</v>
      </c>
      <c r="I1856">
        <v>3</v>
      </c>
      <c r="J1856">
        <v>2014</v>
      </c>
      <c r="K1856" t="s">
        <v>2208</v>
      </c>
      <c r="L1856" t="str">
        <f>TEXT(maintable_2[[#This Row],[Order Date]],"mmmm")</f>
        <v>March</v>
      </c>
    </row>
    <row r="1857" spans="1:12" x14ac:dyDescent="0.3">
      <c r="A1857" s="1">
        <v>41727</v>
      </c>
      <c r="B1857" s="1">
        <v>41730</v>
      </c>
      <c r="C1857" t="s">
        <v>1712</v>
      </c>
      <c r="D1857" t="s">
        <v>494</v>
      </c>
      <c r="E1857" t="s">
        <v>1715</v>
      </c>
      <c r="F1857">
        <v>532.72</v>
      </c>
      <c r="G1857">
        <v>2</v>
      </c>
      <c r="H1857">
        <v>53.271999999999998</v>
      </c>
      <c r="I1857">
        <v>3</v>
      </c>
      <c r="J1857">
        <v>2014</v>
      </c>
      <c r="K1857" t="s">
        <v>2208</v>
      </c>
      <c r="L1857" t="str">
        <f>TEXT(maintable_2[[#This Row],[Order Date]],"mmmm")</f>
        <v>March</v>
      </c>
    </row>
    <row r="1858" spans="1:12" x14ac:dyDescent="0.3">
      <c r="A1858" s="1">
        <v>41727</v>
      </c>
      <c r="B1858" s="1">
        <v>41730</v>
      </c>
      <c r="C1858" t="s">
        <v>1712</v>
      </c>
      <c r="D1858" t="s">
        <v>44</v>
      </c>
      <c r="E1858" t="s">
        <v>1235</v>
      </c>
      <c r="F1858">
        <v>26.72</v>
      </c>
      <c r="G1858">
        <v>4</v>
      </c>
      <c r="H1858">
        <v>12.8256</v>
      </c>
      <c r="I1858">
        <v>3</v>
      </c>
      <c r="J1858">
        <v>2014</v>
      </c>
      <c r="K1858" t="s">
        <v>2208</v>
      </c>
      <c r="L1858" t="str">
        <f>TEXT(maintable_2[[#This Row],[Order Date]],"mmmm")</f>
        <v>March</v>
      </c>
    </row>
    <row r="1859" spans="1:12" x14ac:dyDescent="0.3">
      <c r="A1859" s="1">
        <v>41727</v>
      </c>
      <c r="B1859" s="1">
        <v>41730</v>
      </c>
      <c r="C1859" t="s">
        <v>1712</v>
      </c>
      <c r="D1859" t="s">
        <v>44</v>
      </c>
      <c r="E1859" t="s">
        <v>330</v>
      </c>
      <c r="F1859">
        <v>20.04</v>
      </c>
      <c r="G1859">
        <v>3</v>
      </c>
      <c r="H1859">
        <v>9.6191999999999993</v>
      </c>
      <c r="I1859">
        <v>3</v>
      </c>
      <c r="J1859">
        <v>2014</v>
      </c>
      <c r="K1859" t="s">
        <v>2208</v>
      </c>
      <c r="L1859" t="str">
        <f>TEXT(maintable_2[[#This Row],[Order Date]],"mmmm")</f>
        <v>March</v>
      </c>
    </row>
    <row r="1860" spans="1:12" x14ac:dyDescent="0.3">
      <c r="A1860" s="1">
        <v>41727</v>
      </c>
      <c r="B1860" s="1">
        <v>41730</v>
      </c>
      <c r="C1860" t="s">
        <v>1712</v>
      </c>
      <c r="D1860" t="s">
        <v>27</v>
      </c>
      <c r="E1860" t="s">
        <v>223</v>
      </c>
      <c r="F1860">
        <v>795.48</v>
      </c>
      <c r="G1860">
        <v>7</v>
      </c>
      <c r="H1860">
        <v>7.9547999999999996</v>
      </c>
      <c r="I1860">
        <v>3</v>
      </c>
      <c r="J1860">
        <v>2014</v>
      </c>
      <c r="K1860" t="s">
        <v>2208</v>
      </c>
      <c r="L1860" t="str">
        <f>TEXT(maintable_2[[#This Row],[Order Date]],"mmmm")</f>
        <v>March</v>
      </c>
    </row>
    <row r="1861" spans="1:12" x14ac:dyDescent="0.3">
      <c r="A1861" s="1">
        <v>41727</v>
      </c>
      <c r="B1861" s="1">
        <v>41730</v>
      </c>
      <c r="C1861" t="s">
        <v>1712</v>
      </c>
      <c r="D1861" t="s">
        <v>11</v>
      </c>
      <c r="E1861" t="s">
        <v>1691</v>
      </c>
      <c r="F1861">
        <v>21.56</v>
      </c>
      <c r="G1861">
        <v>7</v>
      </c>
      <c r="H1861">
        <v>6.8992000000000004</v>
      </c>
      <c r="I1861">
        <v>3</v>
      </c>
      <c r="J1861">
        <v>2014</v>
      </c>
      <c r="K1861" t="s">
        <v>2208</v>
      </c>
      <c r="L1861" t="str">
        <f>TEXT(maintable_2[[#This Row],[Order Date]],"mmmm")</f>
        <v>March</v>
      </c>
    </row>
    <row r="1862" spans="1:12" x14ac:dyDescent="0.3">
      <c r="A1862" s="1">
        <v>41296</v>
      </c>
      <c r="B1862" s="1">
        <v>41302</v>
      </c>
      <c r="C1862" t="s">
        <v>279</v>
      </c>
      <c r="D1862" t="s">
        <v>8</v>
      </c>
      <c r="E1862" t="s">
        <v>1716</v>
      </c>
      <c r="F1862">
        <v>44.4</v>
      </c>
      <c r="G1862">
        <v>3</v>
      </c>
      <c r="H1862">
        <v>22.2</v>
      </c>
      <c r="I1862">
        <v>6</v>
      </c>
      <c r="J1862">
        <v>2013</v>
      </c>
      <c r="K1862" t="s">
        <v>2210</v>
      </c>
      <c r="L1862" t="str">
        <f>TEXT(maintable_2[[#This Row],[Order Date]],"mmmm")</f>
        <v>January</v>
      </c>
    </row>
    <row r="1863" spans="1:12" x14ac:dyDescent="0.3">
      <c r="A1863" s="1">
        <v>41296</v>
      </c>
      <c r="B1863" s="1">
        <v>41302</v>
      </c>
      <c r="C1863" t="s">
        <v>279</v>
      </c>
      <c r="D1863" t="s">
        <v>8</v>
      </c>
      <c r="E1863" t="s">
        <v>1717</v>
      </c>
      <c r="F1863">
        <v>20.65</v>
      </c>
      <c r="G1863">
        <v>5</v>
      </c>
      <c r="H1863">
        <v>9.4990000000000006</v>
      </c>
      <c r="I1863">
        <v>6</v>
      </c>
      <c r="J1863">
        <v>2013</v>
      </c>
      <c r="K1863" t="s">
        <v>2210</v>
      </c>
      <c r="L1863" t="str">
        <f>TEXT(maintable_2[[#This Row],[Order Date]],"mmmm")</f>
        <v>January</v>
      </c>
    </row>
    <row r="1864" spans="1:12" x14ac:dyDescent="0.3">
      <c r="A1864" s="1">
        <v>41639</v>
      </c>
      <c r="B1864" s="1">
        <v>41639</v>
      </c>
      <c r="C1864" t="s">
        <v>1718</v>
      </c>
      <c r="D1864" t="s">
        <v>27</v>
      </c>
      <c r="E1864" t="s">
        <v>1547</v>
      </c>
      <c r="F1864">
        <v>481.32</v>
      </c>
      <c r="G1864">
        <v>4</v>
      </c>
      <c r="H1864">
        <v>125.14319999999999</v>
      </c>
      <c r="I1864">
        <v>0</v>
      </c>
      <c r="J1864">
        <v>2013</v>
      </c>
      <c r="K1864" t="s">
        <v>2207</v>
      </c>
      <c r="L1864" t="str">
        <f>TEXT(maintable_2[[#This Row],[Order Date]],"mmmm")</f>
        <v>December</v>
      </c>
    </row>
    <row r="1865" spans="1:12" x14ac:dyDescent="0.3">
      <c r="A1865" s="1">
        <v>41639</v>
      </c>
      <c r="B1865" s="1">
        <v>41639</v>
      </c>
      <c r="C1865" t="s">
        <v>1718</v>
      </c>
      <c r="D1865" t="s">
        <v>17</v>
      </c>
      <c r="E1865" t="s">
        <v>1594</v>
      </c>
      <c r="F1865">
        <v>6.3840000000000003</v>
      </c>
      <c r="G1865">
        <v>1</v>
      </c>
      <c r="H1865">
        <v>2.1545999999999998</v>
      </c>
      <c r="I1865">
        <v>0</v>
      </c>
      <c r="J1865">
        <v>2013</v>
      </c>
      <c r="K1865" t="s">
        <v>2207</v>
      </c>
      <c r="L1865" t="str">
        <f>TEXT(maintable_2[[#This Row],[Order Date]],"mmmm")</f>
        <v>December</v>
      </c>
    </row>
    <row r="1866" spans="1:12" x14ac:dyDescent="0.3">
      <c r="A1866" s="1">
        <v>41864</v>
      </c>
      <c r="B1866" s="1">
        <v>41867</v>
      </c>
      <c r="C1866" t="s">
        <v>901</v>
      </c>
      <c r="D1866" t="s">
        <v>19</v>
      </c>
      <c r="E1866" t="s">
        <v>1452</v>
      </c>
      <c r="F1866">
        <v>542.94000000000005</v>
      </c>
      <c r="G1866">
        <v>3</v>
      </c>
      <c r="H1866">
        <v>152.0232</v>
      </c>
      <c r="I1866">
        <v>3</v>
      </c>
      <c r="J1866">
        <v>2014</v>
      </c>
      <c r="K1866" t="s">
        <v>2206</v>
      </c>
      <c r="L1866" t="str">
        <f>TEXT(maintable_2[[#This Row],[Order Date]],"mmmm")</f>
        <v>August</v>
      </c>
    </row>
    <row r="1867" spans="1:12" x14ac:dyDescent="0.3">
      <c r="A1867" s="1">
        <v>41864</v>
      </c>
      <c r="B1867" s="1">
        <v>41867</v>
      </c>
      <c r="C1867" t="s">
        <v>901</v>
      </c>
      <c r="D1867" t="s">
        <v>11</v>
      </c>
      <c r="E1867" t="s">
        <v>1524</v>
      </c>
      <c r="F1867">
        <v>54.92</v>
      </c>
      <c r="G1867">
        <v>4</v>
      </c>
      <c r="H1867">
        <v>19.7712</v>
      </c>
      <c r="I1867">
        <v>3</v>
      </c>
      <c r="J1867">
        <v>2014</v>
      </c>
      <c r="K1867" t="s">
        <v>2206</v>
      </c>
      <c r="L1867" t="str">
        <f>TEXT(maintable_2[[#This Row],[Order Date]],"mmmm")</f>
        <v>August</v>
      </c>
    </row>
    <row r="1868" spans="1:12" x14ac:dyDescent="0.3">
      <c r="A1868" s="1">
        <v>41162</v>
      </c>
      <c r="B1868" s="1">
        <v>41164</v>
      </c>
      <c r="C1868" t="s">
        <v>748</v>
      </c>
      <c r="D1868" t="s">
        <v>27</v>
      </c>
      <c r="E1868" t="s">
        <v>1719</v>
      </c>
      <c r="F1868">
        <v>353.88</v>
      </c>
      <c r="G1868">
        <v>6</v>
      </c>
      <c r="H1868">
        <v>17.693999999999999</v>
      </c>
      <c r="I1868">
        <v>2</v>
      </c>
      <c r="J1868">
        <v>2012</v>
      </c>
      <c r="K1868" t="s">
        <v>2209</v>
      </c>
      <c r="L1868" t="str">
        <f>TEXT(maintable_2[[#This Row],[Order Date]],"mmmm")</f>
        <v>September</v>
      </c>
    </row>
    <row r="1869" spans="1:12" x14ac:dyDescent="0.3">
      <c r="A1869" s="1">
        <v>40855</v>
      </c>
      <c r="B1869" s="1">
        <v>40861</v>
      </c>
      <c r="C1869" t="s">
        <v>33</v>
      </c>
      <c r="D1869" t="s">
        <v>15</v>
      </c>
      <c r="E1869" t="s">
        <v>512</v>
      </c>
      <c r="F1869">
        <v>333.57600000000002</v>
      </c>
      <c r="G1869">
        <v>3</v>
      </c>
      <c r="H1869">
        <v>25.0182</v>
      </c>
      <c r="I1869">
        <v>6</v>
      </c>
      <c r="J1869">
        <v>2011</v>
      </c>
      <c r="K1869" t="s">
        <v>2209</v>
      </c>
      <c r="L1869" t="str">
        <f>TEXT(maintable_2[[#This Row],[Order Date]],"mmmm")</f>
        <v>November</v>
      </c>
    </row>
    <row r="1870" spans="1:12" x14ac:dyDescent="0.3">
      <c r="A1870" s="1">
        <v>41176</v>
      </c>
      <c r="B1870" s="1">
        <v>41180</v>
      </c>
      <c r="C1870" t="s">
        <v>604</v>
      </c>
      <c r="D1870" t="s">
        <v>11</v>
      </c>
      <c r="E1870" t="s">
        <v>628</v>
      </c>
      <c r="F1870">
        <v>14.91</v>
      </c>
      <c r="G1870">
        <v>3</v>
      </c>
      <c r="H1870">
        <v>4.6220999999999997</v>
      </c>
      <c r="I1870">
        <v>4</v>
      </c>
      <c r="J1870">
        <v>2012</v>
      </c>
      <c r="K1870" t="s">
        <v>2209</v>
      </c>
      <c r="L1870" t="str">
        <f>TEXT(maintable_2[[#This Row],[Order Date]],"mmmm")</f>
        <v>September</v>
      </c>
    </row>
    <row r="1871" spans="1:12" x14ac:dyDescent="0.3">
      <c r="A1871" s="1">
        <v>41176</v>
      </c>
      <c r="B1871" s="1">
        <v>41180</v>
      </c>
      <c r="C1871" t="s">
        <v>604</v>
      </c>
      <c r="D1871" t="s">
        <v>19</v>
      </c>
      <c r="E1871" t="s">
        <v>1057</v>
      </c>
      <c r="F1871">
        <v>1158.1199999999999</v>
      </c>
      <c r="G1871">
        <v>4</v>
      </c>
      <c r="H1871">
        <v>335.85480000000001</v>
      </c>
      <c r="I1871">
        <v>4</v>
      </c>
      <c r="J1871">
        <v>2012</v>
      </c>
      <c r="K1871" t="s">
        <v>2209</v>
      </c>
      <c r="L1871" t="str">
        <f>TEXT(maintable_2[[#This Row],[Order Date]],"mmmm")</f>
        <v>September</v>
      </c>
    </row>
    <row r="1872" spans="1:12" x14ac:dyDescent="0.3">
      <c r="A1872" s="1">
        <v>41377</v>
      </c>
      <c r="B1872" s="1">
        <v>41381</v>
      </c>
      <c r="C1872" t="s">
        <v>1720</v>
      </c>
      <c r="D1872" t="s">
        <v>71</v>
      </c>
      <c r="E1872" t="s">
        <v>1721</v>
      </c>
      <c r="F1872">
        <v>638.28800000000001</v>
      </c>
      <c r="G1872">
        <v>7</v>
      </c>
      <c r="H1872">
        <v>-31.914400000000001</v>
      </c>
      <c r="I1872">
        <v>4</v>
      </c>
      <c r="J1872">
        <v>2013</v>
      </c>
      <c r="K1872" t="s">
        <v>2208</v>
      </c>
      <c r="L1872" t="str">
        <f>TEXT(maintable_2[[#This Row],[Order Date]],"mmmm")</f>
        <v>April</v>
      </c>
    </row>
    <row r="1873" spans="1:12" x14ac:dyDescent="0.3">
      <c r="A1873" s="1">
        <v>41377</v>
      </c>
      <c r="B1873" s="1">
        <v>41381</v>
      </c>
      <c r="C1873" t="s">
        <v>1720</v>
      </c>
      <c r="D1873" t="s">
        <v>17</v>
      </c>
      <c r="E1873" t="s">
        <v>1722</v>
      </c>
      <c r="F1873">
        <v>13.208</v>
      </c>
      <c r="G1873">
        <v>1</v>
      </c>
      <c r="H1873">
        <v>4.6227999999999998</v>
      </c>
      <c r="I1873">
        <v>4</v>
      </c>
      <c r="J1873">
        <v>2013</v>
      </c>
      <c r="K1873" t="s">
        <v>2208</v>
      </c>
      <c r="L1873" t="str">
        <f>TEXT(maintable_2[[#This Row],[Order Date]],"mmmm")</f>
        <v>April</v>
      </c>
    </row>
    <row r="1874" spans="1:12" x14ac:dyDescent="0.3">
      <c r="A1874" s="1">
        <v>41613</v>
      </c>
      <c r="B1874" s="1">
        <v>41618</v>
      </c>
      <c r="C1874" t="s">
        <v>564</v>
      </c>
      <c r="D1874" t="s">
        <v>44</v>
      </c>
      <c r="E1874" t="s">
        <v>1723</v>
      </c>
      <c r="F1874">
        <v>104.85</v>
      </c>
      <c r="G1874">
        <v>1</v>
      </c>
      <c r="H1874">
        <v>50.328000000000003</v>
      </c>
      <c r="I1874">
        <v>5</v>
      </c>
      <c r="J1874">
        <v>2013</v>
      </c>
      <c r="K1874" t="s">
        <v>2207</v>
      </c>
      <c r="L1874" t="str">
        <f>TEXT(maintable_2[[#This Row],[Order Date]],"mmmm")</f>
        <v>December</v>
      </c>
    </row>
    <row r="1875" spans="1:12" x14ac:dyDescent="0.3">
      <c r="A1875" s="1">
        <v>40858</v>
      </c>
      <c r="B1875" s="1">
        <v>40865</v>
      </c>
      <c r="C1875" t="s">
        <v>491</v>
      </c>
      <c r="D1875" t="s">
        <v>13</v>
      </c>
      <c r="E1875" t="s">
        <v>1216</v>
      </c>
      <c r="F1875">
        <v>30.48</v>
      </c>
      <c r="G1875">
        <v>3</v>
      </c>
      <c r="H1875">
        <v>7.9248000000000003</v>
      </c>
      <c r="I1875">
        <v>7</v>
      </c>
      <c r="J1875">
        <v>2011</v>
      </c>
      <c r="K1875" t="s">
        <v>2209</v>
      </c>
      <c r="L1875" t="str">
        <f>TEXT(maintable_2[[#This Row],[Order Date]],"mmmm")</f>
        <v>November</v>
      </c>
    </row>
    <row r="1876" spans="1:12" x14ac:dyDescent="0.3">
      <c r="A1876" s="1">
        <v>40858</v>
      </c>
      <c r="B1876" s="1">
        <v>40865</v>
      </c>
      <c r="C1876" t="s">
        <v>491</v>
      </c>
      <c r="D1876" t="s">
        <v>71</v>
      </c>
      <c r="E1876" t="s">
        <v>1053</v>
      </c>
      <c r="F1876">
        <v>112.648</v>
      </c>
      <c r="G1876">
        <v>1</v>
      </c>
      <c r="H1876">
        <v>11.264799999999999</v>
      </c>
      <c r="I1876">
        <v>7</v>
      </c>
      <c r="J1876">
        <v>2011</v>
      </c>
      <c r="K1876" t="s">
        <v>2209</v>
      </c>
      <c r="L1876" t="str">
        <f>TEXT(maintable_2[[#This Row],[Order Date]],"mmmm")</f>
        <v>November</v>
      </c>
    </row>
    <row r="1877" spans="1:12" x14ac:dyDescent="0.3">
      <c r="A1877" s="1">
        <v>41001</v>
      </c>
      <c r="B1877" s="1">
        <v>41008</v>
      </c>
      <c r="C1877" t="s">
        <v>1724</v>
      </c>
      <c r="D1877" t="s">
        <v>494</v>
      </c>
      <c r="E1877" t="s">
        <v>1725</v>
      </c>
      <c r="F1877">
        <v>71.975999999999999</v>
      </c>
      <c r="G1877">
        <v>3</v>
      </c>
      <c r="H1877">
        <v>24.291899999999998</v>
      </c>
      <c r="I1877">
        <v>7</v>
      </c>
      <c r="J1877">
        <v>2012</v>
      </c>
      <c r="K1877" t="s">
        <v>2208</v>
      </c>
      <c r="L1877" t="str">
        <f>TEXT(maintable_2[[#This Row],[Order Date]],"mmmm")</f>
        <v>April</v>
      </c>
    </row>
    <row r="1878" spans="1:12" x14ac:dyDescent="0.3">
      <c r="A1878" s="1">
        <v>41255</v>
      </c>
      <c r="B1878" s="1">
        <v>41259</v>
      </c>
      <c r="C1878" t="s">
        <v>230</v>
      </c>
      <c r="D1878" t="s">
        <v>13</v>
      </c>
      <c r="E1878" t="s">
        <v>99</v>
      </c>
      <c r="F1878">
        <v>2.21</v>
      </c>
      <c r="G1878">
        <v>1</v>
      </c>
      <c r="H1878">
        <v>0.59670000000000001</v>
      </c>
      <c r="I1878">
        <v>4</v>
      </c>
      <c r="J1878">
        <v>2012</v>
      </c>
      <c r="K1878" t="s">
        <v>2207</v>
      </c>
      <c r="L1878" t="str">
        <f>TEXT(maintable_2[[#This Row],[Order Date]],"mmmm")</f>
        <v>December</v>
      </c>
    </row>
    <row r="1879" spans="1:12" x14ac:dyDescent="0.3">
      <c r="A1879" s="1">
        <v>41255</v>
      </c>
      <c r="B1879" s="1">
        <v>41259</v>
      </c>
      <c r="C1879" t="s">
        <v>230</v>
      </c>
      <c r="D1879" t="s">
        <v>86</v>
      </c>
      <c r="E1879" t="s">
        <v>1726</v>
      </c>
      <c r="F1879">
        <v>15.52</v>
      </c>
      <c r="G1879">
        <v>4</v>
      </c>
      <c r="H1879">
        <v>7.4496000000000002</v>
      </c>
      <c r="I1879">
        <v>4</v>
      </c>
      <c r="J1879">
        <v>2012</v>
      </c>
      <c r="K1879" t="s">
        <v>2207</v>
      </c>
      <c r="L1879" t="str">
        <f>TEXT(maintable_2[[#This Row],[Order Date]],"mmmm")</f>
        <v>December</v>
      </c>
    </row>
    <row r="1880" spans="1:12" x14ac:dyDescent="0.3">
      <c r="A1880" s="1">
        <v>41255</v>
      </c>
      <c r="B1880" s="1">
        <v>41259</v>
      </c>
      <c r="C1880" t="s">
        <v>230</v>
      </c>
      <c r="D1880" t="s">
        <v>44</v>
      </c>
      <c r="E1880" t="s">
        <v>1727</v>
      </c>
      <c r="F1880">
        <v>36.44</v>
      </c>
      <c r="G1880">
        <v>4</v>
      </c>
      <c r="H1880">
        <v>16.398</v>
      </c>
      <c r="I1880">
        <v>4</v>
      </c>
      <c r="J1880">
        <v>2012</v>
      </c>
      <c r="K1880" t="s">
        <v>2207</v>
      </c>
      <c r="L1880" t="str">
        <f>TEXT(maintable_2[[#This Row],[Order Date]],"mmmm")</f>
        <v>December</v>
      </c>
    </row>
    <row r="1881" spans="1:12" x14ac:dyDescent="0.3">
      <c r="A1881" s="1">
        <v>41915</v>
      </c>
      <c r="B1881" s="1">
        <v>41921</v>
      </c>
      <c r="C1881" t="s">
        <v>1728</v>
      </c>
      <c r="D1881" t="s">
        <v>196</v>
      </c>
      <c r="E1881" t="s">
        <v>197</v>
      </c>
      <c r="F1881">
        <v>217.76400000000001</v>
      </c>
      <c r="G1881">
        <v>6</v>
      </c>
      <c r="H1881">
        <v>-384.71640000000002</v>
      </c>
      <c r="I1881">
        <v>6</v>
      </c>
      <c r="J1881">
        <v>2014</v>
      </c>
      <c r="K1881" t="s">
        <v>2209</v>
      </c>
      <c r="L1881" t="str">
        <f>TEXT(maintable_2[[#This Row],[Order Date]],"mmmm")</f>
        <v>October</v>
      </c>
    </row>
    <row r="1882" spans="1:12" x14ac:dyDescent="0.3">
      <c r="A1882" s="1">
        <v>41915</v>
      </c>
      <c r="B1882" s="1">
        <v>41921</v>
      </c>
      <c r="C1882" t="s">
        <v>1728</v>
      </c>
      <c r="D1882" t="s">
        <v>81</v>
      </c>
      <c r="E1882" t="s">
        <v>1729</v>
      </c>
      <c r="F1882">
        <v>39.072000000000003</v>
      </c>
      <c r="G1882">
        <v>6</v>
      </c>
      <c r="H1882">
        <v>4.3956</v>
      </c>
      <c r="I1882">
        <v>6</v>
      </c>
      <c r="J1882">
        <v>2014</v>
      </c>
      <c r="K1882" t="s">
        <v>2209</v>
      </c>
      <c r="L1882" t="str">
        <f>TEXT(maintable_2[[#This Row],[Order Date]],"mmmm")</f>
        <v>October</v>
      </c>
    </row>
    <row r="1883" spans="1:12" x14ac:dyDescent="0.3">
      <c r="A1883" s="1">
        <v>41915</v>
      </c>
      <c r="B1883" s="1">
        <v>41921</v>
      </c>
      <c r="C1883" t="s">
        <v>1728</v>
      </c>
      <c r="D1883" t="s">
        <v>17</v>
      </c>
      <c r="E1883" t="s">
        <v>718</v>
      </c>
      <c r="F1883">
        <v>22.638000000000002</v>
      </c>
      <c r="G1883">
        <v>7</v>
      </c>
      <c r="H1883">
        <v>-16.601199999999999</v>
      </c>
      <c r="I1883">
        <v>6</v>
      </c>
      <c r="J1883">
        <v>2014</v>
      </c>
      <c r="K1883" t="s">
        <v>2209</v>
      </c>
      <c r="L1883" t="str">
        <f>TEXT(maintable_2[[#This Row],[Order Date]],"mmmm")</f>
        <v>October</v>
      </c>
    </row>
    <row r="1884" spans="1:12" x14ac:dyDescent="0.3">
      <c r="A1884" s="1">
        <v>41915</v>
      </c>
      <c r="B1884" s="1">
        <v>41921</v>
      </c>
      <c r="C1884" t="s">
        <v>1728</v>
      </c>
      <c r="D1884" t="s">
        <v>13</v>
      </c>
      <c r="E1884" t="s">
        <v>1005</v>
      </c>
      <c r="F1884">
        <v>95.144000000000005</v>
      </c>
      <c r="G1884">
        <v>7</v>
      </c>
      <c r="H1884">
        <v>10.7037</v>
      </c>
      <c r="I1884">
        <v>6</v>
      </c>
      <c r="J1884">
        <v>2014</v>
      </c>
      <c r="K1884" t="s">
        <v>2209</v>
      </c>
      <c r="L1884" t="str">
        <f>TEXT(maintable_2[[#This Row],[Order Date]],"mmmm")</f>
        <v>October</v>
      </c>
    </row>
    <row r="1885" spans="1:12" x14ac:dyDescent="0.3">
      <c r="A1885" s="1">
        <v>41912</v>
      </c>
      <c r="B1885" s="1">
        <v>41915</v>
      </c>
      <c r="C1885" t="s">
        <v>382</v>
      </c>
      <c r="D1885" t="s">
        <v>78</v>
      </c>
      <c r="E1885" t="s">
        <v>911</v>
      </c>
      <c r="F1885">
        <v>35</v>
      </c>
      <c r="G1885">
        <v>7</v>
      </c>
      <c r="H1885">
        <v>16.8</v>
      </c>
      <c r="I1885">
        <v>3</v>
      </c>
      <c r="J1885">
        <v>2014</v>
      </c>
      <c r="K1885" t="s">
        <v>2209</v>
      </c>
      <c r="L1885" t="str">
        <f>TEXT(maintable_2[[#This Row],[Order Date]],"mmmm")</f>
        <v>September</v>
      </c>
    </row>
    <row r="1886" spans="1:12" x14ac:dyDescent="0.3">
      <c r="A1886" s="1">
        <v>41912</v>
      </c>
      <c r="B1886" s="1">
        <v>41915</v>
      </c>
      <c r="C1886" t="s">
        <v>382</v>
      </c>
      <c r="D1886" t="s">
        <v>71</v>
      </c>
      <c r="E1886" t="s">
        <v>565</v>
      </c>
      <c r="F1886">
        <v>72.784000000000006</v>
      </c>
      <c r="G1886">
        <v>1</v>
      </c>
      <c r="H1886">
        <v>0</v>
      </c>
      <c r="I1886">
        <v>3</v>
      </c>
      <c r="J1886">
        <v>2014</v>
      </c>
      <c r="K1886" t="s">
        <v>2209</v>
      </c>
      <c r="L1886" t="str">
        <f>TEXT(maintable_2[[#This Row],[Order Date]],"mmmm")</f>
        <v>September</v>
      </c>
    </row>
    <row r="1887" spans="1:12" x14ac:dyDescent="0.3">
      <c r="A1887" s="1">
        <v>41912</v>
      </c>
      <c r="B1887" s="1">
        <v>41915</v>
      </c>
      <c r="C1887" t="s">
        <v>382</v>
      </c>
      <c r="D1887" t="s">
        <v>19</v>
      </c>
      <c r="E1887" t="s">
        <v>221</v>
      </c>
      <c r="F1887">
        <v>97.84</v>
      </c>
      <c r="G1887">
        <v>2</v>
      </c>
      <c r="H1887">
        <v>25.438400000000001</v>
      </c>
      <c r="I1887">
        <v>3</v>
      </c>
      <c r="J1887">
        <v>2014</v>
      </c>
      <c r="K1887" t="s">
        <v>2209</v>
      </c>
      <c r="L1887" t="str">
        <f>TEXT(maintable_2[[#This Row],[Order Date]],"mmmm")</f>
        <v>September</v>
      </c>
    </row>
    <row r="1888" spans="1:12" x14ac:dyDescent="0.3">
      <c r="A1888" s="1">
        <v>41912</v>
      </c>
      <c r="B1888" s="1">
        <v>41915</v>
      </c>
      <c r="C1888" t="s">
        <v>382</v>
      </c>
      <c r="D1888" t="s">
        <v>11</v>
      </c>
      <c r="E1888" t="s">
        <v>446</v>
      </c>
      <c r="F1888">
        <v>51.75</v>
      </c>
      <c r="G1888">
        <v>1</v>
      </c>
      <c r="H1888">
        <v>15.525</v>
      </c>
      <c r="I1888">
        <v>3</v>
      </c>
      <c r="J1888">
        <v>2014</v>
      </c>
      <c r="K1888" t="s">
        <v>2209</v>
      </c>
      <c r="L1888" t="str">
        <f>TEXT(maintable_2[[#This Row],[Order Date]],"mmmm")</f>
        <v>September</v>
      </c>
    </row>
    <row r="1889" spans="1:12" x14ac:dyDescent="0.3">
      <c r="A1889" s="1">
        <v>41912</v>
      </c>
      <c r="B1889" s="1">
        <v>41915</v>
      </c>
      <c r="C1889" t="s">
        <v>382</v>
      </c>
      <c r="D1889" t="s">
        <v>17</v>
      </c>
      <c r="E1889" t="s">
        <v>403</v>
      </c>
      <c r="F1889">
        <v>46.671999999999997</v>
      </c>
      <c r="G1889">
        <v>2</v>
      </c>
      <c r="H1889">
        <v>16.3352</v>
      </c>
      <c r="I1889">
        <v>3</v>
      </c>
      <c r="J1889">
        <v>2014</v>
      </c>
      <c r="K1889" t="s">
        <v>2209</v>
      </c>
      <c r="L1889" t="str">
        <f>TEXT(maintable_2[[#This Row],[Order Date]],"mmmm")</f>
        <v>September</v>
      </c>
    </row>
    <row r="1890" spans="1:12" x14ac:dyDescent="0.3">
      <c r="A1890" s="1">
        <v>40990</v>
      </c>
      <c r="B1890" s="1">
        <v>40992</v>
      </c>
      <c r="C1890" t="s">
        <v>104</v>
      </c>
      <c r="D1890" t="s">
        <v>15</v>
      </c>
      <c r="E1890" t="s">
        <v>614</v>
      </c>
      <c r="F1890">
        <v>15.984</v>
      </c>
      <c r="G1890">
        <v>2</v>
      </c>
      <c r="H1890">
        <v>1.1988000000000001</v>
      </c>
      <c r="I1890">
        <v>2</v>
      </c>
      <c r="J1890">
        <v>2012</v>
      </c>
      <c r="K1890" t="s">
        <v>2208</v>
      </c>
      <c r="L1890" t="str">
        <f>TEXT(maintable_2[[#This Row],[Order Date]],"mmmm")</f>
        <v>March</v>
      </c>
    </row>
    <row r="1891" spans="1:12" x14ac:dyDescent="0.3">
      <c r="A1891" s="1">
        <v>40990</v>
      </c>
      <c r="B1891" s="1">
        <v>40994</v>
      </c>
      <c r="C1891" t="s">
        <v>1730</v>
      </c>
      <c r="D1891" t="s">
        <v>44</v>
      </c>
      <c r="E1891" t="s">
        <v>105</v>
      </c>
      <c r="F1891">
        <v>105.52</v>
      </c>
      <c r="G1891">
        <v>4</v>
      </c>
      <c r="H1891">
        <v>48.539200000000001</v>
      </c>
      <c r="I1891">
        <v>4</v>
      </c>
      <c r="J1891">
        <v>2012</v>
      </c>
      <c r="K1891" t="s">
        <v>2208</v>
      </c>
      <c r="L1891" t="str">
        <f>TEXT(maintable_2[[#This Row],[Order Date]],"mmmm")</f>
        <v>March</v>
      </c>
    </row>
    <row r="1892" spans="1:12" x14ac:dyDescent="0.3">
      <c r="A1892" s="1">
        <v>40990</v>
      </c>
      <c r="B1892" s="1">
        <v>40994</v>
      </c>
      <c r="C1892" t="s">
        <v>1730</v>
      </c>
      <c r="D1892" t="s">
        <v>11</v>
      </c>
      <c r="E1892" t="s">
        <v>1731</v>
      </c>
      <c r="F1892">
        <v>91.96</v>
      </c>
      <c r="G1892">
        <v>2</v>
      </c>
      <c r="H1892">
        <v>15.6332</v>
      </c>
      <c r="I1892">
        <v>4</v>
      </c>
      <c r="J1892">
        <v>2012</v>
      </c>
      <c r="K1892" t="s">
        <v>2208</v>
      </c>
      <c r="L1892" t="str">
        <f>TEXT(maintable_2[[#This Row],[Order Date]],"mmmm")</f>
        <v>March</v>
      </c>
    </row>
    <row r="1893" spans="1:12" x14ac:dyDescent="0.3">
      <c r="A1893" s="1">
        <v>40990</v>
      </c>
      <c r="B1893" s="1">
        <v>40994</v>
      </c>
      <c r="C1893" t="s">
        <v>1730</v>
      </c>
      <c r="D1893" t="s">
        <v>15</v>
      </c>
      <c r="E1893" t="s">
        <v>376</v>
      </c>
      <c r="F1893">
        <v>1487.9760000000001</v>
      </c>
      <c r="G1893">
        <v>3</v>
      </c>
      <c r="H1893">
        <v>185.99700000000001</v>
      </c>
      <c r="I1893">
        <v>4</v>
      </c>
      <c r="J1893">
        <v>2012</v>
      </c>
      <c r="K1893" t="s">
        <v>2208</v>
      </c>
      <c r="L1893" t="str">
        <f>TEXT(maintable_2[[#This Row],[Order Date]],"mmmm")</f>
        <v>March</v>
      </c>
    </row>
    <row r="1894" spans="1:12" x14ac:dyDescent="0.3">
      <c r="A1894" s="1">
        <v>41772</v>
      </c>
      <c r="B1894" s="1">
        <v>41778</v>
      </c>
      <c r="C1894" t="s">
        <v>1732</v>
      </c>
      <c r="D1894" t="s">
        <v>81</v>
      </c>
      <c r="E1894" t="s">
        <v>1733</v>
      </c>
      <c r="F1894">
        <v>238.62</v>
      </c>
      <c r="G1894">
        <v>2</v>
      </c>
      <c r="H1894">
        <v>4.7724000000000002</v>
      </c>
      <c r="I1894">
        <v>6</v>
      </c>
      <c r="J1894">
        <v>2014</v>
      </c>
      <c r="K1894" t="s">
        <v>2208</v>
      </c>
      <c r="L1894" t="str">
        <f>TEXT(maintable_2[[#This Row],[Order Date]],"mmmm")</f>
        <v>May</v>
      </c>
    </row>
    <row r="1895" spans="1:12" x14ac:dyDescent="0.3">
      <c r="A1895" s="1">
        <v>41772</v>
      </c>
      <c r="B1895" s="1">
        <v>41778</v>
      </c>
      <c r="C1895" t="s">
        <v>1732</v>
      </c>
      <c r="D1895" t="s">
        <v>19</v>
      </c>
      <c r="E1895" t="s">
        <v>1734</v>
      </c>
      <c r="F1895">
        <v>7.77</v>
      </c>
      <c r="G1895">
        <v>1</v>
      </c>
      <c r="H1895">
        <v>2.0979000000000001</v>
      </c>
      <c r="I1895">
        <v>6</v>
      </c>
      <c r="J1895">
        <v>2014</v>
      </c>
      <c r="K1895" t="s">
        <v>2208</v>
      </c>
      <c r="L1895" t="str">
        <f>TEXT(maintable_2[[#This Row],[Order Date]],"mmmm")</f>
        <v>May</v>
      </c>
    </row>
    <row r="1896" spans="1:12" x14ac:dyDescent="0.3">
      <c r="A1896" s="1">
        <v>41772</v>
      </c>
      <c r="B1896" s="1">
        <v>41778</v>
      </c>
      <c r="C1896" t="s">
        <v>1732</v>
      </c>
      <c r="D1896" t="s">
        <v>21</v>
      </c>
      <c r="E1896" t="s">
        <v>1142</v>
      </c>
      <c r="F1896">
        <v>285.48</v>
      </c>
      <c r="G1896">
        <v>5</v>
      </c>
      <c r="H1896">
        <v>-10.705500000000001</v>
      </c>
      <c r="I1896">
        <v>6</v>
      </c>
      <c r="J1896">
        <v>2014</v>
      </c>
      <c r="K1896" t="s">
        <v>2208</v>
      </c>
      <c r="L1896" t="str">
        <f>TEXT(maintable_2[[#This Row],[Order Date]],"mmmm")</f>
        <v>May</v>
      </c>
    </row>
    <row r="1897" spans="1:12" x14ac:dyDescent="0.3">
      <c r="A1897" s="1">
        <v>41772</v>
      </c>
      <c r="B1897" s="1">
        <v>41778</v>
      </c>
      <c r="C1897" t="s">
        <v>1732</v>
      </c>
      <c r="D1897" t="s">
        <v>17</v>
      </c>
      <c r="E1897" t="s">
        <v>734</v>
      </c>
      <c r="F1897">
        <v>19.167999999999999</v>
      </c>
      <c r="G1897">
        <v>4</v>
      </c>
      <c r="H1897">
        <v>6.4691999999999998</v>
      </c>
      <c r="I1897">
        <v>6</v>
      </c>
      <c r="J1897">
        <v>2014</v>
      </c>
      <c r="K1897" t="s">
        <v>2208</v>
      </c>
      <c r="L1897" t="str">
        <f>TEXT(maintable_2[[#This Row],[Order Date]],"mmmm")</f>
        <v>May</v>
      </c>
    </row>
    <row r="1898" spans="1:12" x14ac:dyDescent="0.3">
      <c r="A1898" s="1">
        <v>41108</v>
      </c>
      <c r="B1898" s="1">
        <v>41112</v>
      </c>
      <c r="C1898" t="s">
        <v>434</v>
      </c>
      <c r="D1898" t="s">
        <v>37</v>
      </c>
      <c r="E1898" t="s">
        <v>1703</v>
      </c>
      <c r="F1898">
        <v>519.96</v>
      </c>
      <c r="G1898">
        <v>4</v>
      </c>
      <c r="H1898">
        <v>176.78639999999999</v>
      </c>
      <c r="I1898">
        <v>4</v>
      </c>
      <c r="J1898">
        <v>2012</v>
      </c>
      <c r="K1898" t="s">
        <v>2206</v>
      </c>
      <c r="L1898" t="str">
        <f>TEXT(maintable_2[[#This Row],[Order Date]],"mmmm")</f>
        <v>July</v>
      </c>
    </row>
    <row r="1899" spans="1:12" x14ac:dyDescent="0.3">
      <c r="A1899" s="1">
        <v>41971</v>
      </c>
      <c r="B1899" s="1">
        <v>41977</v>
      </c>
      <c r="C1899" t="s">
        <v>1735</v>
      </c>
      <c r="D1899" t="s">
        <v>15</v>
      </c>
      <c r="E1899" t="s">
        <v>1736</v>
      </c>
      <c r="F1899">
        <v>57.567999999999998</v>
      </c>
      <c r="G1899">
        <v>4</v>
      </c>
      <c r="H1899">
        <v>5.7568000000000001</v>
      </c>
      <c r="I1899">
        <v>6</v>
      </c>
      <c r="J1899">
        <v>2014</v>
      </c>
      <c r="K1899" t="s">
        <v>2209</v>
      </c>
      <c r="L1899" t="str">
        <f>TEXT(maintable_2[[#This Row],[Order Date]],"mmmm")</f>
        <v>November</v>
      </c>
    </row>
    <row r="1900" spans="1:12" x14ac:dyDescent="0.3">
      <c r="A1900" s="1">
        <v>40995</v>
      </c>
      <c r="B1900" s="1">
        <v>41002</v>
      </c>
      <c r="C1900" t="s">
        <v>1423</v>
      </c>
      <c r="D1900" t="s">
        <v>27</v>
      </c>
      <c r="E1900" t="s">
        <v>1737</v>
      </c>
      <c r="F1900">
        <v>83.7</v>
      </c>
      <c r="G1900">
        <v>5</v>
      </c>
      <c r="H1900">
        <v>3.3479999999999999</v>
      </c>
      <c r="I1900">
        <v>7</v>
      </c>
      <c r="J1900">
        <v>2012</v>
      </c>
      <c r="K1900" t="s">
        <v>2208</v>
      </c>
      <c r="L1900" t="str">
        <f>TEXT(maintable_2[[#This Row],[Order Date]],"mmmm")</f>
        <v>March</v>
      </c>
    </row>
    <row r="1901" spans="1:12" x14ac:dyDescent="0.3">
      <c r="A1901" s="1">
        <v>41230</v>
      </c>
      <c r="B1901" s="1">
        <v>41234</v>
      </c>
      <c r="C1901" t="s">
        <v>1738</v>
      </c>
      <c r="D1901" t="s">
        <v>15</v>
      </c>
      <c r="E1901" t="s">
        <v>1739</v>
      </c>
      <c r="F1901">
        <v>415.96800000000002</v>
      </c>
      <c r="G1901">
        <v>4</v>
      </c>
      <c r="H1901">
        <v>51.996000000000002</v>
      </c>
      <c r="I1901">
        <v>4</v>
      </c>
      <c r="J1901">
        <v>2012</v>
      </c>
      <c r="K1901" t="s">
        <v>2209</v>
      </c>
      <c r="L1901" t="str">
        <f>TEXT(maintable_2[[#This Row],[Order Date]],"mmmm")</f>
        <v>November</v>
      </c>
    </row>
    <row r="1902" spans="1:12" x14ac:dyDescent="0.3">
      <c r="A1902" s="1">
        <v>41230</v>
      </c>
      <c r="B1902" s="1">
        <v>41234</v>
      </c>
      <c r="C1902" t="s">
        <v>1738</v>
      </c>
      <c r="D1902" t="s">
        <v>27</v>
      </c>
      <c r="E1902" t="s">
        <v>1740</v>
      </c>
      <c r="F1902">
        <v>304.89999999999998</v>
      </c>
      <c r="G1902">
        <v>5</v>
      </c>
      <c r="H1902">
        <v>6.0979999999999999</v>
      </c>
      <c r="I1902">
        <v>4</v>
      </c>
      <c r="J1902">
        <v>2012</v>
      </c>
      <c r="K1902" t="s">
        <v>2209</v>
      </c>
      <c r="L1902" t="str">
        <f>TEXT(maintable_2[[#This Row],[Order Date]],"mmmm")</f>
        <v>November</v>
      </c>
    </row>
    <row r="1903" spans="1:12" x14ac:dyDescent="0.3">
      <c r="A1903" s="1">
        <v>41230</v>
      </c>
      <c r="B1903" s="1">
        <v>41234</v>
      </c>
      <c r="C1903" t="s">
        <v>1738</v>
      </c>
      <c r="D1903" t="s">
        <v>11</v>
      </c>
      <c r="E1903" t="s">
        <v>1741</v>
      </c>
      <c r="F1903">
        <v>80.959999999999994</v>
      </c>
      <c r="G1903">
        <v>4</v>
      </c>
      <c r="H1903">
        <v>29.145600000000002</v>
      </c>
      <c r="I1903">
        <v>4</v>
      </c>
      <c r="J1903">
        <v>2012</v>
      </c>
      <c r="K1903" t="s">
        <v>2209</v>
      </c>
      <c r="L1903" t="str">
        <f>TEXT(maintable_2[[#This Row],[Order Date]],"mmmm")</f>
        <v>November</v>
      </c>
    </row>
    <row r="1904" spans="1:12" x14ac:dyDescent="0.3">
      <c r="A1904" s="1">
        <v>41230</v>
      </c>
      <c r="B1904" s="1">
        <v>41234</v>
      </c>
      <c r="C1904" t="s">
        <v>1738</v>
      </c>
      <c r="D1904" t="s">
        <v>27</v>
      </c>
      <c r="E1904" t="s">
        <v>1742</v>
      </c>
      <c r="F1904">
        <v>777.21</v>
      </c>
      <c r="G1904">
        <v>7</v>
      </c>
      <c r="H1904">
        <v>54.404699999999998</v>
      </c>
      <c r="I1904">
        <v>4</v>
      </c>
      <c r="J1904">
        <v>2012</v>
      </c>
      <c r="K1904" t="s">
        <v>2209</v>
      </c>
      <c r="L1904" t="str">
        <f>TEXT(maintable_2[[#This Row],[Order Date]],"mmmm")</f>
        <v>November</v>
      </c>
    </row>
    <row r="1905" spans="1:12" x14ac:dyDescent="0.3">
      <c r="A1905" s="1">
        <v>41230</v>
      </c>
      <c r="B1905" s="1">
        <v>41234</v>
      </c>
      <c r="C1905" t="s">
        <v>1738</v>
      </c>
      <c r="D1905" t="s">
        <v>44</v>
      </c>
      <c r="E1905" t="s">
        <v>1743</v>
      </c>
      <c r="F1905">
        <v>32.4</v>
      </c>
      <c r="G1905">
        <v>5</v>
      </c>
      <c r="H1905">
        <v>15.552</v>
      </c>
      <c r="I1905">
        <v>4</v>
      </c>
      <c r="J1905">
        <v>2012</v>
      </c>
      <c r="K1905" t="s">
        <v>2209</v>
      </c>
      <c r="L1905" t="str">
        <f>TEXT(maintable_2[[#This Row],[Order Date]],"mmmm")</f>
        <v>November</v>
      </c>
    </row>
    <row r="1906" spans="1:12" x14ac:dyDescent="0.3">
      <c r="A1906" s="1">
        <v>41230</v>
      </c>
      <c r="B1906" s="1">
        <v>41234</v>
      </c>
      <c r="C1906" t="s">
        <v>1738</v>
      </c>
      <c r="D1906" t="s">
        <v>71</v>
      </c>
      <c r="E1906" t="s">
        <v>1744</v>
      </c>
      <c r="F1906">
        <v>225.56800000000001</v>
      </c>
      <c r="G1906">
        <v>2</v>
      </c>
      <c r="H1906">
        <v>2.8195999999999999</v>
      </c>
      <c r="I1906">
        <v>4</v>
      </c>
      <c r="J1906">
        <v>2012</v>
      </c>
      <c r="K1906" t="s">
        <v>2209</v>
      </c>
      <c r="L1906" t="str">
        <f>TEXT(maintable_2[[#This Row],[Order Date]],"mmmm")</f>
        <v>November</v>
      </c>
    </row>
    <row r="1907" spans="1:12" x14ac:dyDescent="0.3">
      <c r="A1907" s="1">
        <v>41230</v>
      </c>
      <c r="B1907" s="1">
        <v>41234</v>
      </c>
      <c r="C1907" t="s">
        <v>1738</v>
      </c>
      <c r="D1907" t="s">
        <v>11</v>
      </c>
      <c r="E1907" t="s">
        <v>1305</v>
      </c>
      <c r="F1907">
        <v>36.6</v>
      </c>
      <c r="G1907">
        <v>3</v>
      </c>
      <c r="H1907">
        <v>15.372</v>
      </c>
      <c r="I1907">
        <v>4</v>
      </c>
      <c r="J1907">
        <v>2012</v>
      </c>
      <c r="K1907" t="s">
        <v>2209</v>
      </c>
      <c r="L1907" t="str">
        <f>TEXT(maintable_2[[#This Row],[Order Date]],"mmmm")</f>
        <v>November</v>
      </c>
    </row>
    <row r="1908" spans="1:12" x14ac:dyDescent="0.3">
      <c r="A1908" s="1">
        <v>41886</v>
      </c>
      <c r="B1908" s="1">
        <v>41890</v>
      </c>
      <c r="C1908" t="s">
        <v>1745</v>
      </c>
      <c r="D1908" t="s">
        <v>196</v>
      </c>
      <c r="E1908" t="s">
        <v>1659</v>
      </c>
      <c r="F1908">
        <v>239.666</v>
      </c>
      <c r="G1908">
        <v>2</v>
      </c>
      <c r="H1908">
        <v>14.098000000000001</v>
      </c>
      <c r="I1908">
        <v>4</v>
      </c>
      <c r="J1908">
        <v>2014</v>
      </c>
      <c r="K1908" t="s">
        <v>2209</v>
      </c>
      <c r="L1908" t="str">
        <f>TEXT(maintable_2[[#This Row],[Order Date]],"mmmm")</f>
        <v>September</v>
      </c>
    </row>
    <row r="1909" spans="1:12" x14ac:dyDescent="0.3">
      <c r="A1909" s="1">
        <v>41586</v>
      </c>
      <c r="B1909" s="1">
        <v>41591</v>
      </c>
      <c r="C1909" t="s">
        <v>1397</v>
      </c>
      <c r="D1909" t="s">
        <v>71</v>
      </c>
      <c r="E1909" t="s">
        <v>245</v>
      </c>
      <c r="F1909">
        <v>1603.136</v>
      </c>
      <c r="G1909">
        <v>4</v>
      </c>
      <c r="H1909">
        <v>100.196</v>
      </c>
      <c r="I1909">
        <v>5</v>
      </c>
      <c r="J1909">
        <v>2013</v>
      </c>
      <c r="K1909" t="s">
        <v>2209</v>
      </c>
      <c r="L1909" t="str">
        <f>TEXT(maintable_2[[#This Row],[Order Date]],"mmmm")</f>
        <v>November</v>
      </c>
    </row>
    <row r="1910" spans="1:12" x14ac:dyDescent="0.3">
      <c r="A1910" s="1">
        <v>41440</v>
      </c>
      <c r="B1910" s="1">
        <v>41440</v>
      </c>
      <c r="C1910" t="s">
        <v>815</v>
      </c>
      <c r="D1910" t="s">
        <v>21</v>
      </c>
      <c r="E1910" t="s">
        <v>1667</v>
      </c>
      <c r="F1910">
        <v>1293.4880000000001</v>
      </c>
      <c r="G1910">
        <v>7</v>
      </c>
      <c r="H1910">
        <v>80.843000000000004</v>
      </c>
      <c r="I1910">
        <v>0</v>
      </c>
      <c r="J1910">
        <v>2013</v>
      </c>
      <c r="K1910" t="s">
        <v>2206</v>
      </c>
      <c r="L1910" t="str">
        <f>TEXT(maintable_2[[#This Row],[Order Date]],"mmmm")</f>
        <v>June</v>
      </c>
    </row>
    <row r="1911" spans="1:12" x14ac:dyDescent="0.3">
      <c r="A1911" s="1">
        <v>41536</v>
      </c>
      <c r="B1911" s="1">
        <v>41540</v>
      </c>
      <c r="C1911" t="s">
        <v>624</v>
      </c>
      <c r="D1911" t="s">
        <v>71</v>
      </c>
      <c r="E1911" t="s">
        <v>245</v>
      </c>
      <c r="F1911">
        <v>801.56799999999998</v>
      </c>
      <c r="G1911">
        <v>2</v>
      </c>
      <c r="H1911">
        <v>50.097999999999999</v>
      </c>
      <c r="I1911">
        <v>4</v>
      </c>
      <c r="J1911">
        <v>2013</v>
      </c>
      <c r="K1911" t="s">
        <v>2209</v>
      </c>
      <c r="L1911" t="str">
        <f>TEXT(maintable_2[[#This Row],[Order Date]],"mmmm")</f>
        <v>September</v>
      </c>
    </row>
    <row r="1912" spans="1:12" x14ac:dyDescent="0.3">
      <c r="A1912" s="1">
        <v>41536</v>
      </c>
      <c r="B1912" s="1">
        <v>41540</v>
      </c>
      <c r="C1912" t="s">
        <v>624</v>
      </c>
      <c r="D1912" t="s">
        <v>44</v>
      </c>
      <c r="E1912" t="s">
        <v>1746</v>
      </c>
      <c r="F1912">
        <v>368.91</v>
      </c>
      <c r="G1912">
        <v>9</v>
      </c>
      <c r="H1912">
        <v>180.76589999999999</v>
      </c>
      <c r="I1912">
        <v>4</v>
      </c>
      <c r="J1912">
        <v>2013</v>
      </c>
      <c r="K1912" t="s">
        <v>2209</v>
      </c>
      <c r="L1912" t="str">
        <f>TEXT(maintable_2[[#This Row],[Order Date]],"mmmm")</f>
        <v>September</v>
      </c>
    </row>
    <row r="1913" spans="1:12" x14ac:dyDescent="0.3">
      <c r="A1913" s="1">
        <v>41536</v>
      </c>
      <c r="B1913" s="1">
        <v>41540</v>
      </c>
      <c r="C1913" t="s">
        <v>624</v>
      </c>
      <c r="D1913" t="s">
        <v>71</v>
      </c>
      <c r="E1913" t="s">
        <v>765</v>
      </c>
      <c r="F1913">
        <v>885.52800000000002</v>
      </c>
      <c r="G1913">
        <v>9</v>
      </c>
      <c r="H1913">
        <v>-99.621899999999997</v>
      </c>
      <c r="I1913">
        <v>4</v>
      </c>
      <c r="J1913">
        <v>2013</v>
      </c>
      <c r="K1913" t="s">
        <v>2209</v>
      </c>
      <c r="L1913" t="str">
        <f>TEXT(maintable_2[[#This Row],[Order Date]],"mmmm")</f>
        <v>September</v>
      </c>
    </row>
    <row r="1914" spans="1:12" x14ac:dyDescent="0.3">
      <c r="A1914" s="1">
        <v>41347</v>
      </c>
      <c r="B1914" s="1">
        <v>41349</v>
      </c>
      <c r="C1914" t="s">
        <v>1542</v>
      </c>
      <c r="D1914" t="s">
        <v>11</v>
      </c>
      <c r="E1914" t="s">
        <v>1747</v>
      </c>
      <c r="F1914">
        <v>28.28</v>
      </c>
      <c r="G1914">
        <v>2</v>
      </c>
      <c r="H1914">
        <v>7.3528000000000002</v>
      </c>
      <c r="I1914">
        <v>2</v>
      </c>
      <c r="J1914">
        <v>2013</v>
      </c>
      <c r="K1914" t="s">
        <v>2208</v>
      </c>
      <c r="L1914" t="str">
        <f>TEXT(maintable_2[[#This Row],[Order Date]],"mmmm")</f>
        <v>March</v>
      </c>
    </row>
    <row r="1915" spans="1:12" x14ac:dyDescent="0.3">
      <c r="A1915" s="1">
        <v>41347</v>
      </c>
      <c r="B1915" s="1">
        <v>41349</v>
      </c>
      <c r="C1915" t="s">
        <v>1542</v>
      </c>
      <c r="D1915" t="s">
        <v>81</v>
      </c>
      <c r="E1915" t="s">
        <v>993</v>
      </c>
      <c r="F1915">
        <v>4912.59</v>
      </c>
      <c r="G1915">
        <v>3</v>
      </c>
      <c r="H1915">
        <v>196.50360000000001</v>
      </c>
      <c r="I1915">
        <v>2</v>
      </c>
      <c r="J1915">
        <v>2013</v>
      </c>
      <c r="K1915" t="s">
        <v>2208</v>
      </c>
      <c r="L1915" t="str">
        <f>TEXT(maintable_2[[#This Row],[Order Date]],"mmmm")</f>
        <v>March</v>
      </c>
    </row>
    <row r="1916" spans="1:12" x14ac:dyDescent="0.3">
      <c r="A1916" s="1">
        <v>40832</v>
      </c>
      <c r="B1916" s="1">
        <v>40833</v>
      </c>
      <c r="C1916" t="s">
        <v>1748</v>
      </c>
      <c r="D1916" t="s">
        <v>17</v>
      </c>
      <c r="E1916" t="s">
        <v>1749</v>
      </c>
      <c r="F1916">
        <v>14.352</v>
      </c>
      <c r="G1916">
        <v>3</v>
      </c>
      <c r="H1916">
        <v>5.0232000000000001</v>
      </c>
      <c r="I1916">
        <v>1</v>
      </c>
      <c r="J1916">
        <v>2011</v>
      </c>
      <c r="K1916" t="s">
        <v>2209</v>
      </c>
      <c r="L1916" t="str">
        <f>TEXT(maintable_2[[#This Row],[Order Date]],"mmmm")</f>
        <v>October</v>
      </c>
    </row>
    <row r="1917" spans="1:12" x14ac:dyDescent="0.3">
      <c r="A1917" s="1">
        <v>40832</v>
      </c>
      <c r="B1917" s="1">
        <v>40833</v>
      </c>
      <c r="C1917" t="s">
        <v>1748</v>
      </c>
      <c r="D1917" t="s">
        <v>37</v>
      </c>
      <c r="E1917" t="s">
        <v>342</v>
      </c>
      <c r="F1917">
        <v>179.97</v>
      </c>
      <c r="G1917">
        <v>3</v>
      </c>
      <c r="H1917">
        <v>86.385599999999997</v>
      </c>
      <c r="I1917">
        <v>1</v>
      </c>
      <c r="J1917">
        <v>2011</v>
      </c>
      <c r="K1917" t="s">
        <v>2209</v>
      </c>
      <c r="L1917" t="str">
        <f>TEXT(maintable_2[[#This Row],[Order Date]],"mmmm")</f>
        <v>October</v>
      </c>
    </row>
    <row r="1918" spans="1:12" x14ac:dyDescent="0.3">
      <c r="A1918" s="1">
        <v>41892</v>
      </c>
      <c r="B1918" s="1">
        <v>41897</v>
      </c>
      <c r="C1918" t="s">
        <v>1750</v>
      </c>
      <c r="D1918" t="s">
        <v>27</v>
      </c>
      <c r="E1918" t="s">
        <v>915</v>
      </c>
      <c r="F1918">
        <v>99.87</v>
      </c>
      <c r="G1918">
        <v>3</v>
      </c>
      <c r="H1918">
        <v>23.968800000000002</v>
      </c>
      <c r="I1918">
        <v>5</v>
      </c>
      <c r="J1918">
        <v>2014</v>
      </c>
      <c r="K1918" t="s">
        <v>2209</v>
      </c>
      <c r="L1918" t="str">
        <f>TEXT(maintable_2[[#This Row],[Order Date]],"mmmm")</f>
        <v>September</v>
      </c>
    </row>
    <row r="1919" spans="1:12" x14ac:dyDescent="0.3">
      <c r="A1919" s="1">
        <v>40848</v>
      </c>
      <c r="B1919" s="1">
        <v>40855</v>
      </c>
      <c r="C1919" t="s">
        <v>1348</v>
      </c>
      <c r="D1919" t="s">
        <v>8</v>
      </c>
      <c r="E1919" t="s">
        <v>1716</v>
      </c>
      <c r="F1919">
        <v>44.4</v>
      </c>
      <c r="G1919">
        <v>3</v>
      </c>
      <c r="H1919">
        <v>22.2</v>
      </c>
      <c r="I1919">
        <v>7</v>
      </c>
      <c r="J1919">
        <v>2011</v>
      </c>
      <c r="K1919" t="s">
        <v>2209</v>
      </c>
      <c r="L1919" t="str">
        <f>TEXT(maintable_2[[#This Row],[Order Date]],"mmmm")</f>
        <v>November</v>
      </c>
    </row>
    <row r="1920" spans="1:12" x14ac:dyDescent="0.3">
      <c r="A1920" s="1">
        <v>40848</v>
      </c>
      <c r="B1920" s="1">
        <v>40855</v>
      </c>
      <c r="C1920" t="s">
        <v>1348</v>
      </c>
      <c r="D1920" t="s">
        <v>44</v>
      </c>
      <c r="E1920" t="s">
        <v>105</v>
      </c>
      <c r="F1920">
        <v>21.4</v>
      </c>
      <c r="G1920">
        <v>5</v>
      </c>
      <c r="H1920">
        <v>9.6300000000000008</v>
      </c>
      <c r="I1920">
        <v>7</v>
      </c>
      <c r="J1920">
        <v>2011</v>
      </c>
      <c r="K1920" t="s">
        <v>2209</v>
      </c>
      <c r="L1920" t="str">
        <f>TEXT(maintable_2[[#This Row],[Order Date]],"mmmm")</f>
        <v>November</v>
      </c>
    </row>
    <row r="1921" spans="1:12" x14ac:dyDescent="0.3">
      <c r="A1921" s="1">
        <v>41652</v>
      </c>
      <c r="B1921" s="1">
        <v>41656</v>
      </c>
      <c r="C1921" t="s">
        <v>515</v>
      </c>
      <c r="D1921" t="s">
        <v>86</v>
      </c>
      <c r="E1921" t="s">
        <v>105</v>
      </c>
      <c r="F1921">
        <v>9.7799999999999994</v>
      </c>
      <c r="G1921">
        <v>1</v>
      </c>
      <c r="H1921">
        <v>4.8899999999999997</v>
      </c>
      <c r="I1921">
        <v>4</v>
      </c>
      <c r="J1921">
        <v>2014</v>
      </c>
      <c r="K1921" t="s">
        <v>2210</v>
      </c>
      <c r="L1921" t="str">
        <f>TEXT(maintable_2[[#This Row],[Order Date]],"mmmm")</f>
        <v>January</v>
      </c>
    </row>
    <row r="1922" spans="1:12" x14ac:dyDescent="0.3">
      <c r="A1922" s="1">
        <v>41233</v>
      </c>
      <c r="B1922" s="1">
        <v>41237</v>
      </c>
      <c r="C1922" t="s">
        <v>866</v>
      </c>
      <c r="D1922" t="s">
        <v>17</v>
      </c>
      <c r="E1922" t="s">
        <v>1751</v>
      </c>
      <c r="F1922">
        <v>24.192</v>
      </c>
      <c r="G1922">
        <v>9</v>
      </c>
      <c r="H1922">
        <v>7.56</v>
      </c>
      <c r="I1922">
        <v>4</v>
      </c>
      <c r="J1922">
        <v>2012</v>
      </c>
      <c r="K1922" t="s">
        <v>2209</v>
      </c>
      <c r="L1922" t="str">
        <f>TEXT(maintable_2[[#This Row],[Order Date]],"mmmm")</f>
        <v>November</v>
      </c>
    </row>
    <row r="1923" spans="1:12" x14ac:dyDescent="0.3">
      <c r="A1923" s="1">
        <v>41950</v>
      </c>
      <c r="B1923" s="1">
        <v>41950</v>
      </c>
      <c r="C1923" t="s">
        <v>112</v>
      </c>
      <c r="D1923" t="s">
        <v>44</v>
      </c>
      <c r="E1923" t="s">
        <v>200</v>
      </c>
      <c r="F1923">
        <v>59.94</v>
      </c>
      <c r="G1923">
        <v>3</v>
      </c>
      <c r="H1923">
        <v>28.171800000000001</v>
      </c>
      <c r="I1923">
        <v>0</v>
      </c>
      <c r="J1923">
        <v>2014</v>
      </c>
      <c r="K1923" t="s">
        <v>2209</v>
      </c>
      <c r="L1923" t="str">
        <f>TEXT(maintable_2[[#This Row],[Order Date]],"mmmm")</f>
        <v>November</v>
      </c>
    </row>
    <row r="1924" spans="1:12" x14ac:dyDescent="0.3">
      <c r="A1924" s="1">
        <v>41950</v>
      </c>
      <c r="B1924" s="1">
        <v>41950</v>
      </c>
      <c r="C1924" t="s">
        <v>112</v>
      </c>
      <c r="D1924" t="s">
        <v>44</v>
      </c>
      <c r="E1924" t="s">
        <v>105</v>
      </c>
      <c r="F1924">
        <v>45.36</v>
      </c>
      <c r="G1924">
        <v>4</v>
      </c>
      <c r="H1924">
        <v>22.226400000000002</v>
      </c>
      <c r="I1924">
        <v>0</v>
      </c>
      <c r="J1924">
        <v>2014</v>
      </c>
      <c r="K1924" t="s">
        <v>2209</v>
      </c>
      <c r="L1924" t="str">
        <f>TEXT(maintable_2[[#This Row],[Order Date]],"mmmm")</f>
        <v>November</v>
      </c>
    </row>
    <row r="1925" spans="1:12" x14ac:dyDescent="0.3">
      <c r="A1925" s="1">
        <v>41950</v>
      </c>
      <c r="B1925" s="1">
        <v>41950</v>
      </c>
      <c r="C1925" t="s">
        <v>112</v>
      </c>
      <c r="D1925" t="s">
        <v>44</v>
      </c>
      <c r="E1925" t="s">
        <v>1573</v>
      </c>
      <c r="F1925">
        <v>26.4</v>
      </c>
      <c r="G1925">
        <v>5</v>
      </c>
      <c r="H1925">
        <v>12.672000000000001</v>
      </c>
      <c r="I1925">
        <v>0</v>
      </c>
      <c r="J1925">
        <v>2014</v>
      </c>
      <c r="K1925" t="s">
        <v>2209</v>
      </c>
      <c r="L1925" t="str">
        <f>TEXT(maintable_2[[#This Row],[Order Date]],"mmmm")</f>
        <v>November</v>
      </c>
    </row>
    <row r="1926" spans="1:12" x14ac:dyDescent="0.3">
      <c r="A1926" s="1">
        <v>41950</v>
      </c>
      <c r="B1926" s="1">
        <v>41950</v>
      </c>
      <c r="C1926" t="s">
        <v>112</v>
      </c>
      <c r="D1926" t="s">
        <v>8</v>
      </c>
      <c r="E1926" t="s">
        <v>1752</v>
      </c>
      <c r="F1926">
        <v>41.4</v>
      </c>
      <c r="G1926">
        <v>4</v>
      </c>
      <c r="H1926">
        <v>19.872</v>
      </c>
      <c r="I1926">
        <v>0</v>
      </c>
      <c r="J1926">
        <v>2014</v>
      </c>
      <c r="K1926" t="s">
        <v>2209</v>
      </c>
      <c r="L1926" t="str">
        <f>TEXT(maintable_2[[#This Row],[Order Date]],"mmmm")</f>
        <v>November</v>
      </c>
    </row>
    <row r="1927" spans="1:12" x14ac:dyDescent="0.3">
      <c r="A1927" s="1">
        <v>41950</v>
      </c>
      <c r="B1927" s="1">
        <v>41950</v>
      </c>
      <c r="C1927" t="s">
        <v>112</v>
      </c>
      <c r="D1927" t="s">
        <v>37</v>
      </c>
      <c r="E1927" t="s">
        <v>383</v>
      </c>
      <c r="F1927">
        <v>16.95</v>
      </c>
      <c r="G1927">
        <v>1</v>
      </c>
      <c r="H1927">
        <v>1.0169999999999999</v>
      </c>
      <c r="I1927">
        <v>0</v>
      </c>
      <c r="J1927">
        <v>2014</v>
      </c>
      <c r="K1927" t="s">
        <v>2209</v>
      </c>
      <c r="L1927" t="str">
        <f>TEXT(maintable_2[[#This Row],[Order Date]],"mmmm")</f>
        <v>November</v>
      </c>
    </row>
    <row r="1928" spans="1:12" x14ac:dyDescent="0.3">
      <c r="A1928" s="1">
        <v>41611</v>
      </c>
      <c r="B1928" s="1">
        <v>41616</v>
      </c>
      <c r="C1928" t="s">
        <v>1750</v>
      </c>
      <c r="D1928" t="s">
        <v>17</v>
      </c>
      <c r="E1928" t="s">
        <v>1753</v>
      </c>
      <c r="F1928">
        <v>24.704000000000001</v>
      </c>
      <c r="G1928">
        <v>2</v>
      </c>
      <c r="H1928">
        <v>9.2639999999999993</v>
      </c>
      <c r="I1928">
        <v>5</v>
      </c>
      <c r="J1928">
        <v>2013</v>
      </c>
      <c r="K1928" t="s">
        <v>2207</v>
      </c>
      <c r="L1928" t="str">
        <f>TEXT(maintable_2[[#This Row],[Order Date]],"mmmm")</f>
        <v>December</v>
      </c>
    </row>
    <row r="1929" spans="1:12" x14ac:dyDescent="0.3">
      <c r="A1929" s="1">
        <v>41611</v>
      </c>
      <c r="B1929" s="1">
        <v>41616</v>
      </c>
      <c r="C1929" t="s">
        <v>1750</v>
      </c>
      <c r="D1929" t="s">
        <v>19</v>
      </c>
      <c r="E1929" t="s">
        <v>1754</v>
      </c>
      <c r="F1929">
        <v>59.7</v>
      </c>
      <c r="G1929">
        <v>3</v>
      </c>
      <c r="H1929">
        <v>26.864999999999998</v>
      </c>
      <c r="I1929">
        <v>5</v>
      </c>
      <c r="J1929">
        <v>2013</v>
      </c>
      <c r="K1929" t="s">
        <v>2207</v>
      </c>
      <c r="L1929" t="str">
        <f>TEXT(maintable_2[[#This Row],[Order Date]],"mmmm")</f>
        <v>December</v>
      </c>
    </row>
    <row r="1930" spans="1:12" x14ac:dyDescent="0.3">
      <c r="A1930" s="1">
        <v>41611</v>
      </c>
      <c r="B1930" s="1">
        <v>41616</v>
      </c>
      <c r="C1930" t="s">
        <v>1750</v>
      </c>
      <c r="D1930" t="s">
        <v>11</v>
      </c>
      <c r="E1930" t="s">
        <v>1294</v>
      </c>
      <c r="F1930">
        <v>14.52</v>
      </c>
      <c r="G1930">
        <v>3</v>
      </c>
      <c r="H1930">
        <v>5.6627999999999998</v>
      </c>
      <c r="I1930">
        <v>5</v>
      </c>
      <c r="J1930">
        <v>2013</v>
      </c>
      <c r="K1930" t="s">
        <v>2207</v>
      </c>
      <c r="L1930" t="str">
        <f>TEXT(maintable_2[[#This Row],[Order Date]],"mmmm")</f>
        <v>December</v>
      </c>
    </row>
    <row r="1931" spans="1:12" x14ac:dyDescent="0.3">
      <c r="A1931" s="1">
        <v>41611</v>
      </c>
      <c r="B1931" s="1">
        <v>41616</v>
      </c>
      <c r="C1931" t="s">
        <v>1750</v>
      </c>
      <c r="D1931" t="s">
        <v>17</v>
      </c>
      <c r="E1931" t="s">
        <v>937</v>
      </c>
      <c r="F1931">
        <v>104.184</v>
      </c>
      <c r="G1931">
        <v>3</v>
      </c>
      <c r="H1931">
        <v>33.8598</v>
      </c>
      <c r="I1931">
        <v>5</v>
      </c>
      <c r="J1931">
        <v>2013</v>
      </c>
      <c r="K1931" t="s">
        <v>2207</v>
      </c>
      <c r="L1931" t="str">
        <f>TEXT(maintable_2[[#This Row],[Order Date]],"mmmm")</f>
        <v>December</v>
      </c>
    </row>
    <row r="1932" spans="1:12" x14ac:dyDescent="0.3">
      <c r="A1932" s="1">
        <v>41626</v>
      </c>
      <c r="B1932" s="1">
        <v>41631</v>
      </c>
      <c r="C1932" t="s">
        <v>1755</v>
      </c>
      <c r="D1932" t="s">
        <v>27</v>
      </c>
      <c r="E1932" t="s">
        <v>122</v>
      </c>
      <c r="F1932">
        <v>46.53</v>
      </c>
      <c r="G1932">
        <v>3</v>
      </c>
      <c r="H1932">
        <v>13.0284</v>
      </c>
      <c r="I1932">
        <v>5</v>
      </c>
      <c r="J1932">
        <v>2013</v>
      </c>
      <c r="K1932" t="s">
        <v>2207</v>
      </c>
      <c r="L1932" t="str">
        <f>TEXT(maintable_2[[#This Row],[Order Date]],"mmmm")</f>
        <v>December</v>
      </c>
    </row>
    <row r="1933" spans="1:12" x14ac:dyDescent="0.3">
      <c r="A1933" s="1">
        <v>41794</v>
      </c>
      <c r="B1933" s="1">
        <v>41799</v>
      </c>
      <c r="C1933" t="s">
        <v>1756</v>
      </c>
      <c r="D1933" t="s">
        <v>37</v>
      </c>
      <c r="E1933" t="s">
        <v>1260</v>
      </c>
      <c r="F1933">
        <v>1099.5</v>
      </c>
      <c r="G1933">
        <v>10</v>
      </c>
      <c r="H1933">
        <v>362.83499999999998</v>
      </c>
      <c r="I1933">
        <v>5</v>
      </c>
      <c r="J1933">
        <v>2014</v>
      </c>
      <c r="K1933" t="s">
        <v>2206</v>
      </c>
      <c r="L1933" t="str">
        <f>TEXT(maintable_2[[#This Row],[Order Date]],"mmmm")</f>
        <v>June</v>
      </c>
    </row>
    <row r="1934" spans="1:12" x14ac:dyDescent="0.3">
      <c r="A1934" s="1">
        <v>41460</v>
      </c>
      <c r="B1934" s="1">
        <v>41460</v>
      </c>
      <c r="C1934" t="s">
        <v>317</v>
      </c>
      <c r="D1934" t="s">
        <v>11</v>
      </c>
      <c r="E1934" t="s">
        <v>1436</v>
      </c>
      <c r="F1934">
        <v>25.4</v>
      </c>
      <c r="G1934">
        <v>5</v>
      </c>
      <c r="H1934">
        <v>8.6359999999999992</v>
      </c>
      <c r="I1934">
        <v>0</v>
      </c>
      <c r="J1934">
        <v>2013</v>
      </c>
      <c r="K1934" t="s">
        <v>2206</v>
      </c>
      <c r="L1934" t="str">
        <f>TEXT(maintable_2[[#This Row],[Order Date]],"mmmm")</f>
        <v>July</v>
      </c>
    </row>
    <row r="1935" spans="1:12" x14ac:dyDescent="0.3">
      <c r="A1935" s="1">
        <v>41460</v>
      </c>
      <c r="B1935" s="1">
        <v>41460</v>
      </c>
      <c r="C1935" t="s">
        <v>317</v>
      </c>
      <c r="D1935" t="s">
        <v>15</v>
      </c>
      <c r="E1935" t="s">
        <v>778</v>
      </c>
      <c r="F1935">
        <v>177.48</v>
      </c>
      <c r="G1935">
        <v>3</v>
      </c>
      <c r="H1935">
        <v>19.9665</v>
      </c>
      <c r="I1935">
        <v>0</v>
      </c>
      <c r="J1935">
        <v>2013</v>
      </c>
      <c r="K1935" t="s">
        <v>2206</v>
      </c>
      <c r="L1935" t="str">
        <f>TEXT(maintable_2[[#This Row],[Order Date]],"mmmm")</f>
        <v>July</v>
      </c>
    </row>
    <row r="1936" spans="1:12" x14ac:dyDescent="0.3">
      <c r="A1936" s="1">
        <v>41460</v>
      </c>
      <c r="B1936" s="1">
        <v>41460</v>
      </c>
      <c r="C1936" t="s">
        <v>317</v>
      </c>
      <c r="D1936" t="s">
        <v>15</v>
      </c>
      <c r="E1936" t="s">
        <v>1757</v>
      </c>
      <c r="F1936">
        <v>71.975999999999999</v>
      </c>
      <c r="G1936">
        <v>3</v>
      </c>
      <c r="H1936">
        <v>8.9969999999999999</v>
      </c>
      <c r="I1936">
        <v>0</v>
      </c>
      <c r="J1936">
        <v>2013</v>
      </c>
      <c r="K1936" t="s">
        <v>2206</v>
      </c>
      <c r="L1936" t="str">
        <f>TEXT(maintable_2[[#This Row],[Order Date]],"mmmm")</f>
        <v>July</v>
      </c>
    </row>
    <row r="1937" spans="1:12" x14ac:dyDescent="0.3">
      <c r="A1937" s="1">
        <v>41925</v>
      </c>
      <c r="B1937" s="1">
        <v>41927</v>
      </c>
      <c r="C1937" t="s">
        <v>1758</v>
      </c>
      <c r="D1937" t="s">
        <v>37</v>
      </c>
      <c r="E1937" t="s">
        <v>743</v>
      </c>
      <c r="F1937">
        <v>435.84</v>
      </c>
      <c r="G1937">
        <v>12</v>
      </c>
      <c r="H1937">
        <v>130.75200000000001</v>
      </c>
      <c r="I1937">
        <v>2</v>
      </c>
      <c r="J1937">
        <v>2014</v>
      </c>
      <c r="K1937" t="s">
        <v>2209</v>
      </c>
      <c r="L1937" t="str">
        <f>TEXT(maintable_2[[#This Row],[Order Date]],"mmmm")</f>
        <v>October</v>
      </c>
    </row>
    <row r="1938" spans="1:12" x14ac:dyDescent="0.3">
      <c r="A1938" s="1">
        <v>41925</v>
      </c>
      <c r="B1938" s="1">
        <v>41927</v>
      </c>
      <c r="C1938" t="s">
        <v>1758</v>
      </c>
      <c r="D1938" t="s">
        <v>13</v>
      </c>
      <c r="E1938" t="s">
        <v>85</v>
      </c>
      <c r="F1938">
        <v>5.88</v>
      </c>
      <c r="G1938">
        <v>2</v>
      </c>
      <c r="H1938">
        <v>1.5875999999999999</v>
      </c>
      <c r="I1938">
        <v>2</v>
      </c>
      <c r="J1938">
        <v>2014</v>
      </c>
      <c r="K1938" t="s">
        <v>2209</v>
      </c>
      <c r="L1938" t="str">
        <f>TEXT(maintable_2[[#This Row],[Order Date]],"mmmm")</f>
        <v>October</v>
      </c>
    </row>
    <row r="1939" spans="1:12" x14ac:dyDescent="0.3">
      <c r="A1939" s="1">
        <v>41493</v>
      </c>
      <c r="B1939" s="1">
        <v>41500</v>
      </c>
      <c r="C1939" t="s">
        <v>443</v>
      </c>
      <c r="D1939" t="s">
        <v>15</v>
      </c>
      <c r="E1939" t="s">
        <v>1601</v>
      </c>
      <c r="F1939">
        <v>211.16800000000001</v>
      </c>
      <c r="G1939">
        <v>4</v>
      </c>
      <c r="H1939">
        <v>18.4772</v>
      </c>
      <c r="I1939">
        <v>7</v>
      </c>
      <c r="J1939">
        <v>2013</v>
      </c>
      <c r="K1939" t="s">
        <v>2206</v>
      </c>
      <c r="L1939" t="str">
        <f>TEXT(maintable_2[[#This Row],[Order Date]],"mmmm")</f>
        <v>August</v>
      </c>
    </row>
    <row r="1940" spans="1:12" x14ac:dyDescent="0.3">
      <c r="A1940" s="1">
        <v>40780</v>
      </c>
      <c r="B1940" s="1">
        <v>40784</v>
      </c>
      <c r="C1940" t="s">
        <v>1759</v>
      </c>
      <c r="D1940" t="s">
        <v>11</v>
      </c>
      <c r="E1940" t="s">
        <v>1760</v>
      </c>
      <c r="F1940">
        <v>6.28</v>
      </c>
      <c r="G1940">
        <v>1</v>
      </c>
      <c r="H1940">
        <v>2.6375999999999999</v>
      </c>
      <c r="I1940">
        <v>4</v>
      </c>
      <c r="J1940">
        <v>2011</v>
      </c>
      <c r="K1940" t="s">
        <v>2206</v>
      </c>
      <c r="L1940" t="str">
        <f>TEXT(maintable_2[[#This Row],[Order Date]],"mmmm")</f>
        <v>August</v>
      </c>
    </row>
    <row r="1941" spans="1:12" x14ac:dyDescent="0.3">
      <c r="A1941" s="1">
        <v>40780</v>
      </c>
      <c r="B1941" s="1">
        <v>40784</v>
      </c>
      <c r="C1941" t="s">
        <v>1759</v>
      </c>
      <c r="D1941" t="s">
        <v>37</v>
      </c>
      <c r="E1941" t="s">
        <v>1761</v>
      </c>
      <c r="F1941">
        <v>95.1</v>
      </c>
      <c r="G1941">
        <v>5</v>
      </c>
      <c r="H1941">
        <v>30.431999999999999</v>
      </c>
      <c r="I1941">
        <v>4</v>
      </c>
      <c r="J1941">
        <v>2011</v>
      </c>
      <c r="K1941" t="s">
        <v>2206</v>
      </c>
      <c r="L1941" t="str">
        <f>TEXT(maintable_2[[#This Row],[Order Date]],"mmmm")</f>
        <v>August</v>
      </c>
    </row>
    <row r="1942" spans="1:12" x14ac:dyDescent="0.3">
      <c r="A1942" s="1">
        <v>40780</v>
      </c>
      <c r="B1942" s="1">
        <v>40784</v>
      </c>
      <c r="C1942" t="s">
        <v>1759</v>
      </c>
      <c r="D1942" t="s">
        <v>44</v>
      </c>
      <c r="E1942" t="s">
        <v>1762</v>
      </c>
      <c r="F1942">
        <v>25.92</v>
      </c>
      <c r="G1942">
        <v>4</v>
      </c>
      <c r="H1942">
        <v>12.441599999999999</v>
      </c>
      <c r="I1942">
        <v>4</v>
      </c>
      <c r="J1942">
        <v>2011</v>
      </c>
      <c r="K1942" t="s">
        <v>2206</v>
      </c>
      <c r="L1942" t="str">
        <f>TEXT(maintable_2[[#This Row],[Order Date]],"mmmm")</f>
        <v>August</v>
      </c>
    </row>
    <row r="1943" spans="1:12" x14ac:dyDescent="0.3">
      <c r="A1943" s="1">
        <v>40780</v>
      </c>
      <c r="B1943" s="1">
        <v>40784</v>
      </c>
      <c r="C1943" t="s">
        <v>1759</v>
      </c>
      <c r="D1943" t="s">
        <v>27</v>
      </c>
      <c r="E1943" t="s">
        <v>1763</v>
      </c>
      <c r="F1943">
        <v>48.84</v>
      </c>
      <c r="G1943">
        <v>4</v>
      </c>
      <c r="H1943">
        <v>13.1868</v>
      </c>
      <c r="I1943">
        <v>4</v>
      </c>
      <c r="J1943">
        <v>2011</v>
      </c>
      <c r="K1943" t="s">
        <v>2206</v>
      </c>
      <c r="L1943" t="str">
        <f>TEXT(maintable_2[[#This Row],[Order Date]],"mmmm")</f>
        <v>August</v>
      </c>
    </row>
    <row r="1944" spans="1:12" x14ac:dyDescent="0.3">
      <c r="A1944" s="1">
        <v>41346</v>
      </c>
      <c r="B1944" s="1">
        <v>41349</v>
      </c>
      <c r="C1944" t="s">
        <v>268</v>
      </c>
      <c r="D1944" t="s">
        <v>27</v>
      </c>
      <c r="E1944" t="s">
        <v>1503</v>
      </c>
      <c r="F1944">
        <v>676.55</v>
      </c>
      <c r="G1944">
        <v>5</v>
      </c>
      <c r="H1944">
        <v>6.7655000000000003</v>
      </c>
      <c r="I1944">
        <v>3</v>
      </c>
      <c r="J1944">
        <v>2013</v>
      </c>
      <c r="K1944" t="s">
        <v>2208</v>
      </c>
      <c r="L1944" t="str">
        <f>TEXT(maintable_2[[#This Row],[Order Date]],"mmmm")</f>
        <v>March</v>
      </c>
    </row>
    <row r="1945" spans="1:12" x14ac:dyDescent="0.3">
      <c r="A1945" s="1">
        <v>41346</v>
      </c>
      <c r="B1945" s="1">
        <v>41349</v>
      </c>
      <c r="C1945" t="s">
        <v>268</v>
      </c>
      <c r="D1945" t="s">
        <v>19</v>
      </c>
      <c r="E1945" t="s">
        <v>1764</v>
      </c>
      <c r="F1945">
        <v>154.9</v>
      </c>
      <c r="G1945">
        <v>5</v>
      </c>
      <c r="H1945">
        <v>40.274000000000001</v>
      </c>
      <c r="I1945">
        <v>3</v>
      </c>
      <c r="J1945">
        <v>2013</v>
      </c>
      <c r="K1945" t="s">
        <v>2208</v>
      </c>
      <c r="L1945" t="str">
        <f>TEXT(maintable_2[[#This Row],[Order Date]],"mmmm")</f>
        <v>March</v>
      </c>
    </row>
    <row r="1946" spans="1:12" x14ac:dyDescent="0.3">
      <c r="A1946" s="1">
        <v>41346</v>
      </c>
      <c r="B1946" s="1">
        <v>41349</v>
      </c>
      <c r="C1946" t="s">
        <v>268</v>
      </c>
      <c r="D1946" t="s">
        <v>86</v>
      </c>
      <c r="E1946" t="s">
        <v>1765</v>
      </c>
      <c r="F1946">
        <v>30.56</v>
      </c>
      <c r="G1946">
        <v>4</v>
      </c>
      <c r="H1946">
        <v>14.974399999999999</v>
      </c>
      <c r="I1946">
        <v>3</v>
      </c>
      <c r="J1946">
        <v>2013</v>
      </c>
      <c r="K1946" t="s">
        <v>2208</v>
      </c>
      <c r="L1946" t="str">
        <f>TEXT(maintable_2[[#This Row],[Order Date]],"mmmm")</f>
        <v>March</v>
      </c>
    </row>
    <row r="1947" spans="1:12" x14ac:dyDescent="0.3">
      <c r="A1947" s="1">
        <v>41346</v>
      </c>
      <c r="B1947" s="1">
        <v>41349</v>
      </c>
      <c r="C1947" t="s">
        <v>268</v>
      </c>
      <c r="D1947" t="s">
        <v>71</v>
      </c>
      <c r="E1947" t="s">
        <v>1766</v>
      </c>
      <c r="F1947">
        <v>770.35199999999998</v>
      </c>
      <c r="G1947">
        <v>3</v>
      </c>
      <c r="H1947">
        <v>77.035200000000003</v>
      </c>
      <c r="I1947">
        <v>3</v>
      </c>
      <c r="J1947">
        <v>2013</v>
      </c>
      <c r="K1947" t="s">
        <v>2208</v>
      </c>
      <c r="L1947" t="str">
        <f>TEXT(maintable_2[[#This Row],[Order Date]],"mmmm")</f>
        <v>March</v>
      </c>
    </row>
    <row r="1948" spans="1:12" x14ac:dyDescent="0.3">
      <c r="A1948" s="1">
        <v>41680</v>
      </c>
      <c r="B1948" s="1">
        <v>41685</v>
      </c>
      <c r="C1948" t="s">
        <v>675</v>
      </c>
      <c r="D1948" t="s">
        <v>11</v>
      </c>
      <c r="E1948" t="s">
        <v>1464</v>
      </c>
      <c r="F1948">
        <v>21.12</v>
      </c>
      <c r="G1948">
        <v>4</v>
      </c>
      <c r="H1948">
        <v>6.5472000000000001</v>
      </c>
      <c r="I1948">
        <v>5</v>
      </c>
      <c r="J1948">
        <v>2014</v>
      </c>
      <c r="K1948" t="s">
        <v>2210</v>
      </c>
      <c r="L1948" t="str">
        <f>TEXT(maintable_2[[#This Row],[Order Date]],"mmmm")</f>
        <v>February</v>
      </c>
    </row>
    <row r="1949" spans="1:12" x14ac:dyDescent="0.3">
      <c r="A1949" s="1">
        <v>40858</v>
      </c>
      <c r="B1949" s="1">
        <v>40860</v>
      </c>
      <c r="C1949" t="s">
        <v>1767</v>
      </c>
      <c r="D1949" t="s">
        <v>15</v>
      </c>
      <c r="E1949" t="s">
        <v>1364</v>
      </c>
      <c r="F1949">
        <v>575.928</v>
      </c>
      <c r="G1949">
        <v>9</v>
      </c>
      <c r="H1949">
        <v>57.592799999999997</v>
      </c>
      <c r="I1949">
        <v>2</v>
      </c>
      <c r="J1949">
        <v>2011</v>
      </c>
      <c r="K1949" t="s">
        <v>2209</v>
      </c>
      <c r="L1949" t="str">
        <f>TEXT(maintable_2[[#This Row],[Order Date]],"mmmm")</f>
        <v>November</v>
      </c>
    </row>
    <row r="1950" spans="1:12" x14ac:dyDescent="0.3">
      <c r="A1950" s="1">
        <v>40858</v>
      </c>
      <c r="B1950" s="1">
        <v>40860</v>
      </c>
      <c r="C1950" t="s">
        <v>1767</v>
      </c>
      <c r="D1950" t="s">
        <v>19</v>
      </c>
      <c r="E1950" t="s">
        <v>1627</v>
      </c>
      <c r="F1950">
        <v>7.78</v>
      </c>
      <c r="G1950">
        <v>2</v>
      </c>
      <c r="H1950">
        <v>2.0228000000000002</v>
      </c>
      <c r="I1950">
        <v>2</v>
      </c>
      <c r="J1950">
        <v>2011</v>
      </c>
      <c r="K1950" t="s">
        <v>2209</v>
      </c>
      <c r="L1950" t="str">
        <f>TEXT(maintable_2[[#This Row],[Order Date]],"mmmm")</f>
        <v>November</v>
      </c>
    </row>
    <row r="1951" spans="1:12" x14ac:dyDescent="0.3">
      <c r="A1951" s="1">
        <v>40858</v>
      </c>
      <c r="B1951" s="1">
        <v>40860</v>
      </c>
      <c r="C1951" t="s">
        <v>1767</v>
      </c>
      <c r="D1951" t="s">
        <v>44</v>
      </c>
      <c r="E1951" t="s">
        <v>436</v>
      </c>
      <c r="F1951">
        <v>123.92</v>
      </c>
      <c r="G1951">
        <v>4</v>
      </c>
      <c r="H1951">
        <v>55.764000000000003</v>
      </c>
      <c r="I1951">
        <v>2</v>
      </c>
      <c r="J1951">
        <v>2011</v>
      </c>
      <c r="K1951" t="s">
        <v>2209</v>
      </c>
      <c r="L1951" t="str">
        <f>TEXT(maintable_2[[#This Row],[Order Date]],"mmmm")</f>
        <v>November</v>
      </c>
    </row>
    <row r="1952" spans="1:12" x14ac:dyDescent="0.3">
      <c r="A1952" s="1">
        <v>41872</v>
      </c>
      <c r="B1952" s="1">
        <v>41877</v>
      </c>
      <c r="C1952" t="s">
        <v>1768</v>
      </c>
      <c r="D1952" t="s">
        <v>81</v>
      </c>
      <c r="E1952" t="s">
        <v>1769</v>
      </c>
      <c r="F1952">
        <v>17.22</v>
      </c>
      <c r="G1952">
        <v>3</v>
      </c>
      <c r="H1952">
        <v>5.1660000000000004</v>
      </c>
      <c r="I1952">
        <v>5</v>
      </c>
      <c r="J1952">
        <v>2014</v>
      </c>
      <c r="K1952" t="s">
        <v>2206</v>
      </c>
      <c r="L1952" t="str">
        <f>TEXT(maintable_2[[#This Row],[Order Date]],"mmmm")</f>
        <v>August</v>
      </c>
    </row>
    <row r="1953" spans="1:12" x14ac:dyDescent="0.3">
      <c r="A1953" s="1">
        <v>41872</v>
      </c>
      <c r="B1953" s="1">
        <v>41877</v>
      </c>
      <c r="C1953" t="s">
        <v>1768</v>
      </c>
      <c r="D1953" t="s">
        <v>27</v>
      </c>
      <c r="E1953" t="s">
        <v>1770</v>
      </c>
      <c r="F1953">
        <v>226.56</v>
      </c>
      <c r="G1953">
        <v>6</v>
      </c>
      <c r="H1953">
        <v>63.436799999999998</v>
      </c>
      <c r="I1953">
        <v>5</v>
      </c>
      <c r="J1953">
        <v>2014</v>
      </c>
      <c r="K1953" t="s">
        <v>2206</v>
      </c>
      <c r="L1953" t="str">
        <f>TEXT(maintable_2[[#This Row],[Order Date]],"mmmm")</f>
        <v>August</v>
      </c>
    </row>
    <row r="1954" spans="1:12" x14ac:dyDescent="0.3">
      <c r="A1954" s="1">
        <v>41872</v>
      </c>
      <c r="B1954" s="1">
        <v>41877</v>
      </c>
      <c r="C1954" t="s">
        <v>1768</v>
      </c>
      <c r="D1954" t="s">
        <v>15</v>
      </c>
      <c r="E1954" t="s">
        <v>1771</v>
      </c>
      <c r="F1954">
        <v>107.88</v>
      </c>
      <c r="G1954">
        <v>3</v>
      </c>
      <c r="H1954">
        <v>10.788</v>
      </c>
      <c r="I1954">
        <v>5</v>
      </c>
      <c r="J1954">
        <v>2014</v>
      </c>
      <c r="K1954" t="s">
        <v>2206</v>
      </c>
      <c r="L1954" t="str">
        <f>TEXT(maintable_2[[#This Row],[Order Date]],"mmmm")</f>
        <v>August</v>
      </c>
    </row>
    <row r="1955" spans="1:12" x14ac:dyDescent="0.3">
      <c r="A1955" s="1">
        <v>40744</v>
      </c>
      <c r="B1955" s="1">
        <v>40746</v>
      </c>
      <c r="C1955" t="s">
        <v>291</v>
      </c>
      <c r="D1955" t="s">
        <v>44</v>
      </c>
      <c r="E1955" t="s">
        <v>1772</v>
      </c>
      <c r="F1955">
        <v>104.85</v>
      </c>
      <c r="G1955">
        <v>1</v>
      </c>
      <c r="H1955">
        <v>50.328000000000003</v>
      </c>
      <c r="I1955">
        <v>2</v>
      </c>
      <c r="J1955">
        <v>2011</v>
      </c>
      <c r="K1955" t="s">
        <v>2206</v>
      </c>
      <c r="L1955" t="str">
        <f>TEXT(maintable_2[[#This Row],[Order Date]],"mmmm")</f>
        <v>July</v>
      </c>
    </row>
    <row r="1956" spans="1:12" x14ac:dyDescent="0.3">
      <c r="A1956" s="1">
        <v>40744</v>
      </c>
      <c r="B1956" s="1">
        <v>40746</v>
      </c>
      <c r="C1956" t="s">
        <v>291</v>
      </c>
      <c r="D1956" t="s">
        <v>17</v>
      </c>
      <c r="E1956" t="s">
        <v>176</v>
      </c>
      <c r="F1956">
        <v>8.7040000000000006</v>
      </c>
      <c r="G1956">
        <v>2</v>
      </c>
      <c r="H1956">
        <v>3.1551999999999998</v>
      </c>
      <c r="I1956">
        <v>2</v>
      </c>
      <c r="J1956">
        <v>2011</v>
      </c>
      <c r="K1956" t="s">
        <v>2206</v>
      </c>
      <c r="L1956" t="str">
        <f>TEXT(maintable_2[[#This Row],[Order Date]],"mmmm")</f>
        <v>July</v>
      </c>
    </row>
    <row r="1957" spans="1:12" x14ac:dyDescent="0.3">
      <c r="A1957" s="1">
        <v>40744</v>
      </c>
      <c r="B1957" s="1">
        <v>40746</v>
      </c>
      <c r="C1957" t="s">
        <v>291</v>
      </c>
      <c r="D1957" t="s">
        <v>44</v>
      </c>
      <c r="E1957" t="s">
        <v>1773</v>
      </c>
      <c r="F1957">
        <v>19.920000000000002</v>
      </c>
      <c r="G1957">
        <v>4</v>
      </c>
      <c r="H1957">
        <v>9.7607999999999997</v>
      </c>
      <c r="I1957">
        <v>2</v>
      </c>
      <c r="J1957">
        <v>2011</v>
      </c>
      <c r="K1957" t="s">
        <v>2206</v>
      </c>
      <c r="L1957" t="str">
        <f>TEXT(maintable_2[[#This Row],[Order Date]],"mmmm")</f>
        <v>July</v>
      </c>
    </row>
    <row r="1958" spans="1:12" x14ac:dyDescent="0.3">
      <c r="A1958" s="1">
        <v>40744</v>
      </c>
      <c r="B1958" s="1">
        <v>40746</v>
      </c>
      <c r="C1958" t="s">
        <v>291</v>
      </c>
      <c r="D1958" t="s">
        <v>11</v>
      </c>
      <c r="E1958" t="s">
        <v>1774</v>
      </c>
      <c r="F1958">
        <v>43.02</v>
      </c>
      <c r="G1958">
        <v>3</v>
      </c>
      <c r="H1958">
        <v>15.4872</v>
      </c>
      <c r="I1958">
        <v>2</v>
      </c>
      <c r="J1958">
        <v>2011</v>
      </c>
      <c r="K1958" t="s">
        <v>2206</v>
      </c>
      <c r="L1958" t="str">
        <f>TEXT(maintable_2[[#This Row],[Order Date]],"mmmm")</f>
        <v>July</v>
      </c>
    </row>
    <row r="1959" spans="1:12" x14ac:dyDescent="0.3">
      <c r="A1959" s="1">
        <v>41754</v>
      </c>
      <c r="B1959" s="1">
        <v>41755</v>
      </c>
      <c r="C1959" t="s">
        <v>1775</v>
      </c>
      <c r="D1959" t="s">
        <v>15</v>
      </c>
      <c r="E1959" t="s">
        <v>1776</v>
      </c>
      <c r="F1959">
        <v>552</v>
      </c>
      <c r="G1959">
        <v>10</v>
      </c>
      <c r="H1959">
        <v>34.5</v>
      </c>
      <c r="I1959">
        <v>1</v>
      </c>
      <c r="J1959">
        <v>2014</v>
      </c>
      <c r="K1959" t="s">
        <v>2208</v>
      </c>
      <c r="L1959" t="str">
        <f>TEXT(maintable_2[[#This Row],[Order Date]],"mmmm")</f>
        <v>April</v>
      </c>
    </row>
    <row r="1960" spans="1:12" x14ac:dyDescent="0.3">
      <c r="A1960" s="1">
        <v>41898</v>
      </c>
      <c r="B1960" s="1">
        <v>41904</v>
      </c>
      <c r="C1960" t="s">
        <v>365</v>
      </c>
      <c r="D1960" t="s">
        <v>17</v>
      </c>
      <c r="E1960" t="s">
        <v>888</v>
      </c>
      <c r="F1960">
        <v>2357.4879999999998</v>
      </c>
      <c r="G1960">
        <v>7</v>
      </c>
      <c r="H1960">
        <v>884.05799999999999</v>
      </c>
      <c r="I1960">
        <v>6</v>
      </c>
      <c r="J1960">
        <v>2014</v>
      </c>
      <c r="K1960" t="s">
        <v>2209</v>
      </c>
      <c r="L1960" t="str">
        <f>TEXT(maintable_2[[#This Row],[Order Date]],"mmmm")</f>
        <v>September</v>
      </c>
    </row>
    <row r="1961" spans="1:12" x14ac:dyDescent="0.3">
      <c r="A1961" s="1">
        <v>41898</v>
      </c>
      <c r="B1961" s="1">
        <v>41904</v>
      </c>
      <c r="C1961" t="s">
        <v>365</v>
      </c>
      <c r="D1961" t="s">
        <v>15</v>
      </c>
      <c r="E1961" t="s">
        <v>1601</v>
      </c>
      <c r="F1961">
        <v>369.54399999999998</v>
      </c>
      <c r="G1961">
        <v>7</v>
      </c>
      <c r="H1961">
        <v>32.335099999999997</v>
      </c>
      <c r="I1961">
        <v>6</v>
      </c>
      <c r="J1961">
        <v>2014</v>
      </c>
      <c r="K1961" t="s">
        <v>2209</v>
      </c>
      <c r="L1961" t="str">
        <f>TEXT(maintable_2[[#This Row],[Order Date]],"mmmm")</f>
        <v>September</v>
      </c>
    </row>
    <row r="1962" spans="1:12" x14ac:dyDescent="0.3">
      <c r="A1962" s="1">
        <v>41898</v>
      </c>
      <c r="B1962" s="1">
        <v>41904</v>
      </c>
      <c r="C1962" t="s">
        <v>365</v>
      </c>
      <c r="D1962" t="s">
        <v>71</v>
      </c>
      <c r="E1962" t="s">
        <v>1094</v>
      </c>
      <c r="F1962">
        <v>184.75200000000001</v>
      </c>
      <c r="G1962">
        <v>3</v>
      </c>
      <c r="H1962">
        <v>-20.784600000000001</v>
      </c>
      <c r="I1962">
        <v>6</v>
      </c>
      <c r="J1962">
        <v>2014</v>
      </c>
      <c r="K1962" t="s">
        <v>2209</v>
      </c>
      <c r="L1962" t="str">
        <f>TEXT(maintable_2[[#This Row],[Order Date]],"mmmm")</f>
        <v>September</v>
      </c>
    </row>
    <row r="1963" spans="1:12" x14ac:dyDescent="0.3">
      <c r="A1963" s="1">
        <v>40887</v>
      </c>
      <c r="B1963" s="1">
        <v>40891</v>
      </c>
      <c r="C1963" t="s">
        <v>84</v>
      </c>
      <c r="D1963" t="s">
        <v>71</v>
      </c>
      <c r="E1963" t="s">
        <v>1744</v>
      </c>
      <c r="F1963">
        <v>338.35199999999998</v>
      </c>
      <c r="G1963">
        <v>3</v>
      </c>
      <c r="H1963">
        <v>4.2294</v>
      </c>
      <c r="I1963">
        <v>4</v>
      </c>
      <c r="J1963">
        <v>2011</v>
      </c>
      <c r="K1963" t="s">
        <v>2207</v>
      </c>
      <c r="L1963" t="str">
        <f>TEXT(maintable_2[[#This Row],[Order Date]],"mmmm")</f>
        <v>December</v>
      </c>
    </row>
    <row r="1964" spans="1:12" x14ac:dyDescent="0.3">
      <c r="A1964" s="1">
        <v>40887</v>
      </c>
      <c r="B1964" s="1">
        <v>40891</v>
      </c>
      <c r="C1964" t="s">
        <v>84</v>
      </c>
      <c r="D1964" t="s">
        <v>44</v>
      </c>
      <c r="E1964" t="s">
        <v>406</v>
      </c>
      <c r="F1964">
        <v>25.92</v>
      </c>
      <c r="G1964">
        <v>4</v>
      </c>
      <c r="H1964">
        <v>12.441599999999999</v>
      </c>
      <c r="I1964">
        <v>4</v>
      </c>
      <c r="J1964">
        <v>2011</v>
      </c>
      <c r="K1964" t="s">
        <v>2207</v>
      </c>
      <c r="L1964" t="str">
        <f>TEXT(maintable_2[[#This Row],[Order Date]],"mmmm")</f>
        <v>December</v>
      </c>
    </row>
    <row r="1965" spans="1:12" x14ac:dyDescent="0.3">
      <c r="A1965" s="1">
        <v>40887</v>
      </c>
      <c r="B1965" s="1">
        <v>40891</v>
      </c>
      <c r="C1965" t="s">
        <v>84</v>
      </c>
      <c r="D1965" t="s">
        <v>44</v>
      </c>
      <c r="E1965" t="s">
        <v>856</v>
      </c>
      <c r="F1965">
        <v>91.36</v>
      </c>
      <c r="G1965">
        <v>4</v>
      </c>
      <c r="H1965">
        <v>42.025599999999997</v>
      </c>
      <c r="I1965">
        <v>4</v>
      </c>
      <c r="J1965">
        <v>2011</v>
      </c>
      <c r="K1965" t="s">
        <v>2207</v>
      </c>
      <c r="L1965" t="str">
        <f>TEXT(maintable_2[[#This Row],[Order Date]],"mmmm")</f>
        <v>December</v>
      </c>
    </row>
    <row r="1966" spans="1:12" x14ac:dyDescent="0.3">
      <c r="A1966" s="1">
        <v>40890</v>
      </c>
      <c r="B1966" s="1">
        <v>40894</v>
      </c>
      <c r="C1966" t="s">
        <v>1777</v>
      </c>
      <c r="D1966" t="s">
        <v>11</v>
      </c>
      <c r="E1966" t="s">
        <v>1778</v>
      </c>
      <c r="F1966">
        <v>87.96</v>
      </c>
      <c r="G1966">
        <v>3</v>
      </c>
      <c r="H1966">
        <v>7.6965000000000003</v>
      </c>
      <c r="I1966">
        <v>4</v>
      </c>
      <c r="J1966">
        <v>2011</v>
      </c>
      <c r="K1966" t="s">
        <v>2207</v>
      </c>
      <c r="L1966" t="str">
        <f>TEXT(maintable_2[[#This Row],[Order Date]],"mmmm")</f>
        <v>December</v>
      </c>
    </row>
    <row r="1967" spans="1:12" x14ac:dyDescent="0.3">
      <c r="A1967" s="1">
        <v>40890</v>
      </c>
      <c r="B1967" s="1">
        <v>40894</v>
      </c>
      <c r="C1967" t="s">
        <v>1777</v>
      </c>
      <c r="D1967" t="s">
        <v>17</v>
      </c>
      <c r="E1967" t="s">
        <v>544</v>
      </c>
      <c r="F1967">
        <v>5.2140000000000004</v>
      </c>
      <c r="G1967">
        <v>2</v>
      </c>
      <c r="H1967">
        <v>-4.1711999999999998</v>
      </c>
      <c r="I1967">
        <v>4</v>
      </c>
      <c r="J1967">
        <v>2011</v>
      </c>
      <c r="K1967" t="s">
        <v>2207</v>
      </c>
      <c r="L1967" t="str">
        <f>TEXT(maintable_2[[#This Row],[Order Date]],"mmmm")</f>
        <v>December</v>
      </c>
    </row>
    <row r="1968" spans="1:12" x14ac:dyDescent="0.3">
      <c r="A1968" s="1">
        <v>41890</v>
      </c>
      <c r="B1968" s="1">
        <v>41894</v>
      </c>
      <c r="C1968" t="s">
        <v>1779</v>
      </c>
      <c r="D1968" t="s">
        <v>11</v>
      </c>
      <c r="E1968" t="s">
        <v>714</v>
      </c>
      <c r="F1968">
        <v>19.760000000000002</v>
      </c>
      <c r="G1968">
        <v>4</v>
      </c>
      <c r="H1968">
        <v>8.2992000000000008</v>
      </c>
      <c r="I1968">
        <v>4</v>
      </c>
      <c r="J1968">
        <v>2014</v>
      </c>
      <c r="K1968" t="s">
        <v>2209</v>
      </c>
      <c r="L1968" t="str">
        <f>TEXT(maintable_2[[#This Row],[Order Date]],"mmmm")</f>
        <v>September</v>
      </c>
    </row>
    <row r="1969" spans="1:12" x14ac:dyDescent="0.3">
      <c r="A1969" s="1">
        <v>41273</v>
      </c>
      <c r="B1969" s="1">
        <v>41277</v>
      </c>
      <c r="C1969" t="s">
        <v>361</v>
      </c>
      <c r="D1969" t="s">
        <v>44</v>
      </c>
      <c r="E1969" t="s">
        <v>1780</v>
      </c>
      <c r="F1969">
        <v>68.52</v>
      </c>
      <c r="G1969">
        <v>3</v>
      </c>
      <c r="H1969">
        <v>31.519200000000001</v>
      </c>
      <c r="I1969">
        <v>4</v>
      </c>
      <c r="J1969">
        <v>2012</v>
      </c>
      <c r="K1969" t="s">
        <v>2207</v>
      </c>
      <c r="L1969" t="str">
        <f>TEXT(maintable_2[[#This Row],[Order Date]],"mmmm")</f>
        <v>December</v>
      </c>
    </row>
    <row r="1970" spans="1:12" x14ac:dyDescent="0.3">
      <c r="A1970" s="1">
        <v>41273</v>
      </c>
      <c r="B1970" s="1">
        <v>41277</v>
      </c>
      <c r="C1970" t="s">
        <v>361</v>
      </c>
      <c r="D1970" t="s">
        <v>27</v>
      </c>
      <c r="E1970" t="s">
        <v>595</v>
      </c>
      <c r="F1970">
        <v>74.94</v>
      </c>
      <c r="G1970">
        <v>3</v>
      </c>
      <c r="H1970">
        <v>14.2386</v>
      </c>
      <c r="I1970">
        <v>4</v>
      </c>
      <c r="J1970">
        <v>2012</v>
      </c>
      <c r="K1970" t="s">
        <v>2207</v>
      </c>
      <c r="L1970" t="str">
        <f>TEXT(maintable_2[[#This Row],[Order Date]],"mmmm")</f>
        <v>December</v>
      </c>
    </row>
    <row r="1971" spans="1:12" x14ac:dyDescent="0.3">
      <c r="A1971" s="1">
        <v>41273</v>
      </c>
      <c r="B1971" s="1">
        <v>41277</v>
      </c>
      <c r="C1971" t="s">
        <v>361</v>
      </c>
      <c r="D1971" t="s">
        <v>494</v>
      </c>
      <c r="E1971" t="s">
        <v>1781</v>
      </c>
      <c r="F1971">
        <v>2548.56</v>
      </c>
      <c r="G1971">
        <v>6</v>
      </c>
      <c r="H1971">
        <v>286.71300000000002</v>
      </c>
      <c r="I1971">
        <v>4</v>
      </c>
      <c r="J1971">
        <v>2012</v>
      </c>
      <c r="K1971" t="s">
        <v>2207</v>
      </c>
      <c r="L1971" t="str">
        <f>TEXT(maintable_2[[#This Row],[Order Date]],"mmmm")</f>
        <v>December</v>
      </c>
    </row>
    <row r="1972" spans="1:12" x14ac:dyDescent="0.3">
      <c r="A1972" s="1">
        <v>41273</v>
      </c>
      <c r="B1972" s="1">
        <v>41277</v>
      </c>
      <c r="C1972" t="s">
        <v>361</v>
      </c>
      <c r="D1972" t="s">
        <v>86</v>
      </c>
      <c r="E1972" t="s">
        <v>1467</v>
      </c>
      <c r="F1972">
        <v>271.44</v>
      </c>
      <c r="G1972">
        <v>3</v>
      </c>
      <c r="H1972">
        <v>122.148</v>
      </c>
      <c r="I1972">
        <v>4</v>
      </c>
      <c r="J1972">
        <v>2012</v>
      </c>
      <c r="K1972" t="s">
        <v>2207</v>
      </c>
      <c r="L1972" t="str">
        <f>TEXT(maintable_2[[#This Row],[Order Date]],"mmmm")</f>
        <v>December</v>
      </c>
    </row>
    <row r="1973" spans="1:12" x14ac:dyDescent="0.3">
      <c r="A1973" s="1">
        <v>41273</v>
      </c>
      <c r="B1973" s="1">
        <v>41277</v>
      </c>
      <c r="C1973" t="s">
        <v>361</v>
      </c>
      <c r="D1973" t="s">
        <v>15</v>
      </c>
      <c r="E1973" t="s">
        <v>1782</v>
      </c>
      <c r="F1973">
        <v>287.88</v>
      </c>
      <c r="G1973">
        <v>3</v>
      </c>
      <c r="H1973">
        <v>35.984999999999999</v>
      </c>
      <c r="I1973">
        <v>4</v>
      </c>
      <c r="J1973">
        <v>2012</v>
      </c>
      <c r="K1973" t="s">
        <v>2207</v>
      </c>
      <c r="L1973" t="str">
        <f>TEXT(maintable_2[[#This Row],[Order Date]],"mmmm")</f>
        <v>December</v>
      </c>
    </row>
    <row r="1974" spans="1:12" x14ac:dyDescent="0.3">
      <c r="A1974" s="1">
        <v>41344</v>
      </c>
      <c r="B1974" s="1">
        <v>41345</v>
      </c>
      <c r="C1974" t="s">
        <v>863</v>
      </c>
      <c r="D1974" t="s">
        <v>44</v>
      </c>
      <c r="E1974" t="s">
        <v>1783</v>
      </c>
      <c r="F1974">
        <v>14.9</v>
      </c>
      <c r="G1974">
        <v>5</v>
      </c>
      <c r="H1974">
        <v>7.1520000000000001</v>
      </c>
      <c r="I1974">
        <v>1</v>
      </c>
      <c r="J1974">
        <v>2013</v>
      </c>
      <c r="K1974" t="s">
        <v>2208</v>
      </c>
      <c r="L1974" t="str">
        <f>TEXT(maintable_2[[#This Row],[Order Date]],"mmmm")</f>
        <v>March</v>
      </c>
    </row>
    <row r="1975" spans="1:12" x14ac:dyDescent="0.3">
      <c r="A1975" s="1">
        <v>41344</v>
      </c>
      <c r="B1975" s="1">
        <v>41345</v>
      </c>
      <c r="C1975" t="s">
        <v>863</v>
      </c>
      <c r="D1975" t="s">
        <v>15</v>
      </c>
      <c r="E1975" t="s">
        <v>1784</v>
      </c>
      <c r="F1975">
        <v>4158.9120000000003</v>
      </c>
      <c r="G1975">
        <v>8</v>
      </c>
      <c r="H1975">
        <v>363.90480000000002</v>
      </c>
      <c r="I1975">
        <v>1</v>
      </c>
      <c r="J1975">
        <v>2013</v>
      </c>
      <c r="K1975" t="s">
        <v>2208</v>
      </c>
      <c r="L1975" t="str">
        <f>TEXT(maintable_2[[#This Row],[Order Date]],"mmmm")</f>
        <v>March</v>
      </c>
    </row>
    <row r="1976" spans="1:12" x14ac:dyDescent="0.3">
      <c r="A1976" s="1">
        <v>40639</v>
      </c>
      <c r="B1976" s="1">
        <v>40645</v>
      </c>
      <c r="C1976" t="s">
        <v>1121</v>
      </c>
      <c r="D1976" t="s">
        <v>11</v>
      </c>
      <c r="E1976" t="s">
        <v>1731</v>
      </c>
      <c r="F1976">
        <v>91.96</v>
      </c>
      <c r="G1976">
        <v>2</v>
      </c>
      <c r="H1976">
        <v>15.6332</v>
      </c>
      <c r="I1976">
        <v>6</v>
      </c>
      <c r="J1976">
        <v>2011</v>
      </c>
      <c r="K1976" t="s">
        <v>2208</v>
      </c>
      <c r="L1976" t="str">
        <f>TEXT(maintable_2[[#This Row],[Order Date]],"mmmm")</f>
        <v>April</v>
      </c>
    </row>
    <row r="1977" spans="1:12" x14ac:dyDescent="0.3">
      <c r="A1977" s="1">
        <v>40639</v>
      </c>
      <c r="B1977" s="1">
        <v>40645</v>
      </c>
      <c r="C1977" t="s">
        <v>1121</v>
      </c>
      <c r="D1977" t="s">
        <v>11</v>
      </c>
      <c r="E1977" t="s">
        <v>153</v>
      </c>
      <c r="F1977">
        <v>33.11</v>
      </c>
      <c r="G1977">
        <v>7</v>
      </c>
      <c r="H1977">
        <v>12.9129</v>
      </c>
      <c r="I1977">
        <v>6</v>
      </c>
      <c r="J1977">
        <v>2011</v>
      </c>
      <c r="K1977" t="s">
        <v>2208</v>
      </c>
      <c r="L1977" t="str">
        <f>TEXT(maintable_2[[#This Row],[Order Date]],"mmmm")</f>
        <v>April</v>
      </c>
    </row>
    <row r="1978" spans="1:12" x14ac:dyDescent="0.3">
      <c r="A1978" s="1">
        <v>40639</v>
      </c>
      <c r="B1978" s="1">
        <v>40645</v>
      </c>
      <c r="C1978" t="s">
        <v>1121</v>
      </c>
      <c r="D1978" t="s">
        <v>44</v>
      </c>
      <c r="E1978" t="s">
        <v>1449</v>
      </c>
      <c r="F1978">
        <v>19.440000000000001</v>
      </c>
      <c r="G1978">
        <v>3</v>
      </c>
      <c r="H1978">
        <v>9.3312000000000008</v>
      </c>
      <c r="I1978">
        <v>6</v>
      </c>
      <c r="J1978">
        <v>2011</v>
      </c>
      <c r="K1978" t="s">
        <v>2208</v>
      </c>
      <c r="L1978" t="str">
        <f>TEXT(maintable_2[[#This Row],[Order Date]],"mmmm")</f>
        <v>April</v>
      </c>
    </row>
    <row r="1979" spans="1:12" x14ac:dyDescent="0.3">
      <c r="A1979" s="1">
        <v>40639</v>
      </c>
      <c r="B1979" s="1">
        <v>40645</v>
      </c>
      <c r="C1979" t="s">
        <v>1121</v>
      </c>
      <c r="D1979" t="s">
        <v>44</v>
      </c>
      <c r="E1979" t="s">
        <v>1785</v>
      </c>
      <c r="F1979">
        <v>55.48</v>
      </c>
      <c r="G1979">
        <v>1</v>
      </c>
      <c r="H1979">
        <v>26.630400000000002</v>
      </c>
      <c r="I1979">
        <v>6</v>
      </c>
      <c r="J1979">
        <v>2011</v>
      </c>
      <c r="K1979" t="s">
        <v>2208</v>
      </c>
      <c r="L1979" t="str">
        <f>TEXT(maintable_2[[#This Row],[Order Date]],"mmmm")</f>
        <v>April</v>
      </c>
    </row>
    <row r="1980" spans="1:12" x14ac:dyDescent="0.3">
      <c r="A1980" s="1">
        <v>41694</v>
      </c>
      <c r="B1980" s="1">
        <v>41701</v>
      </c>
      <c r="C1980" t="s">
        <v>1786</v>
      </c>
      <c r="D1980" t="s">
        <v>78</v>
      </c>
      <c r="E1980" t="s">
        <v>1137</v>
      </c>
      <c r="F1980">
        <v>8.4</v>
      </c>
      <c r="G1980">
        <v>5</v>
      </c>
      <c r="H1980">
        <v>0.33600000000000002</v>
      </c>
      <c r="I1980">
        <v>7</v>
      </c>
      <c r="J1980">
        <v>2014</v>
      </c>
      <c r="K1980" t="s">
        <v>2210</v>
      </c>
      <c r="L1980" t="str">
        <f>TEXT(maintable_2[[#This Row],[Order Date]],"mmmm")</f>
        <v>February</v>
      </c>
    </row>
    <row r="1981" spans="1:12" x14ac:dyDescent="0.3">
      <c r="A1981" s="1">
        <v>41694</v>
      </c>
      <c r="B1981" s="1">
        <v>41701</v>
      </c>
      <c r="C1981" t="s">
        <v>1786</v>
      </c>
      <c r="D1981" t="s">
        <v>15</v>
      </c>
      <c r="E1981" t="s">
        <v>1157</v>
      </c>
      <c r="F1981">
        <v>71.959999999999994</v>
      </c>
      <c r="G1981">
        <v>5</v>
      </c>
      <c r="H1981">
        <v>25.186</v>
      </c>
      <c r="I1981">
        <v>7</v>
      </c>
      <c r="J1981">
        <v>2014</v>
      </c>
      <c r="K1981" t="s">
        <v>2210</v>
      </c>
      <c r="L1981" t="str">
        <f>TEXT(maintable_2[[#This Row],[Order Date]],"mmmm")</f>
        <v>February</v>
      </c>
    </row>
    <row r="1982" spans="1:12" x14ac:dyDescent="0.3">
      <c r="A1982" s="1">
        <v>41593</v>
      </c>
      <c r="B1982" s="1">
        <v>41594</v>
      </c>
      <c r="C1982" t="s">
        <v>1238</v>
      </c>
      <c r="D1982" t="s">
        <v>13</v>
      </c>
      <c r="E1982" t="s">
        <v>1690</v>
      </c>
      <c r="F1982">
        <v>9.84</v>
      </c>
      <c r="G1982">
        <v>3</v>
      </c>
      <c r="H1982">
        <v>2.8536000000000001</v>
      </c>
      <c r="I1982">
        <v>1</v>
      </c>
      <c r="J1982">
        <v>2013</v>
      </c>
      <c r="K1982" t="s">
        <v>2209</v>
      </c>
      <c r="L1982" t="str">
        <f>TEXT(maintable_2[[#This Row],[Order Date]],"mmmm")</f>
        <v>November</v>
      </c>
    </row>
    <row r="1983" spans="1:12" x14ac:dyDescent="0.3">
      <c r="A1983" s="1">
        <v>41257</v>
      </c>
      <c r="B1983" s="1">
        <v>41261</v>
      </c>
      <c r="C1983" t="s">
        <v>1695</v>
      </c>
      <c r="D1983" t="s">
        <v>11</v>
      </c>
      <c r="E1983" t="s">
        <v>1787</v>
      </c>
      <c r="F1983">
        <v>15.24</v>
      </c>
      <c r="G1983">
        <v>3</v>
      </c>
      <c r="H1983">
        <v>5.1816000000000004</v>
      </c>
      <c r="I1983">
        <v>4</v>
      </c>
      <c r="J1983">
        <v>2012</v>
      </c>
      <c r="K1983" t="s">
        <v>2207</v>
      </c>
      <c r="L1983" t="str">
        <f>TEXT(maintable_2[[#This Row],[Order Date]],"mmmm")</f>
        <v>December</v>
      </c>
    </row>
    <row r="1984" spans="1:12" x14ac:dyDescent="0.3">
      <c r="A1984" s="1">
        <v>41907</v>
      </c>
      <c r="B1984" s="1">
        <v>41912</v>
      </c>
      <c r="C1984" t="s">
        <v>157</v>
      </c>
      <c r="D1984" t="s">
        <v>15</v>
      </c>
      <c r="E1984" t="s">
        <v>885</v>
      </c>
      <c r="F1984">
        <v>859.2</v>
      </c>
      <c r="G1984">
        <v>3</v>
      </c>
      <c r="H1984">
        <v>75.180000000000007</v>
      </c>
      <c r="I1984">
        <v>5</v>
      </c>
      <c r="J1984">
        <v>2014</v>
      </c>
      <c r="K1984" t="s">
        <v>2209</v>
      </c>
      <c r="L1984" t="str">
        <f>TEXT(maintable_2[[#This Row],[Order Date]],"mmmm")</f>
        <v>September</v>
      </c>
    </row>
    <row r="1985" spans="1:12" x14ac:dyDescent="0.3">
      <c r="A1985" s="1">
        <v>41907</v>
      </c>
      <c r="B1985" s="1">
        <v>41912</v>
      </c>
      <c r="C1985" t="s">
        <v>157</v>
      </c>
      <c r="D1985" t="s">
        <v>494</v>
      </c>
      <c r="E1985" t="s">
        <v>1788</v>
      </c>
      <c r="F1985">
        <v>506.28</v>
      </c>
      <c r="G1985">
        <v>3</v>
      </c>
      <c r="H1985">
        <v>177.19800000000001</v>
      </c>
      <c r="I1985">
        <v>5</v>
      </c>
      <c r="J1985">
        <v>2014</v>
      </c>
      <c r="K1985" t="s">
        <v>2209</v>
      </c>
      <c r="L1985" t="str">
        <f>TEXT(maintable_2[[#This Row],[Order Date]],"mmmm")</f>
        <v>September</v>
      </c>
    </row>
    <row r="1986" spans="1:12" x14ac:dyDescent="0.3">
      <c r="A1986" s="1">
        <v>41309</v>
      </c>
      <c r="B1986" s="1">
        <v>41313</v>
      </c>
      <c r="C1986" t="s">
        <v>143</v>
      </c>
      <c r="D1986" t="s">
        <v>11</v>
      </c>
      <c r="E1986" t="s">
        <v>1422</v>
      </c>
      <c r="F1986">
        <v>14.368</v>
      </c>
      <c r="G1986">
        <v>2</v>
      </c>
      <c r="H1986">
        <v>3.9512</v>
      </c>
      <c r="I1986">
        <v>4</v>
      </c>
      <c r="J1986">
        <v>2013</v>
      </c>
      <c r="K1986" t="s">
        <v>2210</v>
      </c>
      <c r="L1986" t="str">
        <f>TEXT(maintable_2[[#This Row],[Order Date]],"mmmm")</f>
        <v>February</v>
      </c>
    </row>
    <row r="1987" spans="1:12" x14ac:dyDescent="0.3">
      <c r="A1987" s="1">
        <v>41155</v>
      </c>
      <c r="B1987" s="1">
        <v>41160</v>
      </c>
      <c r="C1987" t="s">
        <v>1789</v>
      </c>
      <c r="D1987" t="s">
        <v>11</v>
      </c>
      <c r="E1987" t="s">
        <v>680</v>
      </c>
      <c r="F1987">
        <v>238.15199999999999</v>
      </c>
      <c r="G1987">
        <v>3</v>
      </c>
      <c r="H1987">
        <v>89.307000000000002</v>
      </c>
      <c r="I1987">
        <v>5</v>
      </c>
      <c r="J1987">
        <v>2012</v>
      </c>
      <c r="K1987" t="s">
        <v>2209</v>
      </c>
      <c r="L1987" t="str">
        <f>TEXT(maintable_2[[#This Row],[Order Date]],"mmmm")</f>
        <v>September</v>
      </c>
    </row>
    <row r="1988" spans="1:12" x14ac:dyDescent="0.3">
      <c r="A1988" s="1">
        <v>41268</v>
      </c>
      <c r="B1988" s="1">
        <v>41273</v>
      </c>
      <c r="C1988" t="s">
        <v>1269</v>
      </c>
      <c r="D1988" t="s">
        <v>163</v>
      </c>
      <c r="E1988" t="s">
        <v>1472</v>
      </c>
      <c r="F1988">
        <v>1199.96</v>
      </c>
      <c r="G1988">
        <v>5</v>
      </c>
      <c r="H1988">
        <v>224.99250000000001</v>
      </c>
      <c r="I1988">
        <v>5</v>
      </c>
      <c r="J1988">
        <v>2012</v>
      </c>
      <c r="K1988" t="s">
        <v>2207</v>
      </c>
      <c r="L1988" t="str">
        <f>TEXT(maintable_2[[#This Row],[Order Date]],"mmmm")</f>
        <v>December</v>
      </c>
    </row>
    <row r="1989" spans="1:12" x14ac:dyDescent="0.3">
      <c r="A1989" s="1">
        <v>41268</v>
      </c>
      <c r="B1989" s="1">
        <v>41273</v>
      </c>
      <c r="C1989" t="s">
        <v>1269</v>
      </c>
      <c r="D1989" t="s">
        <v>44</v>
      </c>
      <c r="E1989" t="s">
        <v>1790</v>
      </c>
      <c r="F1989">
        <v>12.6</v>
      </c>
      <c r="G1989">
        <v>3</v>
      </c>
      <c r="H1989">
        <v>6.1740000000000004</v>
      </c>
      <c r="I1989">
        <v>5</v>
      </c>
      <c r="J1989">
        <v>2012</v>
      </c>
      <c r="K1989" t="s">
        <v>2207</v>
      </c>
      <c r="L1989" t="str">
        <f>TEXT(maintable_2[[#This Row],[Order Date]],"mmmm")</f>
        <v>December</v>
      </c>
    </row>
    <row r="1990" spans="1:12" x14ac:dyDescent="0.3">
      <c r="A1990" s="1">
        <v>41268</v>
      </c>
      <c r="B1990" s="1">
        <v>41273</v>
      </c>
      <c r="C1990" t="s">
        <v>1269</v>
      </c>
      <c r="D1990" t="s">
        <v>44</v>
      </c>
      <c r="E1990" t="s">
        <v>254</v>
      </c>
      <c r="F1990">
        <v>17.940000000000001</v>
      </c>
      <c r="G1990">
        <v>3</v>
      </c>
      <c r="H1990">
        <v>8.0730000000000004</v>
      </c>
      <c r="I1990">
        <v>5</v>
      </c>
      <c r="J1990">
        <v>2012</v>
      </c>
      <c r="K1990" t="s">
        <v>2207</v>
      </c>
      <c r="L1990" t="str">
        <f>TEXT(maintable_2[[#This Row],[Order Date]],"mmmm")</f>
        <v>December</v>
      </c>
    </row>
    <row r="1991" spans="1:12" x14ac:dyDescent="0.3">
      <c r="A1991" s="1">
        <v>41780</v>
      </c>
      <c r="B1991" s="1">
        <v>41784</v>
      </c>
      <c r="C1991" t="s">
        <v>536</v>
      </c>
      <c r="D1991" t="s">
        <v>71</v>
      </c>
      <c r="E1991" t="s">
        <v>211</v>
      </c>
      <c r="F1991">
        <v>518.27200000000005</v>
      </c>
      <c r="G1991">
        <v>8</v>
      </c>
      <c r="H1991">
        <v>-97.176000000000002</v>
      </c>
      <c r="I1991">
        <v>4</v>
      </c>
      <c r="J1991">
        <v>2014</v>
      </c>
      <c r="K1991" t="s">
        <v>2208</v>
      </c>
      <c r="L1991" t="str">
        <f>TEXT(maintable_2[[#This Row],[Order Date]],"mmmm")</f>
        <v>May</v>
      </c>
    </row>
    <row r="1992" spans="1:12" x14ac:dyDescent="0.3">
      <c r="A1992" s="1">
        <v>41780</v>
      </c>
      <c r="B1992" s="1">
        <v>41784</v>
      </c>
      <c r="C1992" t="s">
        <v>536</v>
      </c>
      <c r="D1992" t="s">
        <v>11</v>
      </c>
      <c r="E1992" t="s">
        <v>1791</v>
      </c>
      <c r="F1992">
        <v>6.98</v>
      </c>
      <c r="G1992">
        <v>1</v>
      </c>
      <c r="H1992">
        <v>3.3504</v>
      </c>
      <c r="I1992">
        <v>4</v>
      </c>
      <c r="J1992">
        <v>2014</v>
      </c>
      <c r="K1992" t="s">
        <v>2208</v>
      </c>
      <c r="L1992" t="str">
        <f>TEXT(maintable_2[[#This Row],[Order Date]],"mmmm")</f>
        <v>May</v>
      </c>
    </row>
    <row r="1993" spans="1:12" x14ac:dyDescent="0.3">
      <c r="A1993" s="1">
        <v>41780</v>
      </c>
      <c r="B1993" s="1">
        <v>41784</v>
      </c>
      <c r="C1993" t="s">
        <v>536</v>
      </c>
      <c r="D1993" t="s">
        <v>494</v>
      </c>
      <c r="E1993" t="s">
        <v>1792</v>
      </c>
      <c r="F1993">
        <v>343.2</v>
      </c>
      <c r="G1993">
        <v>1</v>
      </c>
      <c r="H1993">
        <v>38.61</v>
      </c>
      <c r="I1993">
        <v>4</v>
      </c>
      <c r="J1993">
        <v>2014</v>
      </c>
      <c r="K1993" t="s">
        <v>2208</v>
      </c>
      <c r="L1993" t="str">
        <f>TEXT(maintable_2[[#This Row],[Order Date]],"mmmm")</f>
        <v>May</v>
      </c>
    </row>
    <row r="1994" spans="1:12" x14ac:dyDescent="0.3">
      <c r="A1994" s="1">
        <v>41999</v>
      </c>
      <c r="B1994" s="1">
        <v>42003</v>
      </c>
      <c r="C1994" t="s">
        <v>690</v>
      </c>
      <c r="D1994" t="s">
        <v>17</v>
      </c>
      <c r="E1994" t="s">
        <v>873</v>
      </c>
      <c r="F1994">
        <v>153.55199999999999</v>
      </c>
      <c r="G1994">
        <v>3</v>
      </c>
      <c r="H1994">
        <v>51.823799999999999</v>
      </c>
      <c r="I1994">
        <v>4</v>
      </c>
      <c r="J1994">
        <v>2014</v>
      </c>
      <c r="K1994" t="s">
        <v>2207</v>
      </c>
      <c r="L1994" t="str">
        <f>TEXT(maintable_2[[#This Row],[Order Date]],"mmmm")</f>
        <v>December</v>
      </c>
    </row>
    <row r="1995" spans="1:12" x14ac:dyDescent="0.3">
      <c r="A1995" s="1">
        <v>41999</v>
      </c>
      <c r="B1995" s="1">
        <v>42003</v>
      </c>
      <c r="C1995" t="s">
        <v>690</v>
      </c>
      <c r="D1995" t="s">
        <v>27</v>
      </c>
      <c r="E1995" t="s">
        <v>1503</v>
      </c>
      <c r="F1995">
        <v>270.62</v>
      </c>
      <c r="G1995">
        <v>2</v>
      </c>
      <c r="H1995">
        <v>2.7061999999999999</v>
      </c>
      <c r="I1995">
        <v>4</v>
      </c>
      <c r="J1995">
        <v>2014</v>
      </c>
      <c r="K1995" t="s">
        <v>2207</v>
      </c>
      <c r="L1995" t="str">
        <f>TEXT(maintable_2[[#This Row],[Order Date]],"mmmm")</f>
        <v>December</v>
      </c>
    </row>
    <row r="1996" spans="1:12" x14ac:dyDescent="0.3">
      <c r="A1996" s="1">
        <v>41257</v>
      </c>
      <c r="B1996" s="1">
        <v>41261</v>
      </c>
      <c r="C1996" t="s">
        <v>35</v>
      </c>
      <c r="D1996" t="s">
        <v>11</v>
      </c>
      <c r="E1996" t="s">
        <v>105</v>
      </c>
      <c r="F1996">
        <v>29.22</v>
      </c>
      <c r="G1996">
        <v>3</v>
      </c>
      <c r="H1996">
        <v>12.8568</v>
      </c>
      <c r="I1996">
        <v>4</v>
      </c>
      <c r="J1996">
        <v>2012</v>
      </c>
      <c r="K1996" t="s">
        <v>2207</v>
      </c>
      <c r="L1996" t="str">
        <f>TEXT(maintable_2[[#This Row],[Order Date]],"mmmm")</f>
        <v>December</v>
      </c>
    </row>
    <row r="1997" spans="1:12" x14ac:dyDescent="0.3">
      <c r="A1997" s="1">
        <v>42002</v>
      </c>
      <c r="B1997" s="1">
        <v>42005</v>
      </c>
      <c r="C1997" t="s">
        <v>401</v>
      </c>
      <c r="D1997" t="s">
        <v>17</v>
      </c>
      <c r="E1997" t="s">
        <v>1374</v>
      </c>
      <c r="F1997">
        <v>1.1879999999999999</v>
      </c>
      <c r="G1997">
        <v>2</v>
      </c>
      <c r="H1997">
        <v>-0.99</v>
      </c>
      <c r="I1997">
        <v>3</v>
      </c>
      <c r="J1997">
        <v>2014</v>
      </c>
      <c r="K1997" t="s">
        <v>2207</v>
      </c>
      <c r="L1997" t="str">
        <f>TEXT(maintable_2[[#This Row],[Order Date]],"mmmm")</f>
        <v>December</v>
      </c>
    </row>
    <row r="1998" spans="1:12" x14ac:dyDescent="0.3">
      <c r="A1998" s="1">
        <v>41348</v>
      </c>
      <c r="B1998" s="1">
        <v>41354</v>
      </c>
      <c r="C1998" t="s">
        <v>94</v>
      </c>
      <c r="D1998" t="s">
        <v>17</v>
      </c>
      <c r="E1998" t="s">
        <v>344</v>
      </c>
      <c r="F1998">
        <v>41.904000000000003</v>
      </c>
      <c r="G1998">
        <v>6</v>
      </c>
      <c r="H1998">
        <v>14.1426</v>
      </c>
      <c r="I1998">
        <v>6</v>
      </c>
      <c r="J1998">
        <v>2013</v>
      </c>
      <c r="K1998" t="s">
        <v>2208</v>
      </c>
      <c r="L1998" t="str">
        <f>TEXT(maintable_2[[#This Row],[Order Date]],"mmmm")</f>
        <v>March</v>
      </c>
    </row>
    <row r="1999" spans="1:12" x14ac:dyDescent="0.3">
      <c r="A1999" s="1">
        <v>41902</v>
      </c>
      <c r="B1999" s="1">
        <v>41908</v>
      </c>
      <c r="C1999" t="s">
        <v>1793</v>
      </c>
      <c r="D1999" t="s">
        <v>15</v>
      </c>
      <c r="E1999" t="s">
        <v>1364</v>
      </c>
      <c r="F1999">
        <v>191.976</v>
      </c>
      <c r="G1999">
        <v>3</v>
      </c>
      <c r="H1999">
        <v>19.197600000000001</v>
      </c>
      <c r="I1999">
        <v>6</v>
      </c>
      <c r="J1999">
        <v>2014</v>
      </c>
      <c r="K1999" t="s">
        <v>2209</v>
      </c>
      <c r="L1999" t="str">
        <f>TEXT(maintable_2[[#This Row],[Order Date]],"mmmm")</f>
        <v>September</v>
      </c>
    </row>
    <row r="2000" spans="1:12" x14ac:dyDescent="0.3">
      <c r="A2000" s="1">
        <v>41902</v>
      </c>
      <c r="B2000" s="1">
        <v>41908</v>
      </c>
      <c r="C2000" t="s">
        <v>1793</v>
      </c>
      <c r="D2000" t="s">
        <v>13</v>
      </c>
      <c r="E2000" t="s">
        <v>1794</v>
      </c>
      <c r="F2000">
        <v>23.832000000000001</v>
      </c>
      <c r="G2000">
        <v>3</v>
      </c>
      <c r="H2000">
        <v>6.5537999999999998</v>
      </c>
      <c r="I2000">
        <v>6</v>
      </c>
      <c r="J2000">
        <v>2014</v>
      </c>
      <c r="K2000" t="s">
        <v>2209</v>
      </c>
      <c r="L2000" t="str">
        <f>TEXT(maintable_2[[#This Row],[Order Date]],"mmmm")</f>
        <v>September</v>
      </c>
    </row>
    <row r="2001" spans="1:12" x14ac:dyDescent="0.3">
      <c r="A2001" s="1">
        <v>41902</v>
      </c>
      <c r="B2001" s="1">
        <v>41908</v>
      </c>
      <c r="C2001" t="s">
        <v>1793</v>
      </c>
      <c r="D2001" t="s">
        <v>11</v>
      </c>
      <c r="E2001" t="s">
        <v>239</v>
      </c>
      <c r="F2001">
        <v>409.21600000000001</v>
      </c>
      <c r="G2001">
        <v>8</v>
      </c>
      <c r="H2001">
        <v>61.382399999999997</v>
      </c>
      <c r="I2001">
        <v>6</v>
      </c>
      <c r="J2001">
        <v>2014</v>
      </c>
      <c r="K2001" t="s">
        <v>2209</v>
      </c>
      <c r="L2001" t="str">
        <f>TEXT(maintable_2[[#This Row],[Order Date]],"mmmm")</f>
        <v>September</v>
      </c>
    </row>
    <row r="2002" spans="1:12" x14ac:dyDescent="0.3">
      <c r="A2002" s="1">
        <v>41902</v>
      </c>
      <c r="B2002" s="1">
        <v>41908</v>
      </c>
      <c r="C2002" t="s">
        <v>1793</v>
      </c>
      <c r="D2002" t="s">
        <v>196</v>
      </c>
      <c r="E2002" t="s">
        <v>197</v>
      </c>
      <c r="F2002">
        <v>72.587999999999994</v>
      </c>
      <c r="G2002">
        <v>2</v>
      </c>
      <c r="H2002">
        <v>-128.2388</v>
      </c>
      <c r="I2002">
        <v>6</v>
      </c>
      <c r="J2002">
        <v>2014</v>
      </c>
      <c r="K2002" t="s">
        <v>2209</v>
      </c>
      <c r="L2002" t="str">
        <f>TEXT(maintable_2[[#This Row],[Order Date]],"mmmm")</f>
        <v>September</v>
      </c>
    </row>
    <row r="2003" spans="1:12" x14ac:dyDescent="0.3">
      <c r="A2003" s="1">
        <v>41794</v>
      </c>
      <c r="B2003" s="1">
        <v>41798</v>
      </c>
      <c r="C2003" t="s">
        <v>1795</v>
      </c>
      <c r="D2003" t="s">
        <v>37</v>
      </c>
      <c r="E2003" t="s">
        <v>727</v>
      </c>
      <c r="F2003">
        <v>44.75</v>
      </c>
      <c r="G2003">
        <v>5</v>
      </c>
      <c r="H2003">
        <v>8.5024999999999995</v>
      </c>
      <c r="I2003">
        <v>4</v>
      </c>
      <c r="J2003">
        <v>2014</v>
      </c>
      <c r="K2003" t="s">
        <v>2206</v>
      </c>
      <c r="L2003" t="str">
        <f>TEXT(maintable_2[[#This Row],[Order Date]],"mmmm")</f>
        <v>June</v>
      </c>
    </row>
    <row r="2004" spans="1:12" x14ac:dyDescent="0.3">
      <c r="A2004" s="1">
        <v>41794</v>
      </c>
      <c r="B2004" s="1">
        <v>41798</v>
      </c>
      <c r="C2004" t="s">
        <v>1795</v>
      </c>
      <c r="D2004" t="s">
        <v>44</v>
      </c>
      <c r="E2004" t="s">
        <v>1796</v>
      </c>
      <c r="F2004">
        <v>11.96</v>
      </c>
      <c r="G2004">
        <v>2</v>
      </c>
      <c r="H2004">
        <v>5.3819999999999997</v>
      </c>
      <c r="I2004">
        <v>4</v>
      </c>
      <c r="J2004">
        <v>2014</v>
      </c>
      <c r="K2004" t="s">
        <v>2206</v>
      </c>
      <c r="L2004" t="str">
        <f>TEXT(maintable_2[[#This Row],[Order Date]],"mmmm")</f>
        <v>June</v>
      </c>
    </row>
    <row r="2005" spans="1:12" x14ac:dyDescent="0.3">
      <c r="A2005" s="1">
        <v>41794</v>
      </c>
      <c r="B2005" s="1">
        <v>41798</v>
      </c>
      <c r="C2005" t="s">
        <v>1795</v>
      </c>
      <c r="D2005" t="s">
        <v>17</v>
      </c>
      <c r="E2005" t="s">
        <v>442</v>
      </c>
      <c r="F2005">
        <v>3.9119999999999999</v>
      </c>
      <c r="G2005">
        <v>1</v>
      </c>
      <c r="H2005">
        <v>1.2714000000000001</v>
      </c>
      <c r="I2005">
        <v>4</v>
      </c>
      <c r="J2005">
        <v>2014</v>
      </c>
      <c r="K2005" t="s">
        <v>2206</v>
      </c>
      <c r="L2005" t="str">
        <f>TEXT(maintable_2[[#This Row],[Order Date]],"mmmm")</f>
        <v>June</v>
      </c>
    </row>
    <row r="2006" spans="1:12" x14ac:dyDescent="0.3">
      <c r="A2006" s="1">
        <v>40841</v>
      </c>
      <c r="B2006" s="1">
        <v>40844</v>
      </c>
      <c r="C2006" t="s">
        <v>1635</v>
      </c>
      <c r="D2006" t="s">
        <v>17</v>
      </c>
      <c r="E2006" t="s">
        <v>1753</v>
      </c>
      <c r="F2006">
        <v>49.408000000000001</v>
      </c>
      <c r="G2006">
        <v>4</v>
      </c>
      <c r="H2006">
        <v>18.527999999999999</v>
      </c>
      <c r="I2006">
        <v>3</v>
      </c>
      <c r="J2006">
        <v>2011</v>
      </c>
      <c r="K2006" t="s">
        <v>2209</v>
      </c>
      <c r="L2006" t="str">
        <f>TEXT(maintable_2[[#This Row],[Order Date]],"mmmm")</f>
        <v>October</v>
      </c>
    </row>
    <row r="2007" spans="1:12" x14ac:dyDescent="0.3">
      <c r="A2007" s="1">
        <v>41503</v>
      </c>
      <c r="B2007" s="1">
        <v>41506</v>
      </c>
      <c r="C2007" t="s">
        <v>1797</v>
      </c>
      <c r="D2007" t="s">
        <v>21</v>
      </c>
      <c r="E2007" t="s">
        <v>1798</v>
      </c>
      <c r="F2007">
        <v>161.28</v>
      </c>
      <c r="G2007">
        <v>2</v>
      </c>
      <c r="H2007">
        <v>12.096</v>
      </c>
      <c r="I2007">
        <v>3</v>
      </c>
      <c r="J2007">
        <v>2013</v>
      </c>
      <c r="K2007" t="s">
        <v>2206</v>
      </c>
      <c r="L2007" t="str">
        <f>TEXT(maintable_2[[#This Row],[Order Date]],"mmmm")</f>
        <v>August</v>
      </c>
    </row>
    <row r="2008" spans="1:12" x14ac:dyDescent="0.3">
      <c r="A2008" s="1">
        <v>41583</v>
      </c>
      <c r="B2008" s="1">
        <v>41583</v>
      </c>
      <c r="C2008" t="s">
        <v>1100</v>
      </c>
      <c r="D2008" t="s">
        <v>13</v>
      </c>
      <c r="E2008" t="s">
        <v>635</v>
      </c>
      <c r="F2008">
        <v>192.8</v>
      </c>
      <c r="G2008">
        <v>4</v>
      </c>
      <c r="H2008">
        <v>55.911999999999999</v>
      </c>
      <c r="I2008">
        <v>0</v>
      </c>
      <c r="J2008">
        <v>2013</v>
      </c>
      <c r="K2008" t="s">
        <v>2209</v>
      </c>
      <c r="L2008" t="str">
        <f>TEXT(maintable_2[[#This Row],[Order Date]],"mmmm")</f>
        <v>November</v>
      </c>
    </row>
    <row r="2009" spans="1:12" x14ac:dyDescent="0.3">
      <c r="A2009" s="1">
        <v>40632</v>
      </c>
      <c r="B2009" s="1">
        <v>40637</v>
      </c>
      <c r="C2009" t="s">
        <v>1066</v>
      </c>
      <c r="D2009" t="s">
        <v>196</v>
      </c>
      <c r="E2009" t="s">
        <v>234</v>
      </c>
      <c r="F2009">
        <v>205.666</v>
      </c>
      <c r="G2009">
        <v>2</v>
      </c>
      <c r="H2009">
        <v>-12.098000000000001</v>
      </c>
      <c r="I2009">
        <v>5</v>
      </c>
      <c r="J2009">
        <v>2011</v>
      </c>
      <c r="K2009" t="s">
        <v>2208</v>
      </c>
      <c r="L2009" t="str">
        <f>TEXT(maintable_2[[#This Row],[Order Date]],"mmmm")</f>
        <v>March</v>
      </c>
    </row>
    <row r="2010" spans="1:12" x14ac:dyDescent="0.3">
      <c r="A2010" s="1">
        <v>41017</v>
      </c>
      <c r="B2010" s="1">
        <v>41019</v>
      </c>
      <c r="C2010" t="s">
        <v>1799</v>
      </c>
      <c r="D2010" t="s">
        <v>27</v>
      </c>
      <c r="E2010" t="s">
        <v>1051</v>
      </c>
      <c r="F2010">
        <v>115.44</v>
      </c>
      <c r="G2010">
        <v>3</v>
      </c>
      <c r="H2010">
        <v>30.014399999999998</v>
      </c>
      <c r="I2010">
        <v>2</v>
      </c>
      <c r="J2010">
        <v>2012</v>
      </c>
      <c r="K2010" t="s">
        <v>2208</v>
      </c>
      <c r="L2010" t="str">
        <f>TEXT(maintable_2[[#This Row],[Order Date]],"mmmm")</f>
        <v>April</v>
      </c>
    </row>
    <row r="2011" spans="1:12" x14ac:dyDescent="0.3">
      <c r="A2011" s="1">
        <v>40899</v>
      </c>
      <c r="B2011" s="1">
        <v>40903</v>
      </c>
      <c r="C2011" t="s">
        <v>1800</v>
      </c>
      <c r="D2011" t="s">
        <v>13</v>
      </c>
      <c r="E2011" t="s">
        <v>287</v>
      </c>
      <c r="F2011">
        <v>11.76</v>
      </c>
      <c r="G2011">
        <v>4</v>
      </c>
      <c r="H2011">
        <v>3.1751999999999998</v>
      </c>
      <c r="I2011">
        <v>4</v>
      </c>
      <c r="J2011">
        <v>2011</v>
      </c>
      <c r="K2011" t="s">
        <v>2207</v>
      </c>
      <c r="L2011" t="str">
        <f>TEXT(maintable_2[[#This Row],[Order Date]],"mmmm")</f>
        <v>December</v>
      </c>
    </row>
    <row r="2012" spans="1:12" x14ac:dyDescent="0.3">
      <c r="A2012" s="1">
        <v>41965</v>
      </c>
      <c r="B2012" s="1">
        <v>41969</v>
      </c>
      <c r="C2012" t="s">
        <v>1706</v>
      </c>
      <c r="D2012" t="s">
        <v>13</v>
      </c>
      <c r="E2012" t="s">
        <v>287</v>
      </c>
      <c r="F2012">
        <v>11.76</v>
      </c>
      <c r="G2012">
        <v>4</v>
      </c>
      <c r="H2012">
        <v>3.1751999999999998</v>
      </c>
      <c r="I2012">
        <v>4</v>
      </c>
      <c r="J2012">
        <v>2014</v>
      </c>
      <c r="K2012" t="s">
        <v>2209</v>
      </c>
      <c r="L2012" t="str">
        <f>TEXT(maintable_2[[#This Row],[Order Date]],"mmmm")</f>
        <v>November</v>
      </c>
    </row>
    <row r="2013" spans="1:12" x14ac:dyDescent="0.3">
      <c r="A2013" s="1">
        <v>41965</v>
      </c>
      <c r="B2013" s="1">
        <v>41969</v>
      </c>
      <c r="C2013" t="s">
        <v>1706</v>
      </c>
      <c r="D2013" t="s">
        <v>17</v>
      </c>
      <c r="E2013" t="s">
        <v>1061</v>
      </c>
      <c r="F2013">
        <v>40.735999999999997</v>
      </c>
      <c r="G2013">
        <v>2</v>
      </c>
      <c r="H2013">
        <v>14.7668</v>
      </c>
      <c r="I2013">
        <v>4</v>
      </c>
      <c r="J2013">
        <v>2014</v>
      </c>
      <c r="K2013" t="s">
        <v>2209</v>
      </c>
      <c r="L2013" t="str">
        <f>TEXT(maintable_2[[#This Row],[Order Date]],"mmmm")</f>
        <v>November</v>
      </c>
    </row>
    <row r="2014" spans="1:12" x14ac:dyDescent="0.3">
      <c r="A2014" s="1">
        <v>41453</v>
      </c>
      <c r="B2014" s="1">
        <v>41455</v>
      </c>
      <c r="C2014" t="s">
        <v>1801</v>
      </c>
      <c r="D2014" t="s">
        <v>15</v>
      </c>
      <c r="E2014" t="s">
        <v>1256</v>
      </c>
      <c r="F2014">
        <v>201.584</v>
      </c>
      <c r="G2014">
        <v>2</v>
      </c>
      <c r="H2014">
        <v>12.599</v>
      </c>
      <c r="I2014">
        <v>2</v>
      </c>
      <c r="J2014">
        <v>2013</v>
      </c>
      <c r="K2014" t="s">
        <v>2206</v>
      </c>
      <c r="L2014" t="str">
        <f>TEXT(maintable_2[[#This Row],[Order Date]],"mmmm")</f>
        <v>June</v>
      </c>
    </row>
    <row r="2015" spans="1:12" x14ac:dyDescent="0.3">
      <c r="A2015" s="1">
        <v>42002</v>
      </c>
      <c r="B2015" s="1">
        <v>42005</v>
      </c>
      <c r="C2015" t="s">
        <v>1802</v>
      </c>
      <c r="D2015" t="s">
        <v>71</v>
      </c>
      <c r="E2015" t="s">
        <v>1603</v>
      </c>
      <c r="F2015">
        <v>340.70400000000001</v>
      </c>
      <c r="G2015">
        <v>6</v>
      </c>
      <c r="H2015">
        <v>-34.070399999999999</v>
      </c>
      <c r="I2015">
        <v>3</v>
      </c>
      <c r="J2015">
        <v>2014</v>
      </c>
      <c r="K2015" t="s">
        <v>2207</v>
      </c>
      <c r="L2015" t="str">
        <f>TEXT(maintable_2[[#This Row],[Order Date]],"mmmm")</f>
        <v>December</v>
      </c>
    </row>
    <row r="2016" spans="1:12" x14ac:dyDescent="0.3">
      <c r="A2016" s="1">
        <v>40620</v>
      </c>
      <c r="B2016" s="1">
        <v>40623</v>
      </c>
      <c r="C2016" t="s">
        <v>1384</v>
      </c>
      <c r="D2016" t="s">
        <v>196</v>
      </c>
      <c r="E2016" t="s">
        <v>1659</v>
      </c>
      <c r="F2016">
        <v>1198.33</v>
      </c>
      <c r="G2016">
        <v>10</v>
      </c>
      <c r="H2016">
        <v>70.489999999999995</v>
      </c>
      <c r="I2016">
        <v>3</v>
      </c>
      <c r="J2016">
        <v>2011</v>
      </c>
      <c r="K2016" t="s">
        <v>2208</v>
      </c>
      <c r="L2016" t="str">
        <f>TEXT(maintable_2[[#This Row],[Order Date]],"mmmm")</f>
        <v>March</v>
      </c>
    </row>
    <row r="2017" spans="1:12" x14ac:dyDescent="0.3">
      <c r="A2017" s="1">
        <v>41824</v>
      </c>
      <c r="B2017" s="1">
        <v>41829</v>
      </c>
      <c r="C2017" t="s">
        <v>1202</v>
      </c>
      <c r="D2017" t="s">
        <v>27</v>
      </c>
      <c r="E2017" t="s">
        <v>1803</v>
      </c>
      <c r="F2017">
        <v>87.92</v>
      </c>
      <c r="G2017">
        <v>4</v>
      </c>
      <c r="H2017">
        <v>0.87919999999999998</v>
      </c>
      <c r="I2017">
        <v>5</v>
      </c>
      <c r="J2017">
        <v>2014</v>
      </c>
      <c r="K2017" t="s">
        <v>2206</v>
      </c>
      <c r="L2017" t="str">
        <f>TEXT(maintable_2[[#This Row],[Order Date]],"mmmm")</f>
        <v>July</v>
      </c>
    </row>
    <row r="2018" spans="1:12" x14ac:dyDescent="0.3">
      <c r="A2018" s="1">
        <v>41612</v>
      </c>
      <c r="B2018" s="1">
        <v>41618</v>
      </c>
      <c r="C2018" t="s">
        <v>372</v>
      </c>
      <c r="D2018" t="s">
        <v>27</v>
      </c>
      <c r="E2018" t="s">
        <v>1804</v>
      </c>
      <c r="F2018">
        <v>772.68</v>
      </c>
      <c r="G2018">
        <v>4</v>
      </c>
      <c r="H2018">
        <v>108.1752</v>
      </c>
      <c r="I2018">
        <v>6</v>
      </c>
      <c r="J2018">
        <v>2013</v>
      </c>
      <c r="K2018" t="s">
        <v>2207</v>
      </c>
      <c r="L2018" t="str">
        <f>TEXT(maintable_2[[#This Row],[Order Date]],"mmmm")</f>
        <v>December</v>
      </c>
    </row>
    <row r="2019" spans="1:12" x14ac:dyDescent="0.3">
      <c r="A2019" s="1">
        <v>41171</v>
      </c>
      <c r="B2019" s="1">
        <v>41174</v>
      </c>
      <c r="C2019" t="s">
        <v>591</v>
      </c>
      <c r="D2019" t="s">
        <v>44</v>
      </c>
      <c r="E2019" t="s">
        <v>282</v>
      </c>
      <c r="F2019">
        <v>22.96</v>
      </c>
      <c r="G2019">
        <v>2</v>
      </c>
      <c r="H2019">
        <v>11.250400000000001</v>
      </c>
      <c r="I2019">
        <v>3</v>
      </c>
      <c r="J2019">
        <v>2012</v>
      </c>
      <c r="K2019" t="s">
        <v>2209</v>
      </c>
      <c r="L2019" t="str">
        <f>TEXT(maintable_2[[#This Row],[Order Date]],"mmmm")</f>
        <v>September</v>
      </c>
    </row>
    <row r="2020" spans="1:12" x14ac:dyDescent="0.3">
      <c r="A2020" s="1">
        <v>41620</v>
      </c>
      <c r="B2020" s="1">
        <v>41622</v>
      </c>
      <c r="C2020" t="s">
        <v>650</v>
      </c>
      <c r="D2020" t="s">
        <v>71</v>
      </c>
      <c r="E2020" t="s">
        <v>850</v>
      </c>
      <c r="F2020">
        <v>403.92</v>
      </c>
      <c r="G2020">
        <v>5</v>
      </c>
      <c r="H2020">
        <v>25.245000000000001</v>
      </c>
      <c r="I2020">
        <v>2</v>
      </c>
      <c r="J2020">
        <v>2013</v>
      </c>
      <c r="K2020" t="s">
        <v>2207</v>
      </c>
      <c r="L2020" t="str">
        <f>TEXT(maintable_2[[#This Row],[Order Date]],"mmmm")</f>
        <v>December</v>
      </c>
    </row>
    <row r="2021" spans="1:12" x14ac:dyDescent="0.3">
      <c r="A2021" s="1">
        <v>41987</v>
      </c>
      <c r="B2021" s="1">
        <v>41987</v>
      </c>
      <c r="C2021" t="s">
        <v>1805</v>
      </c>
      <c r="D2021" t="s">
        <v>27</v>
      </c>
      <c r="E2021" t="s">
        <v>263</v>
      </c>
      <c r="F2021">
        <v>31.44</v>
      </c>
      <c r="G2021">
        <v>3</v>
      </c>
      <c r="H2021">
        <v>8.4887999999999995</v>
      </c>
      <c r="I2021">
        <v>0</v>
      </c>
      <c r="J2021">
        <v>2014</v>
      </c>
      <c r="K2021" t="s">
        <v>2207</v>
      </c>
      <c r="L2021" t="str">
        <f>TEXT(maintable_2[[#This Row],[Order Date]],"mmmm")</f>
        <v>December</v>
      </c>
    </row>
    <row r="2022" spans="1:12" x14ac:dyDescent="0.3">
      <c r="A2022" s="1">
        <v>41625</v>
      </c>
      <c r="B2022" s="1">
        <v>41632</v>
      </c>
      <c r="C2022" t="s">
        <v>1025</v>
      </c>
      <c r="D2022" t="s">
        <v>71</v>
      </c>
      <c r="E2022" t="s">
        <v>1744</v>
      </c>
      <c r="F2022">
        <v>563.91999999999996</v>
      </c>
      <c r="G2022">
        <v>5</v>
      </c>
      <c r="H2022">
        <v>7.0490000000000004</v>
      </c>
      <c r="I2022">
        <v>7</v>
      </c>
      <c r="J2022">
        <v>2013</v>
      </c>
      <c r="K2022" t="s">
        <v>2207</v>
      </c>
      <c r="L2022" t="str">
        <f>TEXT(maintable_2[[#This Row],[Order Date]],"mmmm")</f>
        <v>December</v>
      </c>
    </row>
    <row r="2023" spans="1:12" x14ac:dyDescent="0.3">
      <c r="A2023" s="1">
        <v>41870</v>
      </c>
      <c r="B2023" s="1">
        <v>41877</v>
      </c>
      <c r="C2023" t="s">
        <v>678</v>
      </c>
      <c r="D2023" t="s">
        <v>17</v>
      </c>
      <c r="E2023" t="s">
        <v>1806</v>
      </c>
      <c r="F2023">
        <v>2793.5279999999998</v>
      </c>
      <c r="G2023">
        <v>9</v>
      </c>
      <c r="H2023">
        <v>942.81569999999999</v>
      </c>
      <c r="I2023">
        <v>7</v>
      </c>
      <c r="J2023">
        <v>2014</v>
      </c>
      <c r="K2023" t="s">
        <v>2206</v>
      </c>
      <c r="L2023" t="str">
        <f>TEXT(maintable_2[[#This Row],[Order Date]],"mmmm")</f>
        <v>August</v>
      </c>
    </row>
    <row r="2024" spans="1:12" x14ac:dyDescent="0.3">
      <c r="A2024" s="1">
        <v>41870</v>
      </c>
      <c r="B2024" s="1">
        <v>41877</v>
      </c>
      <c r="C2024" t="s">
        <v>678</v>
      </c>
      <c r="D2024" t="s">
        <v>27</v>
      </c>
      <c r="E2024" t="s">
        <v>534</v>
      </c>
      <c r="F2024">
        <v>1000.02</v>
      </c>
      <c r="G2024">
        <v>7</v>
      </c>
      <c r="H2024">
        <v>290.00580000000002</v>
      </c>
      <c r="I2024">
        <v>7</v>
      </c>
      <c r="J2024">
        <v>2014</v>
      </c>
      <c r="K2024" t="s">
        <v>2206</v>
      </c>
      <c r="L2024" t="str">
        <f>TEXT(maintable_2[[#This Row],[Order Date]],"mmmm")</f>
        <v>August</v>
      </c>
    </row>
    <row r="2025" spans="1:12" x14ac:dyDescent="0.3">
      <c r="A2025" s="1">
        <v>41870</v>
      </c>
      <c r="B2025" s="1">
        <v>41877</v>
      </c>
      <c r="C2025" t="s">
        <v>678</v>
      </c>
      <c r="D2025" t="s">
        <v>11</v>
      </c>
      <c r="E2025" t="s">
        <v>1035</v>
      </c>
      <c r="F2025">
        <v>65.94</v>
      </c>
      <c r="G2025">
        <v>3</v>
      </c>
      <c r="H2025">
        <v>22.419599999999999</v>
      </c>
      <c r="I2025">
        <v>7</v>
      </c>
      <c r="J2025">
        <v>2014</v>
      </c>
      <c r="K2025" t="s">
        <v>2206</v>
      </c>
      <c r="L2025" t="str">
        <f>TEXT(maintable_2[[#This Row],[Order Date]],"mmmm")</f>
        <v>August</v>
      </c>
    </row>
    <row r="2026" spans="1:12" x14ac:dyDescent="0.3">
      <c r="A2026" s="1">
        <v>41956</v>
      </c>
      <c r="B2026" s="1">
        <v>41960</v>
      </c>
      <c r="C2026" t="s">
        <v>610</v>
      </c>
      <c r="D2026" t="s">
        <v>78</v>
      </c>
      <c r="E2026" t="s">
        <v>105</v>
      </c>
      <c r="F2026">
        <v>18.239999999999998</v>
      </c>
      <c r="G2026">
        <v>3</v>
      </c>
      <c r="H2026">
        <v>9.1199999999999992</v>
      </c>
      <c r="I2026">
        <v>4</v>
      </c>
      <c r="J2026">
        <v>2014</v>
      </c>
      <c r="K2026" t="s">
        <v>2209</v>
      </c>
      <c r="L2026" t="str">
        <f>TEXT(maintable_2[[#This Row],[Order Date]],"mmmm")</f>
        <v>November</v>
      </c>
    </row>
    <row r="2027" spans="1:12" x14ac:dyDescent="0.3">
      <c r="A2027" s="1">
        <v>41956</v>
      </c>
      <c r="B2027" s="1">
        <v>41960</v>
      </c>
      <c r="C2027" t="s">
        <v>610</v>
      </c>
      <c r="D2027" t="s">
        <v>19</v>
      </c>
      <c r="E2027" t="s">
        <v>303</v>
      </c>
      <c r="F2027">
        <v>76.12</v>
      </c>
      <c r="G2027">
        <v>2</v>
      </c>
      <c r="H2027">
        <v>22.0748</v>
      </c>
      <c r="I2027">
        <v>4</v>
      </c>
      <c r="J2027">
        <v>2014</v>
      </c>
      <c r="K2027" t="s">
        <v>2209</v>
      </c>
      <c r="L2027" t="str">
        <f>TEXT(maintable_2[[#This Row],[Order Date]],"mmmm")</f>
        <v>November</v>
      </c>
    </row>
    <row r="2028" spans="1:12" x14ac:dyDescent="0.3">
      <c r="A2028" s="1">
        <v>40827</v>
      </c>
      <c r="B2028" s="1">
        <v>40831</v>
      </c>
      <c r="C2028" t="s">
        <v>871</v>
      </c>
      <c r="D2028" t="s">
        <v>86</v>
      </c>
      <c r="E2028" t="s">
        <v>521</v>
      </c>
      <c r="F2028">
        <v>7.64</v>
      </c>
      <c r="G2028">
        <v>1</v>
      </c>
      <c r="H2028">
        <v>3.7435999999999998</v>
      </c>
      <c r="I2028">
        <v>4</v>
      </c>
      <c r="J2028">
        <v>2011</v>
      </c>
      <c r="K2028" t="s">
        <v>2209</v>
      </c>
      <c r="L2028" t="str">
        <f>TEXT(maintable_2[[#This Row],[Order Date]],"mmmm")</f>
        <v>October</v>
      </c>
    </row>
    <row r="2029" spans="1:12" x14ac:dyDescent="0.3">
      <c r="A2029" s="1">
        <v>41897</v>
      </c>
      <c r="B2029" s="1">
        <v>41901</v>
      </c>
      <c r="C2029" t="s">
        <v>1697</v>
      </c>
      <c r="D2029" t="s">
        <v>8</v>
      </c>
      <c r="E2029" t="s">
        <v>1807</v>
      </c>
      <c r="F2029">
        <v>56.7</v>
      </c>
      <c r="G2029">
        <v>9</v>
      </c>
      <c r="H2029">
        <v>26.082000000000001</v>
      </c>
      <c r="I2029">
        <v>4</v>
      </c>
      <c r="J2029">
        <v>2014</v>
      </c>
      <c r="K2029" t="s">
        <v>2209</v>
      </c>
      <c r="L2029" t="str">
        <f>TEXT(maintable_2[[#This Row],[Order Date]],"mmmm")</f>
        <v>September</v>
      </c>
    </row>
    <row r="2030" spans="1:12" x14ac:dyDescent="0.3">
      <c r="A2030" s="1">
        <v>41187</v>
      </c>
      <c r="B2030" s="1">
        <v>41191</v>
      </c>
      <c r="C2030" t="s">
        <v>277</v>
      </c>
      <c r="D2030" t="s">
        <v>196</v>
      </c>
      <c r="E2030" t="s">
        <v>1808</v>
      </c>
      <c r="F2030">
        <v>66.293999999999997</v>
      </c>
      <c r="G2030">
        <v>1</v>
      </c>
      <c r="H2030">
        <v>-103.86060000000001</v>
      </c>
      <c r="I2030">
        <v>4</v>
      </c>
      <c r="J2030">
        <v>2012</v>
      </c>
      <c r="K2030" t="s">
        <v>2209</v>
      </c>
      <c r="L2030" t="str">
        <f>TEXT(maintable_2[[#This Row],[Order Date]],"mmmm")</f>
        <v>October</v>
      </c>
    </row>
    <row r="2031" spans="1:12" x14ac:dyDescent="0.3">
      <c r="A2031" s="1">
        <v>41187</v>
      </c>
      <c r="B2031" s="1">
        <v>41191</v>
      </c>
      <c r="C2031" t="s">
        <v>277</v>
      </c>
      <c r="D2031" t="s">
        <v>71</v>
      </c>
      <c r="E2031" t="s">
        <v>1809</v>
      </c>
      <c r="F2031">
        <v>291.16800000000001</v>
      </c>
      <c r="G2031">
        <v>4</v>
      </c>
      <c r="H2031">
        <v>-14.558400000000001</v>
      </c>
      <c r="I2031">
        <v>4</v>
      </c>
      <c r="J2031">
        <v>2012</v>
      </c>
      <c r="K2031" t="s">
        <v>2209</v>
      </c>
      <c r="L2031" t="str">
        <f>TEXT(maintable_2[[#This Row],[Order Date]],"mmmm")</f>
        <v>October</v>
      </c>
    </row>
    <row r="2032" spans="1:12" x14ac:dyDescent="0.3">
      <c r="A2032" s="1">
        <v>41894</v>
      </c>
      <c r="B2032" s="1">
        <v>41894</v>
      </c>
      <c r="C2032" t="s">
        <v>1810</v>
      </c>
      <c r="D2032" t="s">
        <v>71</v>
      </c>
      <c r="E2032" t="s">
        <v>1811</v>
      </c>
      <c r="F2032">
        <v>177.56800000000001</v>
      </c>
      <c r="G2032">
        <v>2</v>
      </c>
      <c r="H2032">
        <v>8.8783999999999992</v>
      </c>
      <c r="I2032">
        <v>0</v>
      </c>
      <c r="J2032">
        <v>2014</v>
      </c>
      <c r="K2032" t="s">
        <v>2209</v>
      </c>
      <c r="L2032" t="str">
        <f>TEXT(maintable_2[[#This Row],[Order Date]],"mmmm")</f>
        <v>September</v>
      </c>
    </row>
    <row r="2033" spans="1:12" x14ac:dyDescent="0.3">
      <c r="A2033" s="1">
        <v>41894</v>
      </c>
      <c r="B2033" s="1">
        <v>41894</v>
      </c>
      <c r="C2033" t="s">
        <v>1810</v>
      </c>
      <c r="D2033" t="s">
        <v>44</v>
      </c>
      <c r="E2033" t="s">
        <v>300</v>
      </c>
      <c r="F2033">
        <v>19.440000000000001</v>
      </c>
      <c r="G2033">
        <v>3</v>
      </c>
      <c r="H2033">
        <v>9.3312000000000008</v>
      </c>
      <c r="I2033">
        <v>0</v>
      </c>
      <c r="J2033">
        <v>2014</v>
      </c>
      <c r="K2033" t="s">
        <v>2209</v>
      </c>
      <c r="L2033" t="str">
        <f>TEXT(maintable_2[[#This Row],[Order Date]],"mmmm")</f>
        <v>September</v>
      </c>
    </row>
    <row r="2034" spans="1:12" x14ac:dyDescent="0.3">
      <c r="A2034" s="1">
        <v>41894</v>
      </c>
      <c r="B2034" s="1">
        <v>41894</v>
      </c>
      <c r="C2034" t="s">
        <v>1810</v>
      </c>
      <c r="D2034" t="s">
        <v>44</v>
      </c>
      <c r="E2034" t="s">
        <v>301</v>
      </c>
      <c r="F2034">
        <v>71.28</v>
      </c>
      <c r="G2034">
        <v>11</v>
      </c>
      <c r="H2034">
        <v>34.214399999999998</v>
      </c>
      <c r="I2034">
        <v>0</v>
      </c>
      <c r="J2034">
        <v>2014</v>
      </c>
      <c r="K2034" t="s">
        <v>2209</v>
      </c>
      <c r="L2034" t="str">
        <f>TEXT(maintable_2[[#This Row],[Order Date]],"mmmm")</f>
        <v>September</v>
      </c>
    </row>
    <row r="2035" spans="1:12" x14ac:dyDescent="0.3">
      <c r="A2035" s="1">
        <v>41894</v>
      </c>
      <c r="B2035" s="1">
        <v>41894</v>
      </c>
      <c r="C2035" t="s">
        <v>1810</v>
      </c>
      <c r="D2035" t="s">
        <v>17</v>
      </c>
      <c r="E2035" t="s">
        <v>1272</v>
      </c>
      <c r="F2035">
        <v>1471.96</v>
      </c>
      <c r="G2035">
        <v>5</v>
      </c>
      <c r="H2035">
        <v>459.98750000000001</v>
      </c>
      <c r="I2035">
        <v>0</v>
      </c>
      <c r="J2035">
        <v>2014</v>
      </c>
      <c r="K2035" t="s">
        <v>2209</v>
      </c>
      <c r="L2035" t="str">
        <f>TEXT(maintable_2[[#This Row],[Order Date]],"mmmm")</f>
        <v>September</v>
      </c>
    </row>
    <row r="2036" spans="1:12" x14ac:dyDescent="0.3">
      <c r="A2036" s="1">
        <v>41894</v>
      </c>
      <c r="B2036" s="1">
        <v>41894</v>
      </c>
      <c r="C2036" t="s">
        <v>1810</v>
      </c>
      <c r="D2036" t="s">
        <v>15</v>
      </c>
      <c r="E2036" t="s">
        <v>1812</v>
      </c>
      <c r="F2036">
        <v>79.959999999999994</v>
      </c>
      <c r="G2036">
        <v>5</v>
      </c>
      <c r="H2036">
        <v>-17.991</v>
      </c>
      <c r="I2036">
        <v>0</v>
      </c>
      <c r="J2036">
        <v>2014</v>
      </c>
      <c r="K2036" t="s">
        <v>2209</v>
      </c>
      <c r="L2036" t="str">
        <f>TEXT(maintable_2[[#This Row],[Order Date]],"mmmm")</f>
        <v>September</v>
      </c>
    </row>
    <row r="2037" spans="1:12" x14ac:dyDescent="0.3">
      <c r="A2037" s="1">
        <v>41255</v>
      </c>
      <c r="B2037" s="1">
        <v>41259</v>
      </c>
      <c r="C2037" t="s">
        <v>1488</v>
      </c>
      <c r="D2037" t="s">
        <v>11</v>
      </c>
      <c r="E2037" t="s">
        <v>1813</v>
      </c>
      <c r="F2037">
        <v>166.5</v>
      </c>
      <c r="G2037">
        <v>3</v>
      </c>
      <c r="H2037">
        <v>21.645</v>
      </c>
      <c r="I2037">
        <v>4</v>
      </c>
      <c r="J2037">
        <v>2012</v>
      </c>
      <c r="K2037" t="s">
        <v>2207</v>
      </c>
      <c r="L2037" t="str">
        <f>TEXT(maintable_2[[#This Row],[Order Date]],"mmmm")</f>
        <v>December</v>
      </c>
    </row>
    <row r="2038" spans="1:12" x14ac:dyDescent="0.3">
      <c r="A2038" s="1">
        <v>41255</v>
      </c>
      <c r="B2038" s="1">
        <v>41259</v>
      </c>
      <c r="C2038" t="s">
        <v>1488</v>
      </c>
      <c r="D2038" t="s">
        <v>27</v>
      </c>
      <c r="E2038" t="s">
        <v>415</v>
      </c>
      <c r="F2038">
        <v>360.38</v>
      </c>
      <c r="G2038">
        <v>2</v>
      </c>
      <c r="H2038">
        <v>93.698800000000006</v>
      </c>
      <c r="I2038">
        <v>4</v>
      </c>
      <c r="J2038">
        <v>2012</v>
      </c>
      <c r="K2038" t="s">
        <v>2207</v>
      </c>
      <c r="L2038" t="str">
        <f>TEXT(maintable_2[[#This Row],[Order Date]],"mmmm")</f>
        <v>December</v>
      </c>
    </row>
    <row r="2039" spans="1:12" x14ac:dyDescent="0.3">
      <c r="A2039" s="1">
        <v>41577</v>
      </c>
      <c r="B2039" s="1">
        <v>41580</v>
      </c>
      <c r="C2039" t="s">
        <v>126</v>
      </c>
      <c r="D2039" t="s">
        <v>17</v>
      </c>
      <c r="E2039" t="s">
        <v>1814</v>
      </c>
      <c r="F2039">
        <v>11.744</v>
      </c>
      <c r="G2039">
        <v>1</v>
      </c>
      <c r="H2039">
        <v>3.8168000000000002</v>
      </c>
      <c r="I2039">
        <v>3</v>
      </c>
      <c r="J2039">
        <v>2013</v>
      </c>
      <c r="K2039" t="s">
        <v>2209</v>
      </c>
      <c r="L2039" t="str">
        <f>TEXT(maintable_2[[#This Row],[Order Date]],"mmmm")</f>
        <v>October</v>
      </c>
    </row>
    <row r="2040" spans="1:12" x14ac:dyDescent="0.3">
      <c r="A2040" s="1">
        <v>41603</v>
      </c>
      <c r="B2040" s="1">
        <v>41607</v>
      </c>
      <c r="C2040" t="s">
        <v>1815</v>
      </c>
      <c r="D2040" t="s">
        <v>81</v>
      </c>
      <c r="E2040" t="s">
        <v>1283</v>
      </c>
      <c r="F2040">
        <v>25.35</v>
      </c>
      <c r="G2040">
        <v>3</v>
      </c>
      <c r="H2040">
        <v>7.6050000000000004</v>
      </c>
      <c r="I2040">
        <v>4</v>
      </c>
      <c r="J2040">
        <v>2013</v>
      </c>
      <c r="K2040" t="s">
        <v>2209</v>
      </c>
      <c r="L2040" t="str">
        <f>TEXT(maintable_2[[#This Row],[Order Date]],"mmmm")</f>
        <v>November</v>
      </c>
    </row>
    <row r="2041" spans="1:12" x14ac:dyDescent="0.3">
      <c r="A2041" s="1">
        <v>41233</v>
      </c>
      <c r="B2041" s="1">
        <v>41238</v>
      </c>
      <c r="C2041" t="s">
        <v>1156</v>
      </c>
      <c r="D2041" t="s">
        <v>13</v>
      </c>
      <c r="E2041" t="s">
        <v>761</v>
      </c>
      <c r="F2041">
        <v>119.04</v>
      </c>
      <c r="G2041">
        <v>6</v>
      </c>
      <c r="H2041">
        <v>30.950399999999998</v>
      </c>
      <c r="I2041">
        <v>5</v>
      </c>
      <c r="J2041">
        <v>2012</v>
      </c>
      <c r="K2041" t="s">
        <v>2209</v>
      </c>
      <c r="L2041" t="str">
        <f>TEXT(maintable_2[[#This Row],[Order Date]],"mmmm")</f>
        <v>November</v>
      </c>
    </row>
    <row r="2042" spans="1:12" x14ac:dyDescent="0.3">
      <c r="A2042" s="1">
        <v>41233</v>
      </c>
      <c r="B2042" s="1">
        <v>41238</v>
      </c>
      <c r="C2042" t="s">
        <v>1156</v>
      </c>
      <c r="D2042" t="s">
        <v>11</v>
      </c>
      <c r="E2042" t="s">
        <v>1343</v>
      </c>
      <c r="F2042">
        <v>22.14</v>
      </c>
      <c r="G2042">
        <v>3</v>
      </c>
      <c r="H2042">
        <v>6.4206000000000003</v>
      </c>
      <c r="I2042">
        <v>5</v>
      </c>
      <c r="J2042">
        <v>2012</v>
      </c>
      <c r="K2042" t="s">
        <v>2209</v>
      </c>
      <c r="L2042" t="str">
        <f>TEXT(maintable_2[[#This Row],[Order Date]],"mmmm")</f>
        <v>November</v>
      </c>
    </row>
    <row r="2043" spans="1:12" x14ac:dyDescent="0.3">
      <c r="A2043" s="1">
        <v>41233</v>
      </c>
      <c r="B2043" s="1">
        <v>41238</v>
      </c>
      <c r="C2043" t="s">
        <v>1156</v>
      </c>
      <c r="D2043" t="s">
        <v>37</v>
      </c>
      <c r="E2043" t="s">
        <v>1816</v>
      </c>
      <c r="F2043">
        <v>13.98</v>
      </c>
      <c r="G2043">
        <v>2</v>
      </c>
      <c r="H2043">
        <v>6.0114000000000001</v>
      </c>
      <c r="I2043">
        <v>5</v>
      </c>
      <c r="J2043">
        <v>2012</v>
      </c>
      <c r="K2043" t="s">
        <v>2209</v>
      </c>
      <c r="L2043" t="str">
        <f>TEXT(maintable_2[[#This Row],[Order Date]],"mmmm")</f>
        <v>November</v>
      </c>
    </row>
    <row r="2044" spans="1:12" x14ac:dyDescent="0.3">
      <c r="A2044" s="1">
        <v>41041</v>
      </c>
      <c r="B2044" s="1">
        <v>41047</v>
      </c>
      <c r="C2044" t="s">
        <v>1817</v>
      </c>
      <c r="D2044" t="s">
        <v>17</v>
      </c>
      <c r="E2044" t="s">
        <v>598</v>
      </c>
      <c r="F2044">
        <v>14.592000000000001</v>
      </c>
      <c r="G2044">
        <v>3</v>
      </c>
      <c r="H2044">
        <v>4.9248000000000003</v>
      </c>
      <c r="I2044">
        <v>6</v>
      </c>
      <c r="J2044">
        <v>2012</v>
      </c>
      <c r="K2044" t="s">
        <v>2208</v>
      </c>
      <c r="L2044" t="str">
        <f>TEXT(maintable_2[[#This Row],[Order Date]],"mmmm")</f>
        <v>May</v>
      </c>
    </row>
    <row r="2045" spans="1:12" x14ac:dyDescent="0.3">
      <c r="A2045" s="1">
        <v>41976</v>
      </c>
      <c r="B2045" s="1">
        <v>41980</v>
      </c>
      <c r="C2045" t="s">
        <v>1818</v>
      </c>
      <c r="D2045" t="s">
        <v>15</v>
      </c>
      <c r="E2045" t="s">
        <v>1819</v>
      </c>
      <c r="F2045">
        <v>39.991999999999997</v>
      </c>
      <c r="G2045">
        <v>1</v>
      </c>
      <c r="H2045">
        <v>-7.9984000000000002</v>
      </c>
      <c r="I2045">
        <v>4</v>
      </c>
      <c r="J2045">
        <v>2014</v>
      </c>
      <c r="K2045" t="s">
        <v>2207</v>
      </c>
      <c r="L2045" t="str">
        <f>TEXT(maintable_2[[#This Row],[Order Date]],"mmmm")</f>
        <v>December</v>
      </c>
    </row>
    <row r="2046" spans="1:12" x14ac:dyDescent="0.3">
      <c r="A2046" s="1">
        <v>41976</v>
      </c>
      <c r="B2046" s="1">
        <v>41980</v>
      </c>
      <c r="C2046" t="s">
        <v>1818</v>
      </c>
      <c r="D2046" t="s">
        <v>71</v>
      </c>
      <c r="E2046" t="s">
        <v>1820</v>
      </c>
      <c r="F2046">
        <v>1159.056</v>
      </c>
      <c r="G2046">
        <v>9</v>
      </c>
      <c r="H2046">
        <v>43.464599999999997</v>
      </c>
      <c r="I2046">
        <v>4</v>
      </c>
      <c r="J2046">
        <v>2014</v>
      </c>
      <c r="K2046" t="s">
        <v>2207</v>
      </c>
      <c r="L2046" t="str">
        <f>TEXT(maintable_2[[#This Row],[Order Date]],"mmmm")</f>
        <v>December</v>
      </c>
    </row>
    <row r="2047" spans="1:12" x14ac:dyDescent="0.3">
      <c r="A2047" s="1">
        <v>41976</v>
      </c>
      <c r="B2047" s="1">
        <v>41980</v>
      </c>
      <c r="C2047" t="s">
        <v>1818</v>
      </c>
      <c r="D2047" t="s">
        <v>13</v>
      </c>
      <c r="E2047" t="s">
        <v>1821</v>
      </c>
      <c r="F2047">
        <v>179.9</v>
      </c>
      <c r="G2047">
        <v>5</v>
      </c>
      <c r="H2047">
        <v>44.975000000000001</v>
      </c>
      <c r="I2047">
        <v>4</v>
      </c>
      <c r="J2047">
        <v>2014</v>
      </c>
      <c r="K2047" t="s">
        <v>2207</v>
      </c>
      <c r="L2047" t="str">
        <f>TEXT(maintable_2[[#This Row],[Order Date]],"mmmm")</f>
        <v>December</v>
      </c>
    </row>
    <row r="2048" spans="1:12" x14ac:dyDescent="0.3">
      <c r="A2048" s="1">
        <v>41473</v>
      </c>
      <c r="B2048" s="1">
        <v>41478</v>
      </c>
      <c r="C2048" t="s">
        <v>951</v>
      </c>
      <c r="D2048" t="s">
        <v>11</v>
      </c>
      <c r="E2048" t="s">
        <v>1822</v>
      </c>
      <c r="F2048">
        <v>12.42</v>
      </c>
      <c r="G2048">
        <v>3</v>
      </c>
      <c r="H2048">
        <v>4.4711999999999996</v>
      </c>
      <c r="I2048">
        <v>5</v>
      </c>
      <c r="J2048">
        <v>2013</v>
      </c>
      <c r="K2048" t="s">
        <v>2206</v>
      </c>
      <c r="L2048" t="str">
        <f>TEXT(maintable_2[[#This Row],[Order Date]],"mmmm")</f>
        <v>July</v>
      </c>
    </row>
    <row r="2049" spans="1:12" x14ac:dyDescent="0.3">
      <c r="A2049" s="1">
        <v>41473</v>
      </c>
      <c r="B2049" s="1">
        <v>41478</v>
      </c>
      <c r="C2049" t="s">
        <v>951</v>
      </c>
      <c r="D2049" t="s">
        <v>37</v>
      </c>
      <c r="E2049" t="s">
        <v>1823</v>
      </c>
      <c r="F2049">
        <v>428.4</v>
      </c>
      <c r="G2049">
        <v>3</v>
      </c>
      <c r="H2049">
        <v>89.963999999999999</v>
      </c>
      <c r="I2049">
        <v>5</v>
      </c>
      <c r="J2049">
        <v>2013</v>
      </c>
      <c r="K2049" t="s">
        <v>2206</v>
      </c>
      <c r="L2049" t="str">
        <f>TEXT(maintable_2[[#This Row],[Order Date]],"mmmm")</f>
        <v>July</v>
      </c>
    </row>
    <row r="2050" spans="1:12" x14ac:dyDescent="0.3">
      <c r="A2050" s="1">
        <v>41473</v>
      </c>
      <c r="B2050" s="1">
        <v>41478</v>
      </c>
      <c r="C2050" t="s">
        <v>951</v>
      </c>
      <c r="D2050" t="s">
        <v>11</v>
      </c>
      <c r="E2050" t="s">
        <v>1320</v>
      </c>
      <c r="F2050">
        <v>24.75</v>
      </c>
      <c r="G2050">
        <v>5</v>
      </c>
      <c r="H2050">
        <v>10.89</v>
      </c>
      <c r="I2050">
        <v>5</v>
      </c>
      <c r="J2050">
        <v>2013</v>
      </c>
      <c r="K2050" t="s">
        <v>2206</v>
      </c>
      <c r="L2050" t="str">
        <f>TEXT(maintable_2[[#This Row],[Order Date]],"mmmm")</f>
        <v>July</v>
      </c>
    </row>
    <row r="2051" spans="1:12" x14ac:dyDescent="0.3">
      <c r="A2051" s="1">
        <v>41473</v>
      </c>
      <c r="B2051" s="1">
        <v>41478</v>
      </c>
      <c r="C2051" t="s">
        <v>951</v>
      </c>
      <c r="D2051" t="s">
        <v>8</v>
      </c>
      <c r="E2051" t="s">
        <v>1824</v>
      </c>
      <c r="F2051">
        <v>87.71</v>
      </c>
      <c r="G2051">
        <v>7</v>
      </c>
      <c r="H2051">
        <v>41.223700000000001</v>
      </c>
      <c r="I2051">
        <v>5</v>
      </c>
      <c r="J2051">
        <v>2013</v>
      </c>
      <c r="K2051" t="s">
        <v>2206</v>
      </c>
      <c r="L2051" t="str">
        <f>TEXT(maintable_2[[#This Row],[Order Date]],"mmmm")</f>
        <v>July</v>
      </c>
    </row>
    <row r="2052" spans="1:12" x14ac:dyDescent="0.3">
      <c r="A2052" s="1">
        <v>41473</v>
      </c>
      <c r="B2052" s="1">
        <v>41478</v>
      </c>
      <c r="C2052" t="s">
        <v>951</v>
      </c>
      <c r="D2052" t="s">
        <v>27</v>
      </c>
      <c r="E2052" t="s">
        <v>709</v>
      </c>
      <c r="F2052">
        <v>69.52</v>
      </c>
      <c r="G2052">
        <v>2</v>
      </c>
      <c r="H2052">
        <v>17.38</v>
      </c>
      <c r="I2052">
        <v>5</v>
      </c>
      <c r="J2052">
        <v>2013</v>
      </c>
      <c r="K2052" t="s">
        <v>2206</v>
      </c>
      <c r="L2052" t="str">
        <f>TEXT(maintable_2[[#This Row],[Order Date]],"mmmm")</f>
        <v>July</v>
      </c>
    </row>
    <row r="2053" spans="1:12" x14ac:dyDescent="0.3">
      <c r="A2053" s="1">
        <v>41473</v>
      </c>
      <c r="B2053" s="1">
        <v>41478</v>
      </c>
      <c r="C2053" t="s">
        <v>951</v>
      </c>
      <c r="D2053" t="s">
        <v>15</v>
      </c>
      <c r="E2053" t="s">
        <v>1825</v>
      </c>
      <c r="F2053">
        <v>20.783999999999999</v>
      </c>
      <c r="G2053">
        <v>2</v>
      </c>
      <c r="H2053">
        <v>-4.6764000000000001</v>
      </c>
      <c r="I2053">
        <v>5</v>
      </c>
      <c r="J2053">
        <v>2013</v>
      </c>
      <c r="K2053" t="s">
        <v>2206</v>
      </c>
      <c r="L2053" t="str">
        <f>TEXT(maintable_2[[#This Row],[Order Date]],"mmmm")</f>
        <v>July</v>
      </c>
    </row>
    <row r="2054" spans="1:12" x14ac:dyDescent="0.3">
      <c r="A2054" s="1">
        <v>41473</v>
      </c>
      <c r="B2054" s="1">
        <v>41478</v>
      </c>
      <c r="C2054" t="s">
        <v>951</v>
      </c>
      <c r="D2054" t="s">
        <v>17</v>
      </c>
      <c r="E2054" t="s">
        <v>577</v>
      </c>
      <c r="F2054">
        <v>12.816000000000001</v>
      </c>
      <c r="G2054">
        <v>3</v>
      </c>
      <c r="H2054">
        <v>4.1651999999999996</v>
      </c>
      <c r="I2054">
        <v>5</v>
      </c>
      <c r="J2054">
        <v>2013</v>
      </c>
      <c r="K2054" t="s">
        <v>2206</v>
      </c>
      <c r="L2054" t="str">
        <f>TEXT(maintable_2[[#This Row],[Order Date]],"mmmm")</f>
        <v>July</v>
      </c>
    </row>
    <row r="2055" spans="1:12" x14ac:dyDescent="0.3">
      <c r="A2055" s="1">
        <v>41542</v>
      </c>
      <c r="B2055" s="1">
        <v>41546</v>
      </c>
      <c r="C2055" t="s">
        <v>1542</v>
      </c>
      <c r="D2055" t="s">
        <v>86</v>
      </c>
      <c r="E2055" t="s">
        <v>1517</v>
      </c>
      <c r="F2055">
        <v>304.89999999999998</v>
      </c>
      <c r="G2055">
        <v>5</v>
      </c>
      <c r="H2055">
        <v>143.303</v>
      </c>
      <c r="I2055">
        <v>4</v>
      </c>
      <c r="J2055">
        <v>2013</v>
      </c>
      <c r="K2055" t="s">
        <v>2209</v>
      </c>
      <c r="L2055" t="str">
        <f>TEXT(maintable_2[[#This Row],[Order Date]],"mmmm")</f>
        <v>September</v>
      </c>
    </row>
    <row r="2056" spans="1:12" x14ac:dyDescent="0.3">
      <c r="A2056" s="1">
        <v>41542</v>
      </c>
      <c r="B2056" s="1">
        <v>41546</v>
      </c>
      <c r="C2056" t="s">
        <v>1542</v>
      </c>
      <c r="D2056" t="s">
        <v>71</v>
      </c>
      <c r="E2056" t="s">
        <v>1053</v>
      </c>
      <c r="F2056">
        <v>563.24</v>
      </c>
      <c r="G2056">
        <v>5</v>
      </c>
      <c r="H2056">
        <v>56.323999999999998</v>
      </c>
      <c r="I2056">
        <v>4</v>
      </c>
      <c r="J2056">
        <v>2013</v>
      </c>
      <c r="K2056" t="s">
        <v>2209</v>
      </c>
      <c r="L2056" t="str">
        <f>TEXT(maintable_2[[#This Row],[Order Date]],"mmmm")</f>
        <v>September</v>
      </c>
    </row>
    <row r="2057" spans="1:12" x14ac:dyDescent="0.3">
      <c r="A2057" s="1">
        <v>40732</v>
      </c>
      <c r="B2057" s="1">
        <v>40736</v>
      </c>
      <c r="C2057" t="s">
        <v>815</v>
      </c>
      <c r="D2057" t="s">
        <v>21</v>
      </c>
      <c r="E2057" t="s">
        <v>631</v>
      </c>
      <c r="F2057">
        <v>502.488</v>
      </c>
      <c r="G2057">
        <v>3</v>
      </c>
      <c r="H2057">
        <v>-87.935400000000001</v>
      </c>
      <c r="I2057">
        <v>4</v>
      </c>
      <c r="J2057">
        <v>2011</v>
      </c>
      <c r="K2057" t="s">
        <v>2206</v>
      </c>
      <c r="L2057" t="str">
        <f>TEXT(maintable_2[[#This Row],[Order Date]],"mmmm")</f>
        <v>July</v>
      </c>
    </row>
    <row r="2058" spans="1:12" x14ac:dyDescent="0.3">
      <c r="A2058" s="1">
        <v>40732</v>
      </c>
      <c r="B2058" s="1">
        <v>40736</v>
      </c>
      <c r="C2058" t="s">
        <v>815</v>
      </c>
      <c r="D2058" t="s">
        <v>17</v>
      </c>
      <c r="E2058" t="s">
        <v>459</v>
      </c>
      <c r="F2058">
        <v>196.70400000000001</v>
      </c>
      <c r="G2058">
        <v>6</v>
      </c>
      <c r="H2058">
        <v>68.846400000000003</v>
      </c>
      <c r="I2058">
        <v>4</v>
      </c>
      <c r="J2058">
        <v>2011</v>
      </c>
      <c r="K2058" t="s">
        <v>2206</v>
      </c>
      <c r="L2058" t="str">
        <f>TEXT(maintable_2[[#This Row],[Order Date]],"mmmm")</f>
        <v>July</v>
      </c>
    </row>
    <row r="2059" spans="1:12" x14ac:dyDescent="0.3">
      <c r="A2059" s="1">
        <v>40981</v>
      </c>
      <c r="B2059" s="1">
        <v>40986</v>
      </c>
      <c r="C2059" t="s">
        <v>1403</v>
      </c>
      <c r="D2059" t="s">
        <v>71</v>
      </c>
      <c r="E2059" t="s">
        <v>101</v>
      </c>
      <c r="F2059">
        <v>915.13599999999997</v>
      </c>
      <c r="G2059">
        <v>4</v>
      </c>
      <c r="H2059">
        <v>102.9528</v>
      </c>
      <c r="I2059">
        <v>5</v>
      </c>
      <c r="J2059">
        <v>2012</v>
      </c>
      <c r="K2059" t="s">
        <v>2208</v>
      </c>
      <c r="L2059" t="str">
        <f>TEXT(maintable_2[[#This Row],[Order Date]],"mmmm")</f>
        <v>March</v>
      </c>
    </row>
    <row r="2060" spans="1:12" x14ac:dyDescent="0.3">
      <c r="A2060" s="1">
        <v>40981</v>
      </c>
      <c r="B2060" s="1">
        <v>40986</v>
      </c>
      <c r="C2060" t="s">
        <v>1403</v>
      </c>
      <c r="D2060" t="s">
        <v>11</v>
      </c>
      <c r="E2060" t="s">
        <v>305</v>
      </c>
      <c r="F2060">
        <v>327.76</v>
      </c>
      <c r="G2060">
        <v>8</v>
      </c>
      <c r="H2060">
        <v>91.772800000000004</v>
      </c>
      <c r="I2060">
        <v>5</v>
      </c>
      <c r="J2060">
        <v>2012</v>
      </c>
      <c r="K2060" t="s">
        <v>2208</v>
      </c>
      <c r="L2060" t="str">
        <f>TEXT(maintable_2[[#This Row],[Order Date]],"mmmm")</f>
        <v>March</v>
      </c>
    </row>
    <row r="2061" spans="1:12" x14ac:dyDescent="0.3">
      <c r="A2061" s="1">
        <v>41021</v>
      </c>
      <c r="B2061" s="1">
        <v>41025</v>
      </c>
      <c r="C2061" t="s">
        <v>1826</v>
      </c>
      <c r="D2061" t="s">
        <v>15</v>
      </c>
      <c r="E2061" t="s">
        <v>420</v>
      </c>
      <c r="F2061">
        <v>88.775999999999996</v>
      </c>
      <c r="G2061">
        <v>3</v>
      </c>
      <c r="H2061">
        <v>7.7679</v>
      </c>
      <c r="I2061">
        <v>4</v>
      </c>
      <c r="J2061">
        <v>2012</v>
      </c>
      <c r="K2061" t="s">
        <v>2208</v>
      </c>
      <c r="L2061" t="str">
        <f>TEXT(maintable_2[[#This Row],[Order Date]],"mmmm")</f>
        <v>April</v>
      </c>
    </row>
    <row r="2062" spans="1:12" x14ac:dyDescent="0.3">
      <c r="A2062" s="1">
        <v>41021</v>
      </c>
      <c r="B2062" s="1">
        <v>41025</v>
      </c>
      <c r="C2062" t="s">
        <v>1826</v>
      </c>
      <c r="D2062" t="s">
        <v>13</v>
      </c>
      <c r="E2062" t="s">
        <v>1827</v>
      </c>
      <c r="F2062">
        <v>64.14</v>
      </c>
      <c r="G2062">
        <v>3</v>
      </c>
      <c r="H2062">
        <v>16.676400000000001</v>
      </c>
      <c r="I2062">
        <v>4</v>
      </c>
      <c r="J2062">
        <v>2012</v>
      </c>
      <c r="K2062" t="s">
        <v>2208</v>
      </c>
      <c r="L2062" t="str">
        <f>TEXT(maintable_2[[#This Row],[Order Date]],"mmmm")</f>
        <v>April</v>
      </c>
    </row>
    <row r="2063" spans="1:12" x14ac:dyDescent="0.3">
      <c r="A2063" s="1">
        <v>40837</v>
      </c>
      <c r="B2063" s="1">
        <v>40842</v>
      </c>
      <c r="C2063" t="s">
        <v>1828</v>
      </c>
      <c r="D2063" t="s">
        <v>17</v>
      </c>
      <c r="E2063" t="s">
        <v>1829</v>
      </c>
      <c r="F2063">
        <v>36.36</v>
      </c>
      <c r="G2063">
        <v>3</v>
      </c>
      <c r="H2063">
        <v>12.2715</v>
      </c>
      <c r="I2063">
        <v>5</v>
      </c>
      <c r="J2063">
        <v>2011</v>
      </c>
      <c r="K2063" t="s">
        <v>2209</v>
      </c>
      <c r="L2063" t="str">
        <f>TEXT(maintable_2[[#This Row],[Order Date]],"mmmm")</f>
        <v>October</v>
      </c>
    </row>
    <row r="2064" spans="1:12" x14ac:dyDescent="0.3">
      <c r="A2064" s="1">
        <v>41974</v>
      </c>
      <c r="B2064" s="1">
        <v>41977</v>
      </c>
      <c r="C2064" t="s">
        <v>910</v>
      </c>
      <c r="D2064" t="s">
        <v>11</v>
      </c>
      <c r="E2064" t="s">
        <v>1830</v>
      </c>
      <c r="F2064">
        <v>25.83</v>
      </c>
      <c r="G2064">
        <v>3</v>
      </c>
      <c r="H2064">
        <v>9.5571000000000002</v>
      </c>
      <c r="I2064">
        <v>3</v>
      </c>
      <c r="J2064">
        <v>2014</v>
      </c>
      <c r="K2064" t="s">
        <v>2209</v>
      </c>
      <c r="L2064" t="str">
        <f>TEXT(maintable_2[[#This Row],[Order Date]],"mmmm")</f>
        <v>December</v>
      </c>
    </row>
    <row r="2065" spans="1:12" x14ac:dyDescent="0.3">
      <c r="A2065" s="1">
        <v>41583</v>
      </c>
      <c r="B2065" s="1">
        <v>41585</v>
      </c>
      <c r="C2065" t="s">
        <v>1379</v>
      </c>
      <c r="D2065" t="s">
        <v>81</v>
      </c>
      <c r="E2065" t="s">
        <v>1318</v>
      </c>
      <c r="F2065">
        <v>17.584</v>
      </c>
      <c r="G2065">
        <v>7</v>
      </c>
      <c r="H2065">
        <v>-4.1761999999999997</v>
      </c>
      <c r="I2065">
        <v>2</v>
      </c>
      <c r="J2065">
        <v>2013</v>
      </c>
      <c r="K2065" t="s">
        <v>2209</v>
      </c>
      <c r="L2065" t="str">
        <f>TEXT(maintable_2[[#This Row],[Order Date]],"mmmm")</f>
        <v>November</v>
      </c>
    </row>
    <row r="2066" spans="1:12" x14ac:dyDescent="0.3">
      <c r="A2066" s="1">
        <v>41583</v>
      </c>
      <c r="B2066" s="1">
        <v>41585</v>
      </c>
      <c r="C2066" t="s">
        <v>1379</v>
      </c>
      <c r="D2066" t="s">
        <v>71</v>
      </c>
      <c r="E2066" t="s">
        <v>1831</v>
      </c>
      <c r="F2066">
        <v>104.78400000000001</v>
      </c>
      <c r="G2066">
        <v>1</v>
      </c>
      <c r="H2066">
        <v>-14.4078</v>
      </c>
      <c r="I2066">
        <v>2</v>
      </c>
      <c r="J2066">
        <v>2013</v>
      </c>
      <c r="K2066" t="s">
        <v>2209</v>
      </c>
      <c r="L2066" t="str">
        <f>TEXT(maintable_2[[#This Row],[Order Date]],"mmmm")</f>
        <v>November</v>
      </c>
    </row>
    <row r="2067" spans="1:12" x14ac:dyDescent="0.3">
      <c r="A2067" s="1">
        <v>41583</v>
      </c>
      <c r="B2067" s="1">
        <v>41585</v>
      </c>
      <c r="C2067" t="s">
        <v>1379</v>
      </c>
      <c r="D2067" t="s">
        <v>44</v>
      </c>
      <c r="E2067" t="s">
        <v>1832</v>
      </c>
      <c r="F2067">
        <v>47.951999999999998</v>
      </c>
      <c r="G2067">
        <v>3</v>
      </c>
      <c r="H2067">
        <v>16.783200000000001</v>
      </c>
      <c r="I2067">
        <v>2</v>
      </c>
      <c r="J2067">
        <v>2013</v>
      </c>
      <c r="K2067" t="s">
        <v>2209</v>
      </c>
      <c r="L2067" t="str">
        <f>TEXT(maintable_2[[#This Row],[Order Date]],"mmmm")</f>
        <v>November</v>
      </c>
    </row>
    <row r="2068" spans="1:12" x14ac:dyDescent="0.3">
      <c r="A2068" s="1">
        <v>41583</v>
      </c>
      <c r="B2068" s="1">
        <v>41585</v>
      </c>
      <c r="C2068" t="s">
        <v>1379</v>
      </c>
      <c r="D2068" t="s">
        <v>71</v>
      </c>
      <c r="E2068" t="s">
        <v>1381</v>
      </c>
      <c r="F2068">
        <v>650.35199999999998</v>
      </c>
      <c r="G2068">
        <v>3</v>
      </c>
      <c r="H2068">
        <v>-97.552800000000005</v>
      </c>
      <c r="I2068">
        <v>2</v>
      </c>
      <c r="J2068">
        <v>2013</v>
      </c>
      <c r="K2068" t="s">
        <v>2209</v>
      </c>
      <c r="L2068" t="str">
        <f>TEXT(maintable_2[[#This Row],[Order Date]],"mmmm")</f>
        <v>November</v>
      </c>
    </row>
    <row r="2069" spans="1:12" x14ac:dyDescent="0.3">
      <c r="A2069" s="1">
        <v>41583</v>
      </c>
      <c r="B2069" s="1">
        <v>41585</v>
      </c>
      <c r="C2069" t="s">
        <v>1379</v>
      </c>
      <c r="D2069" t="s">
        <v>8</v>
      </c>
      <c r="E2069" t="s">
        <v>681</v>
      </c>
      <c r="F2069">
        <v>629.18399999999997</v>
      </c>
      <c r="G2069">
        <v>8</v>
      </c>
      <c r="H2069">
        <v>228.07919999999999</v>
      </c>
      <c r="I2069">
        <v>2</v>
      </c>
      <c r="J2069">
        <v>2013</v>
      </c>
      <c r="K2069" t="s">
        <v>2209</v>
      </c>
      <c r="L2069" t="str">
        <f>TEXT(maintable_2[[#This Row],[Order Date]],"mmmm")</f>
        <v>November</v>
      </c>
    </row>
    <row r="2070" spans="1:12" x14ac:dyDescent="0.3">
      <c r="A2070" s="1">
        <v>41583</v>
      </c>
      <c r="B2070" s="1">
        <v>41585</v>
      </c>
      <c r="C2070" t="s">
        <v>1379</v>
      </c>
      <c r="D2070" t="s">
        <v>44</v>
      </c>
      <c r="E2070" t="s">
        <v>712</v>
      </c>
      <c r="F2070">
        <v>15.176</v>
      </c>
      <c r="G2070">
        <v>1</v>
      </c>
      <c r="H2070">
        <v>5.3116000000000003</v>
      </c>
      <c r="I2070">
        <v>2</v>
      </c>
      <c r="J2070">
        <v>2013</v>
      </c>
      <c r="K2070" t="s">
        <v>2209</v>
      </c>
      <c r="L2070" t="str">
        <f>TEXT(maintable_2[[#This Row],[Order Date]],"mmmm")</f>
        <v>November</v>
      </c>
    </row>
    <row r="2071" spans="1:12" x14ac:dyDescent="0.3">
      <c r="A2071" s="1">
        <v>40797</v>
      </c>
      <c r="B2071" s="1">
        <v>40802</v>
      </c>
      <c r="C2071" t="s">
        <v>1833</v>
      </c>
      <c r="D2071" t="s">
        <v>11</v>
      </c>
      <c r="E2071" t="s">
        <v>63</v>
      </c>
      <c r="F2071">
        <v>127.95</v>
      </c>
      <c r="G2071">
        <v>3</v>
      </c>
      <c r="H2071">
        <v>21.7515</v>
      </c>
      <c r="I2071">
        <v>5</v>
      </c>
      <c r="J2071">
        <v>2011</v>
      </c>
      <c r="K2071" t="s">
        <v>2209</v>
      </c>
      <c r="L2071" t="str">
        <f>TEXT(maintable_2[[#This Row],[Order Date]],"mmmm")</f>
        <v>September</v>
      </c>
    </row>
    <row r="2072" spans="1:12" x14ac:dyDescent="0.3">
      <c r="A2072" s="1">
        <v>41969</v>
      </c>
      <c r="B2072" s="1">
        <v>41973</v>
      </c>
      <c r="C2072" t="s">
        <v>656</v>
      </c>
      <c r="D2072" t="s">
        <v>15</v>
      </c>
      <c r="E2072" t="s">
        <v>1401</v>
      </c>
      <c r="F2072">
        <v>39.96</v>
      </c>
      <c r="G2072">
        <v>5</v>
      </c>
      <c r="H2072">
        <v>3.4965000000000002</v>
      </c>
      <c r="I2072">
        <v>4</v>
      </c>
      <c r="J2072">
        <v>2014</v>
      </c>
      <c r="K2072" t="s">
        <v>2209</v>
      </c>
      <c r="L2072" t="str">
        <f>TEXT(maintable_2[[#This Row],[Order Date]],"mmmm")</f>
        <v>November</v>
      </c>
    </row>
    <row r="2073" spans="1:12" x14ac:dyDescent="0.3">
      <c r="A2073" s="1">
        <v>41969</v>
      </c>
      <c r="B2073" s="1">
        <v>41973</v>
      </c>
      <c r="C2073" t="s">
        <v>656</v>
      </c>
      <c r="D2073" t="s">
        <v>44</v>
      </c>
      <c r="E2073" t="s">
        <v>673</v>
      </c>
      <c r="F2073">
        <v>34.08</v>
      </c>
      <c r="G2073">
        <v>6</v>
      </c>
      <c r="H2073">
        <v>15.336</v>
      </c>
      <c r="I2073">
        <v>4</v>
      </c>
      <c r="J2073">
        <v>2014</v>
      </c>
      <c r="K2073" t="s">
        <v>2209</v>
      </c>
      <c r="L2073" t="str">
        <f>TEXT(maintable_2[[#This Row],[Order Date]],"mmmm")</f>
        <v>November</v>
      </c>
    </row>
    <row r="2074" spans="1:12" x14ac:dyDescent="0.3">
      <c r="A2074" s="1">
        <v>41211</v>
      </c>
      <c r="B2074" s="1">
        <v>41215</v>
      </c>
      <c r="C2074" t="s">
        <v>1834</v>
      </c>
      <c r="D2074" t="s">
        <v>44</v>
      </c>
      <c r="E2074" t="s">
        <v>548</v>
      </c>
      <c r="F2074">
        <v>33.4</v>
      </c>
      <c r="G2074">
        <v>5</v>
      </c>
      <c r="H2074">
        <v>16.032</v>
      </c>
      <c r="I2074">
        <v>4</v>
      </c>
      <c r="J2074">
        <v>2012</v>
      </c>
      <c r="K2074" t="s">
        <v>2209</v>
      </c>
      <c r="L2074" t="str">
        <f>TEXT(maintable_2[[#This Row],[Order Date]],"mmmm")</f>
        <v>October</v>
      </c>
    </row>
    <row r="2075" spans="1:12" x14ac:dyDescent="0.3">
      <c r="A2075" s="1">
        <v>41211</v>
      </c>
      <c r="B2075" s="1">
        <v>41215</v>
      </c>
      <c r="C2075" t="s">
        <v>1834</v>
      </c>
      <c r="D2075" t="s">
        <v>86</v>
      </c>
      <c r="E2075" t="s">
        <v>1608</v>
      </c>
      <c r="F2075">
        <v>210.84</v>
      </c>
      <c r="G2075">
        <v>4</v>
      </c>
      <c r="H2075">
        <v>103.3116</v>
      </c>
      <c r="I2075">
        <v>4</v>
      </c>
      <c r="J2075">
        <v>2012</v>
      </c>
      <c r="K2075" t="s">
        <v>2209</v>
      </c>
      <c r="L2075" t="str">
        <f>TEXT(maintable_2[[#This Row],[Order Date]],"mmmm")</f>
        <v>October</v>
      </c>
    </row>
    <row r="2076" spans="1:12" x14ac:dyDescent="0.3">
      <c r="A2076" s="1">
        <v>41517</v>
      </c>
      <c r="B2076" s="1">
        <v>41524</v>
      </c>
      <c r="C2076" t="s">
        <v>1387</v>
      </c>
      <c r="D2076" t="s">
        <v>11</v>
      </c>
      <c r="E2076" t="s">
        <v>1366</v>
      </c>
      <c r="F2076">
        <v>47.04</v>
      </c>
      <c r="G2076">
        <v>4</v>
      </c>
      <c r="H2076">
        <v>15.993600000000001</v>
      </c>
      <c r="I2076">
        <v>7</v>
      </c>
      <c r="J2076">
        <v>2013</v>
      </c>
      <c r="K2076" t="s">
        <v>2206</v>
      </c>
      <c r="L2076" t="str">
        <f>TEXT(maintable_2[[#This Row],[Order Date]],"mmmm")</f>
        <v>August</v>
      </c>
    </row>
    <row r="2077" spans="1:12" x14ac:dyDescent="0.3">
      <c r="A2077" s="1">
        <v>41517</v>
      </c>
      <c r="B2077" s="1">
        <v>41524</v>
      </c>
      <c r="C2077" t="s">
        <v>1387</v>
      </c>
      <c r="D2077" t="s">
        <v>15</v>
      </c>
      <c r="E2077" t="s">
        <v>1835</v>
      </c>
      <c r="F2077">
        <v>339.96</v>
      </c>
      <c r="G2077">
        <v>5</v>
      </c>
      <c r="H2077">
        <v>42.494999999999997</v>
      </c>
      <c r="I2077">
        <v>7</v>
      </c>
      <c r="J2077">
        <v>2013</v>
      </c>
      <c r="K2077" t="s">
        <v>2206</v>
      </c>
      <c r="L2077" t="str">
        <f>TEXT(maintable_2[[#This Row],[Order Date]],"mmmm")</f>
        <v>August</v>
      </c>
    </row>
    <row r="2078" spans="1:12" x14ac:dyDescent="0.3">
      <c r="A2078" s="1">
        <v>41030</v>
      </c>
      <c r="B2078" s="1">
        <v>41035</v>
      </c>
      <c r="C2078" t="s">
        <v>1836</v>
      </c>
      <c r="D2078" t="s">
        <v>17</v>
      </c>
      <c r="E2078" t="s">
        <v>1837</v>
      </c>
      <c r="F2078">
        <v>12.176</v>
      </c>
      <c r="G2078">
        <v>1</v>
      </c>
      <c r="H2078">
        <v>4.4138000000000002</v>
      </c>
      <c r="I2078">
        <v>5</v>
      </c>
      <c r="J2078">
        <v>2012</v>
      </c>
      <c r="K2078" t="s">
        <v>2208</v>
      </c>
      <c r="L2078" t="str">
        <f>TEXT(maintable_2[[#This Row],[Order Date]],"mmmm")</f>
        <v>May</v>
      </c>
    </row>
    <row r="2079" spans="1:12" x14ac:dyDescent="0.3">
      <c r="A2079" s="1">
        <v>41030</v>
      </c>
      <c r="B2079" s="1">
        <v>41035</v>
      </c>
      <c r="C2079" t="s">
        <v>1836</v>
      </c>
      <c r="D2079" t="s">
        <v>27</v>
      </c>
      <c r="E2079" t="s">
        <v>1013</v>
      </c>
      <c r="F2079">
        <v>37.32</v>
      </c>
      <c r="G2079">
        <v>3</v>
      </c>
      <c r="H2079">
        <v>10.4496</v>
      </c>
      <c r="I2079">
        <v>5</v>
      </c>
      <c r="J2079">
        <v>2012</v>
      </c>
      <c r="K2079" t="s">
        <v>2208</v>
      </c>
      <c r="L2079" t="str">
        <f>TEXT(maintable_2[[#This Row],[Order Date]],"mmmm")</f>
        <v>May</v>
      </c>
    </row>
    <row r="2080" spans="1:12" x14ac:dyDescent="0.3">
      <c r="A2080" s="1">
        <v>41030</v>
      </c>
      <c r="B2080" s="1">
        <v>41035</v>
      </c>
      <c r="C2080" t="s">
        <v>1836</v>
      </c>
      <c r="D2080" t="s">
        <v>81</v>
      </c>
      <c r="E2080" t="s">
        <v>1838</v>
      </c>
      <c r="F2080">
        <v>35.06</v>
      </c>
      <c r="G2080">
        <v>2</v>
      </c>
      <c r="H2080">
        <v>10.518000000000001</v>
      </c>
      <c r="I2080">
        <v>5</v>
      </c>
      <c r="J2080">
        <v>2012</v>
      </c>
      <c r="K2080" t="s">
        <v>2208</v>
      </c>
      <c r="L2080" t="str">
        <f>TEXT(maintable_2[[#This Row],[Order Date]],"mmmm")</f>
        <v>May</v>
      </c>
    </row>
    <row r="2081" spans="1:12" x14ac:dyDescent="0.3">
      <c r="A2081" s="1">
        <v>41663</v>
      </c>
      <c r="B2081" s="1">
        <v>41668</v>
      </c>
      <c r="C2081" t="s">
        <v>1410</v>
      </c>
      <c r="D2081" t="s">
        <v>17</v>
      </c>
      <c r="E2081" t="s">
        <v>1839</v>
      </c>
      <c r="F2081">
        <v>19.68</v>
      </c>
      <c r="G2081">
        <v>5</v>
      </c>
      <c r="H2081">
        <v>6.8879999999999999</v>
      </c>
      <c r="I2081">
        <v>5</v>
      </c>
      <c r="J2081">
        <v>2014</v>
      </c>
      <c r="K2081" t="s">
        <v>2210</v>
      </c>
      <c r="L2081" t="str">
        <f>TEXT(maintable_2[[#This Row],[Order Date]],"mmmm")</f>
        <v>January</v>
      </c>
    </row>
    <row r="2082" spans="1:12" x14ac:dyDescent="0.3">
      <c r="A2082" s="1">
        <v>41663</v>
      </c>
      <c r="B2082" s="1">
        <v>41668</v>
      </c>
      <c r="C2082" t="s">
        <v>1410</v>
      </c>
      <c r="D2082" t="s">
        <v>44</v>
      </c>
      <c r="E2082" t="s">
        <v>1840</v>
      </c>
      <c r="F2082">
        <v>25.92</v>
      </c>
      <c r="G2082">
        <v>4</v>
      </c>
      <c r="H2082">
        <v>12.441599999999999</v>
      </c>
      <c r="I2082">
        <v>5</v>
      </c>
      <c r="J2082">
        <v>2014</v>
      </c>
      <c r="K2082" t="s">
        <v>2210</v>
      </c>
      <c r="L2082" t="str">
        <f>TEXT(maintable_2[[#This Row],[Order Date]],"mmmm")</f>
        <v>January</v>
      </c>
    </row>
    <row r="2083" spans="1:12" x14ac:dyDescent="0.3">
      <c r="A2083" s="1">
        <v>41663</v>
      </c>
      <c r="B2083" s="1">
        <v>41668</v>
      </c>
      <c r="C2083" t="s">
        <v>1410</v>
      </c>
      <c r="D2083" t="s">
        <v>44</v>
      </c>
      <c r="E2083" t="s">
        <v>616</v>
      </c>
      <c r="F2083">
        <v>6.48</v>
      </c>
      <c r="G2083">
        <v>1</v>
      </c>
      <c r="H2083">
        <v>3.1103999999999998</v>
      </c>
      <c r="I2083">
        <v>5</v>
      </c>
      <c r="J2083">
        <v>2014</v>
      </c>
      <c r="K2083" t="s">
        <v>2210</v>
      </c>
      <c r="L2083" t="str">
        <f>TEXT(maintable_2[[#This Row],[Order Date]],"mmmm")</f>
        <v>January</v>
      </c>
    </row>
    <row r="2084" spans="1:12" x14ac:dyDescent="0.3">
      <c r="A2084" s="1">
        <v>41663</v>
      </c>
      <c r="B2084" s="1">
        <v>41668</v>
      </c>
      <c r="C2084" t="s">
        <v>1410</v>
      </c>
      <c r="D2084" t="s">
        <v>15</v>
      </c>
      <c r="E2084" t="s">
        <v>1736</v>
      </c>
      <c r="F2084">
        <v>86.352000000000004</v>
      </c>
      <c r="G2084">
        <v>6</v>
      </c>
      <c r="H2084">
        <v>8.6351999999999993</v>
      </c>
      <c r="I2084">
        <v>5</v>
      </c>
      <c r="J2084">
        <v>2014</v>
      </c>
      <c r="K2084" t="s">
        <v>2210</v>
      </c>
      <c r="L2084" t="str">
        <f>TEXT(maintable_2[[#This Row],[Order Date]],"mmmm")</f>
        <v>January</v>
      </c>
    </row>
    <row r="2085" spans="1:12" x14ac:dyDescent="0.3">
      <c r="A2085" s="1">
        <v>41253</v>
      </c>
      <c r="B2085" s="1">
        <v>41258</v>
      </c>
      <c r="C2085" t="s">
        <v>1841</v>
      </c>
      <c r="D2085" t="s">
        <v>13</v>
      </c>
      <c r="E2085" t="s">
        <v>1385</v>
      </c>
      <c r="F2085">
        <v>56.3</v>
      </c>
      <c r="G2085">
        <v>2</v>
      </c>
      <c r="H2085">
        <v>15.763999999999999</v>
      </c>
      <c r="I2085">
        <v>5</v>
      </c>
      <c r="J2085">
        <v>2012</v>
      </c>
      <c r="K2085" t="s">
        <v>2207</v>
      </c>
      <c r="L2085" t="str">
        <f>TEXT(maintable_2[[#This Row],[Order Date]],"mmmm")</f>
        <v>December</v>
      </c>
    </row>
    <row r="2086" spans="1:12" x14ac:dyDescent="0.3">
      <c r="A2086" s="1">
        <v>40872</v>
      </c>
      <c r="B2086" s="1">
        <v>40877</v>
      </c>
      <c r="C2086" t="s">
        <v>1042</v>
      </c>
      <c r="D2086" t="s">
        <v>13</v>
      </c>
      <c r="E2086" t="s">
        <v>1312</v>
      </c>
      <c r="F2086">
        <v>51.015999999999998</v>
      </c>
      <c r="G2086">
        <v>7</v>
      </c>
      <c r="H2086">
        <v>8.2901000000000007</v>
      </c>
      <c r="I2086">
        <v>5</v>
      </c>
      <c r="J2086">
        <v>2011</v>
      </c>
      <c r="K2086" t="s">
        <v>2209</v>
      </c>
      <c r="L2086" t="str">
        <f>TEXT(maintable_2[[#This Row],[Order Date]],"mmmm")</f>
        <v>November</v>
      </c>
    </row>
    <row r="2087" spans="1:12" x14ac:dyDescent="0.3">
      <c r="A2087" s="1">
        <v>41965</v>
      </c>
      <c r="B2087" s="1">
        <v>41969</v>
      </c>
      <c r="C2087" t="s">
        <v>1681</v>
      </c>
      <c r="D2087" t="s">
        <v>17</v>
      </c>
      <c r="E2087" t="s">
        <v>243</v>
      </c>
      <c r="F2087">
        <v>150.80000000000001</v>
      </c>
      <c r="G2087">
        <v>5</v>
      </c>
      <c r="H2087">
        <v>56.55</v>
      </c>
      <c r="I2087">
        <v>4</v>
      </c>
      <c r="J2087">
        <v>2014</v>
      </c>
      <c r="K2087" t="s">
        <v>2209</v>
      </c>
      <c r="L2087" t="str">
        <f>TEXT(maintable_2[[#This Row],[Order Date]],"mmmm")</f>
        <v>November</v>
      </c>
    </row>
    <row r="2088" spans="1:12" x14ac:dyDescent="0.3">
      <c r="A2088" s="1">
        <v>41965</v>
      </c>
      <c r="B2088" s="1">
        <v>41969</v>
      </c>
      <c r="C2088" t="s">
        <v>1681</v>
      </c>
      <c r="D2088" t="s">
        <v>494</v>
      </c>
      <c r="E2088" t="s">
        <v>1842</v>
      </c>
      <c r="F2088">
        <v>1039.992</v>
      </c>
      <c r="G2088">
        <v>1</v>
      </c>
      <c r="H2088">
        <v>103.9992</v>
      </c>
      <c r="I2088">
        <v>4</v>
      </c>
      <c r="J2088">
        <v>2014</v>
      </c>
      <c r="K2088" t="s">
        <v>2209</v>
      </c>
      <c r="L2088" t="str">
        <f>TEXT(maintable_2[[#This Row],[Order Date]],"mmmm")</f>
        <v>November</v>
      </c>
    </row>
    <row r="2089" spans="1:12" x14ac:dyDescent="0.3">
      <c r="A2089" s="1">
        <v>41965</v>
      </c>
      <c r="B2089" s="1">
        <v>41969</v>
      </c>
      <c r="C2089" t="s">
        <v>1681</v>
      </c>
      <c r="D2089" t="s">
        <v>44</v>
      </c>
      <c r="E2089" t="s">
        <v>1843</v>
      </c>
      <c r="F2089">
        <v>51.84</v>
      </c>
      <c r="G2089">
        <v>8</v>
      </c>
      <c r="H2089">
        <v>24.883199999999999</v>
      </c>
      <c r="I2089">
        <v>4</v>
      </c>
      <c r="J2089">
        <v>2014</v>
      </c>
      <c r="K2089" t="s">
        <v>2209</v>
      </c>
      <c r="L2089" t="str">
        <f>TEXT(maintable_2[[#This Row],[Order Date]],"mmmm")</f>
        <v>November</v>
      </c>
    </row>
    <row r="2090" spans="1:12" x14ac:dyDescent="0.3">
      <c r="A2090" s="1">
        <v>41779</v>
      </c>
      <c r="B2090" s="1">
        <v>41784</v>
      </c>
      <c r="C2090" t="s">
        <v>750</v>
      </c>
      <c r="D2090" t="s">
        <v>17</v>
      </c>
      <c r="E2090" t="s">
        <v>792</v>
      </c>
      <c r="F2090">
        <v>133.12</v>
      </c>
      <c r="G2090">
        <v>5</v>
      </c>
      <c r="H2090">
        <v>49.92</v>
      </c>
      <c r="I2090">
        <v>5</v>
      </c>
      <c r="J2090">
        <v>2014</v>
      </c>
      <c r="K2090" t="s">
        <v>2208</v>
      </c>
      <c r="L2090" t="str">
        <f>TEXT(maintable_2[[#This Row],[Order Date]],"mmmm")</f>
        <v>May</v>
      </c>
    </row>
    <row r="2091" spans="1:12" x14ac:dyDescent="0.3">
      <c r="A2091" s="1">
        <v>41624</v>
      </c>
      <c r="B2091" s="1">
        <v>41631</v>
      </c>
      <c r="C2091" t="s">
        <v>763</v>
      </c>
      <c r="D2091" t="s">
        <v>11</v>
      </c>
      <c r="E2091" t="s">
        <v>1343</v>
      </c>
      <c r="F2091">
        <v>14.76</v>
      </c>
      <c r="G2091">
        <v>2</v>
      </c>
      <c r="H2091">
        <v>4.2804000000000002</v>
      </c>
      <c r="I2091">
        <v>7</v>
      </c>
      <c r="J2091">
        <v>2013</v>
      </c>
      <c r="K2091" t="s">
        <v>2207</v>
      </c>
      <c r="L2091" t="str">
        <f>TEXT(maintable_2[[#This Row],[Order Date]],"mmmm")</f>
        <v>December</v>
      </c>
    </row>
    <row r="2092" spans="1:12" x14ac:dyDescent="0.3">
      <c r="A2092" s="1">
        <v>40641</v>
      </c>
      <c r="B2092" s="1">
        <v>40646</v>
      </c>
      <c r="C2092" t="s">
        <v>629</v>
      </c>
      <c r="D2092" t="s">
        <v>78</v>
      </c>
      <c r="E2092" t="s">
        <v>1844</v>
      </c>
      <c r="F2092">
        <v>49.792000000000002</v>
      </c>
      <c r="G2092">
        <v>8</v>
      </c>
      <c r="H2092">
        <v>-11.8256</v>
      </c>
      <c r="I2092">
        <v>5</v>
      </c>
      <c r="J2092">
        <v>2011</v>
      </c>
      <c r="K2092" t="s">
        <v>2208</v>
      </c>
      <c r="L2092" t="str">
        <f>TEXT(maintable_2[[#This Row],[Order Date]],"mmmm")</f>
        <v>April</v>
      </c>
    </row>
    <row r="2093" spans="1:12" x14ac:dyDescent="0.3">
      <c r="A2093" s="1">
        <v>41883</v>
      </c>
      <c r="B2093" s="1">
        <v>41885</v>
      </c>
      <c r="C2093" t="s">
        <v>1845</v>
      </c>
      <c r="D2093" t="s">
        <v>71</v>
      </c>
      <c r="E2093" t="s">
        <v>516</v>
      </c>
      <c r="F2093">
        <v>569.56799999999998</v>
      </c>
      <c r="G2093">
        <v>2</v>
      </c>
      <c r="H2093">
        <v>7.1196000000000002</v>
      </c>
      <c r="I2093">
        <v>2</v>
      </c>
      <c r="J2093">
        <v>2014</v>
      </c>
      <c r="K2093" t="s">
        <v>2206</v>
      </c>
      <c r="L2093" t="str">
        <f>TEXT(maintable_2[[#This Row],[Order Date]],"mmmm")</f>
        <v>September</v>
      </c>
    </row>
    <row r="2094" spans="1:12" x14ac:dyDescent="0.3">
      <c r="A2094" s="1">
        <v>41883</v>
      </c>
      <c r="B2094" s="1">
        <v>41885</v>
      </c>
      <c r="C2094" t="s">
        <v>1845</v>
      </c>
      <c r="D2094" t="s">
        <v>27</v>
      </c>
      <c r="E2094" t="s">
        <v>52</v>
      </c>
      <c r="F2094">
        <v>149.72999999999999</v>
      </c>
      <c r="G2094">
        <v>7</v>
      </c>
      <c r="H2094">
        <v>43.421700000000001</v>
      </c>
      <c r="I2094">
        <v>2</v>
      </c>
      <c r="J2094">
        <v>2014</v>
      </c>
      <c r="K2094" t="s">
        <v>2206</v>
      </c>
      <c r="L2094" t="str">
        <f>TEXT(maintable_2[[#This Row],[Order Date]],"mmmm")</f>
        <v>September</v>
      </c>
    </row>
    <row r="2095" spans="1:12" x14ac:dyDescent="0.3">
      <c r="A2095" s="1">
        <v>41873</v>
      </c>
      <c r="B2095" s="1">
        <v>41873</v>
      </c>
      <c r="C2095" t="s">
        <v>489</v>
      </c>
      <c r="D2095" t="s">
        <v>44</v>
      </c>
      <c r="E2095" t="s">
        <v>1197</v>
      </c>
      <c r="F2095">
        <v>83.88</v>
      </c>
      <c r="G2095">
        <v>1</v>
      </c>
      <c r="H2095">
        <v>29.358000000000001</v>
      </c>
      <c r="I2095">
        <v>0</v>
      </c>
      <c r="J2095">
        <v>2014</v>
      </c>
      <c r="K2095" t="s">
        <v>2206</v>
      </c>
      <c r="L2095" t="str">
        <f>TEXT(maintable_2[[#This Row],[Order Date]],"mmmm")</f>
        <v>August</v>
      </c>
    </row>
    <row r="2096" spans="1:12" x14ac:dyDescent="0.3">
      <c r="A2096" s="1">
        <v>40750</v>
      </c>
      <c r="B2096" s="1">
        <v>40756</v>
      </c>
      <c r="C2096" t="s">
        <v>1357</v>
      </c>
      <c r="D2096" t="s">
        <v>37</v>
      </c>
      <c r="E2096" t="s">
        <v>1846</v>
      </c>
      <c r="F2096">
        <v>111.93</v>
      </c>
      <c r="G2096">
        <v>7</v>
      </c>
      <c r="H2096">
        <v>34.698300000000003</v>
      </c>
      <c r="I2096">
        <v>6</v>
      </c>
      <c r="J2096">
        <v>2011</v>
      </c>
      <c r="K2096" t="s">
        <v>2206</v>
      </c>
      <c r="L2096" t="str">
        <f>TEXT(maintable_2[[#This Row],[Order Date]],"mmmm")</f>
        <v>July</v>
      </c>
    </row>
    <row r="2097" spans="1:12" x14ac:dyDescent="0.3">
      <c r="A2097" s="1">
        <v>41206</v>
      </c>
      <c r="B2097" s="1">
        <v>41209</v>
      </c>
      <c r="C2097" t="s">
        <v>1847</v>
      </c>
      <c r="D2097" t="s">
        <v>71</v>
      </c>
      <c r="E2097" t="s">
        <v>198</v>
      </c>
      <c r="F2097">
        <v>454.27199999999999</v>
      </c>
      <c r="G2097">
        <v>8</v>
      </c>
      <c r="H2097">
        <v>-73.819199999999995</v>
      </c>
      <c r="I2097">
        <v>3</v>
      </c>
      <c r="J2097">
        <v>2012</v>
      </c>
      <c r="K2097" t="s">
        <v>2209</v>
      </c>
      <c r="L2097" t="str">
        <f>TEXT(maintable_2[[#This Row],[Order Date]],"mmmm")</f>
        <v>October</v>
      </c>
    </row>
    <row r="2098" spans="1:12" x14ac:dyDescent="0.3">
      <c r="A2098" s="1">
        <v>41787</v>
      </c>
      <c r="B2098" s="1">
        <v>41789</v>
      </c>
      <c r="C2098" t="s">
        <v>683</v>
      </c>
      <c r="D2098" t="s">
        <v>11</v>
      </c>
      <c r="E2098" t="s">
        <v>1110</v>
      </c>
      <c r="F2098">
        <v>35</v>
      </c>
      <c r="G2098">
        <v>4</v>
      </c>
      <c r="H2098">
        <v>14.7</v>
      </c>
      <c r="I2098">
        <v>2</v>
      </c>
      <c r="J2098">
        <v>2014</v>
      </c>
      <c r="K2098" t="s">
        <v>2208</v>
      </c>
      <c r="L2098" t="str">
        <f>TEXT(maintable_2[[#This Row],[Order Date]],"mmmm")</f>
        <v>May</v>
      </c>
    </row>
    <row r="2099" spans="1:12" x14ac:dyDescent="0.3">
      <c r="A2099" s="1">
        <v>41787</v>
      </c>
      <c r="B2099" s="1">
        <v>41789</v>
      </c>
      <c r="C2099" t="s">
        <v>683</v>
      </c>
      <c r="D2099" t="s">
        <v>27</v>
      </c>
      <c r="E2099" t="s">
        <v>1275</v>
      </c>
      <c r="F2099">
        <v>477.15</v>
      </c>
      <c r="G2099">
        <v>5</v>
      </c>
      <c r="H2099">
        <v>28.629000000000001</v>
      </c>
      <c r="I2099">
        <v>2</v>
      </c>
      <c r="J2099">
        <v>2014</v>
      </c>
      <c r="K2099" t="s">
        <v>2208</v>
      </c>
      <c r="L2099" t="str">
        <f>TEXT(maintable_2[[#This Row],[Order Date]],"mmmm")</f>
        <v>May</v>
      </c>
    </row>
    <row r="2100" spans="1:12" x14ac:dyDescent="0.3">
      <c r="A2100" s="1">
        <v>41787</v>
      </c>
      <c r="B2100" s="1">
        <v>41789</v>
      </c>
      <c r="C2100" t="s">
        <v>683</v>
      </c>
      <c r="D2100" t="s">
        <v>15</v>
      </c>
      <c r="E2100" t="s">
        <v>1848</v>
      </c>
      <c r="F2100">
        <v>302.37599999999998</v>
      </c>
      <c r="G2100">
        <v>3</v>
      </c>
      <c r="H2100">
        <v>22.6782</v>
      </c>
      <c r="I2100">
        <v>2</v>
      </c>
      <c r="J2100">
        <v>2014</v>
      </c>
      <c r="K2100" t="s">
        <v>2208</v>
      </c>
      <c r="L2100" t="str">
        <f>TEXT(maintable_2[[#This Row],[Order Date]],"mmmm")</f>
        <v>May</v>
      </c>
    </row>
    <row r="2101" spans="1:12" x14ac:dyDescent="0.3">
      <c r="A2101" s="1">
        <v>41852</v>
      </c>
      <c r="B2101" s="1">
        <v>41855</v>
      </c>
      <c r="C2101" t="s">
        <v>1849</v>
      </c>
      <c r="D2101" t="s">
        <v>27</v>
      </c>
      <c r="E2101" t="s">
        <v>698</v>
      </c>
      <c r="F2101">
        <v>56.56</v>
      </c>
      <c r="G2101">
        <v>2</v>
      </c>
      <c r="H2101">
        <v>15.2712</v>
      </c>
      <c r="I2101">
        <v>3</v>
      </c>
      <c r="J2101">
        <v>2014</v>
      </c>
      <c r="K2101" t="s">
        <v>2206</v>
      </c>
      <c r="L2101" t="str">
        <f>TEXT(maintable_2[[#This Row],[Order Date]],"mmmm")</f>
        <v>August</v>
      </c>
    </row>
    <row r="2102" spans="1:12" x14ac:dyDescent="0.3">
      <c r="A2102" s="1">
        <v>41852</v>
      </c>
      <c r="B2102" s="1">
        <v>41855</v>
      </c>
      <c r="C2102" t="s">
        <v>1849</v>
      </c>
      <c r="D2102" t="s">
        <v>11</v>
      </c>
      <c r="E2102" t="s">
        <v>1464</v>
      </c>
      <c r="F2102">
        <v>36.96</v>
      </c>
      <c r="G2102">
        <v>7</v>
      </c>
      <c r="H2102">
        <v>11.457599999999999</v>
      </c>
      <c r="I2102">
        <v>3</v>
      </c>
      <c r="J2102">
        <v>2014</v>
      </c>
      <c r="K2102" t="s">
        <v>2206</v>
      </c>
      <c r="L2102" t="str">
        <f>TEXT(maintable_2[[#This Row],[Order Date]],"mmmm")</f>
        <v>August</v>
      </c>
    </row>
    <row r="2103" spans="1:12" x14ac:dyDescent="0.3">
      <c r="A2103" s="1">
        <v>41782</v>
      </c>
      <c r="B2103" s="1">
        <v>41785</v>
      </c>
      <c r="C2103" t="s">
        <v>35</v>
      </c>
      <c r="D2103" t="s">
        <v>37</v>
      </c>
      <c r="E2103" t="s">
        <v>1850</v>
      </c>
      <c r="F2103">
        <v>68.459999999999994</v>
      </c>
      <c r="G2103">
        <v>7</v>
      </c>
      <c r="H2103">
        <v>25.330200000000001</v>
      </c>
      <c r="I2103">
        <v>3</v>
      </c>
      <c r="J2103">
        <v>2014</v>
      </c>
      <c r="K2103" t="s">
        <v>2208</v>
      </c>
      <c r="L2103" t="str">
        <f>TEXT(maintable_2[[#This Row],[Order Date]],"mmmm")</f>
        <v>May</v>
      </c>
    </row>
    <row r="2104" spans="1:12" x14ac:dyDescent="0.3">
      <c r="A2104" s="1">
        <v>41705</v>
      </c>
      <c r="B2104" s="1">
        <v>41709</v>
      </c>
      <c r="C2104" t="s">
        <v>1841</v>
      </c>
      <c r="D2104" t="s">
        <v>13</v>
      </c>
      <c r="E2104" t="s">
        <v>1851</v>
      </c>
      <c r="F2104">
        <v>23.88</v>
      </c>
      <c r="G2104">
        <v>6</v>
      </c>
      <c r="H2104">
        <v>8.1191999999999993</v>
      </c>
      <c r="I2104">
        <v>4</v>
      </c>
      <c r="J2104">
        <v>2014</v>
      </c>
      <c r="K2104" t="s">
        <v>2208</v>
      </c>
      <c r="L2104" t="str">
        <f>TEXT(maintable_2[[#This Row],[Order Date]],"mmmm")</f>
        <v>March</v>
      </c>
    </row>
    <row r="2105" spans="1:12" x14ac:dyDescent="0.3">
      <c r="A2105" s="1">
        <v>41705</v>
      </c>
      <c r="B2105" s="1">
        <v>41709</v>
      </c>
      <c r="C2105" t="s">
        <v>1841</v>
      </c>
      <c r="D2105" t="s">
        <v>8</v>
      </c>
      <c r="E2105" t="s">
        <v>1852</v>
      </c>
      <c r="F2105">
        <v>11.52</v>
      </c>
      <c r="G2105">
        <v>4</v>
      </c>
      <c r="H2105">
        <v>5.6448</v>
      </c>
      <c r="I2105">
        <v>4</v>
      </c>
      <c r="J2105">
        <v>2014</v>
      </c>
      <c r="K2105" t="s">
        <v>2208</v>
      </c>
      <c r="L2105" t="str">
        <f>TEXT(maintable_2[[#This Row],[Order Date]],"mmmm")</f>
        <v>March</v>
      </c>
    </row>
    <row r="2106" spans="1:12" x14ac:dyDescent="0.3">
      <c r="A2106" s="1">
        <v>41705</v>
      </c>
      <c r="B2106" s="1">
        <v>41709</v>
      </c>
      <c r="C2106" t="s">
        <v>1841</v>
      </c>
      <c r="D2106" t="s">
        <v>44</v>
      </c>
      <c r="E2106" t="s">
        <v>1611</v>
      </c>
      <c r="F2106">
        <v>286.93</v>
      </c>
      <c r="G2106">
        <v>7</v>
      </c>
      <c r="H2106">
        <v>140.59569999999999</v>
      </c>
      <c r="I2106">
        <v>4</v>
      </c>
      <c r="J2106">
        <v>2014</v>
      </c>
      <c r="K2106" t="s">
        <v>2208</v>
      </c>
      <c r="L2106" t="str">
        <f>TEXT(maintable_2[[#This Row],[Order Date]],"mmmm")</f>
        <v>March</v>
      </c>
    </row>
    <row r="2107" spans="1:12" x14ac:dyDescent="0.3">
      <c r="A2107" s="1">
        <v>41705</v>
      </c>
      <c r="B2107" s="1">
        <v>41709</v>
      </c>
      <c r="C2107" t="s">
        <v>1841</v>
      </c>
      <c r="D2107" t="s">
        <v>15</v>
      </c>
      <c r="E2107" t="s">
        <v>1674</v>
      </c>
      <c r="F2107">
        <v>206.38399999999999</v>
      </c>
      <c r="G2107">
        <v>2</v>
      </c>
      <c r="H2107">
        <v>23.2182</v>
      </c>
      <c r="I2107">
        <v>4</v>
      </c>
      <c r="J2107">
        <v>2014</v>
      </c>
      <c r="K2107" t="s">
        <v>2208</v>
      </c>
      <c r="L2107" t="str">
        <f>TEXT(maintable_2[[#This Row],[Order Date]],"mmmm")</f>
        <v>March</v>
      </c>
    </row>
    <row r="2108" spans="1:12" x14ac:dyDescent="0.3">
      <c r="A2108" s="1">
        <v>41898</v>
      </c>
      <c r="B2108" s="1">
        <v>41902</v>
      </c>
      <c r="C2108" t="s">
        <v>666</v>
      </c>
      <c r="D2108" t="s">
        <v>71</v>
      </c>
      <c r="E2108" t="s">
        <v>565</v>
      </c>
      <c r="F2108">
        <v>218.352</v>
      </c>
      <c r="G2108">
        <v>3</v>
      </c>
      <c r="H2108">
        <v>0</v>
      </c>
      <c r="I2108">
        <v>4</v>
      </c>
      <c r="J2108">
        <v>2014</v>
      </c>
      <c r="K2108" t="s">
        <v>2209</v>
      </c>
      <c r="L2108" t="str">
        <f>TEXT(maintable_2[[#This Row],[Order Date]],"mmmm")</f>
        <v>September</v>
      </c>
    </row>
    <row r="2109" spans="1:12" x14ac:dyDescent="0.3">
      <c r="A2109" s="1">
        <v>41898</v>
      </c>
      <c r="B2109" s="1">
        <v>41902</v>
      </c>
      <c r="C2109" t="s">
        <v>666</v>
      </c>
      <c r="D2109" t="s">
        <v>11</v>
      </c>
      <c r="E2109" t="s">
        <v>1853</v>
      </c>
      <c r="F2109">
        <v>529.9</v>
      </c>
      <c r="G2109">
        <v>5</v>
      </c>
      <c r="H2109">
        <v>105.98</v>
      </c>
      <c r="I2109">
        <v>4</v>
      </c>
      <c r="J2109">
        <v>2014</v>
      </c>
      <c r="K2109" t="s">
        <v>2209</v>
      </c>
      <c r="L2109" t="str">
        <f>TEXT(maintable_2[[#This Row],[Order Date]],"mmmm")</f>
        <v>September</v>
      </c>
    </row>
    <row r="2110" spans="1:12" x14ac:dyDescent="0.3">
      <c r="A2110" s="1">
        <v>41898</v>
      </c>
      <c r="B2110" s="1">
        <v>41902</v>
      </c>
      <c r="C2110" t="s">
        <v>666</v>
      </c>
      <c r="D2110" t="s">
        <v>13</v>
      </c>
      <c r="E2110" t="s">
        <v>1794</v>
      </c>
      <c r="F2110">
        <v>99.3</v>
      </c>
      <c r="G2110">
        <v>10</v>
      </c>
      <c r="H2110">
        <v>41.706000000000003</v>
      </c>
      <c r="I2110">
        <v>4</v>
      </c>
      <c r="J2110">
        <v>2014</v>
      </c>
      <c r="K2110" t="s">
        <v>2209</v>
      </c>
      <c r="L2110" t="str">
        <f>TEXT(maintable_2[[#This Row],[Order Date]],"mmmm")</f>
        <v>September</v>
      </c>
    </row>
    <row r="2111" spans="1:12" x14ac:dyDescent="0.3">
      <c r="A2111" s="1">
        <v>41898</v>
      </c>
      <c r="B2111" s="1">
        <v>41902</v>
      </c>
      <c r="C2111" t="s">
        <v>666</v>
      </c>
      <c r="D2111" t="s">
        <v>19</v>
      </c>
      <c r="E2111" t="s">
        <v>1854</v>
      </c>
      <c r="F2111">
        <v>108.96</v>
      </c>
      <c r="G2111">
        <v>2</v>
      </c>
      <c r="H2111">
        <v>30.508800000000001</v>
      </c>
      <c r="I2111">
        <v>4</v>
      </c>
      <c r="J2111">
        <v>2014</v>
      </c>
      <c r="K2111" t="s">
        <v>2209</v>
      </c>
      <c r="L2111" t="str">
        <f>TEXT(maintable_2[[#This Row],[Order Date]],"mmmm")</f>
        <v>September</v>
      </c>
    </row>
    <row r="2112" spans="1:12" x14ac:dyDescent="0.3">
      <c r="A2112" s="1">
        <v>41898</v>
      </c>
      <c r="B2112" s="1">
        <v>41902</v>
      </c>
      <c r="C2112" t="s">
        <v>666</v>
      </c>
      <c r="D2112" t="s">
        <v>17</v>
      </c>
      <c r="E2112" t="s">
        <v>1751</v>
      </c>
      <c r="F2112">
        <v>2.6880000000000002</v>
      </c>
      <c r="G2112">
        <v>1</v>
      </c>
      <c r="H2112">
        <v>0.84</v>
      </c>
      <c r="I2112">
        <v>4</v>
      </c>
      <c r="J2112">
        <v>2014</v>
      </c>
      <c r="K2112" t="s">
        <v>2209</v>
      </c>
      <c r="L2112" t="str">
        <f>TEXT(maintable_2[[#This Row],[Order Date]],"mmmm")</f>
        <v>September</v>
      </c>
    </row>
    <row r="2113" spans="1:12" x14ac:dyDescent="0.3">
      <c r="A2113" s="1">
        <v>41960</v>
      </c>
      <c r="B2113" s="1">
        <v>41963</v>
      </c>
      <c r="C2113" t="s">
        <v>1195</v>
      </c>
      <c r="D2113" t="s">
        <v>44</v>
      </c>
      <c r="E2113" t="s">
        <v>1584</v>
      </c>
      <c r="F2113">
        <v>73.680000000000007</v>
      </c>
      <c r="G2113">
        <v>6</v>
      </c>
      <c r="H2113">
        <v>34.629600000000003</v>
      </c>
      <c r="I2113">
        <v>3</v>
      </c>
      <c r="J2113">
        <v>2014</v>
      </c>
      <c r="K2113" t="s">
        <v>2209</v>
      </c>
      <c r="L2113" t="str">
        <f>TEXT(maintable_2[[#This Row],[Order Date]],"mmmm")</f>
        <v>November</v>
      </c>
    </row>
    <row r="2114" spans="1:12" x14ac:dyDescent="0.3">
      <c r="A2114" s="1">
        <v>41960</v>
      </c>
      <c r="B2114" s="1">
        <v>41963</v>
      </c>
      <c r="C2114" t="s">
        <v>1195</v>
      </c>
      <c r="D2114" t="s">
        <v>11</v>
      </c>
      <c r="E2114" t="s">
        <v>331</v>
      </c>
      <c r="F2114">
        <v>139.91999999999999</v>
      </c>
      <c r="G2114">
        <v>2</v>
      </c>
      <c r="H2114">
        <v>23.7864</v>
      </c>
      <c r="I2114">
        <v>3</v>
      </c>
      <c r="J2114">
        <v>2014</v>
      </c>
      <c r="K2114" t="s">
        <v>2209</v>
      </c>
      <c r="L2114" t="str">
        <f>TEXT(maintable_2[[#This Row],[Order Date]],"mmmm")</f>
        <v>November</v>
      </c>
    </row>
    <row r="2115" spans="1:12" x14ac:dyDescent="0.3">
      <c r="A2115" s="1">
        <v>41960</v>
      </c>
      <c r="B2115" s="1">
        <v>41963</v>
      </c>
      <c r="C2115" t="s">
        <v>1195</v>
      </c>
      <c r="D2115" t="s">
        <v>15</v>
      </c>
      <c r="E2115" t="s">
        <v>1771</v>
      </c>
      <c r="F2115">
        <v>107.88</v>
      </c>
      <c r="G2115">
        <v>3</v>
      </c>
      <c r="H2115">
        <v>10.788</v>
      </c>
      <c r="I2115">
        <v>3</v>
      </c>
      <c r="J2115">
        <v>2014</v>
      </c>
      <c r="K2115" t="s">
        <v>2209</v>
      </c>
      <c r="L2115" t="str">
        <f>TEXT(maintable_2[[#This Row],[Order Date]],"mmmm")</f>
        <v>November</v>
      </c>
    </row>
    <row r="2116" spans="1:12" x14ac:dyDescent="0.3">
      <c r="A2116" s="1">
        <v>41960</v>
      </c>
      <c r="B2116" s="1">
        <v>41963</v>
      </c>
      <c r="C2116" t="s">
        <v>1195</v>
      </c>
      <c r="D2116" t="s">
        <v>27</v>
      </c>
      <c r="E2116" t="s">
        <v>915</v>
      </c>
      <c r="F2116">
        <v>33.29</v>
      </c>
      <c r="G2116">
        <v>1</v>
      </c>
      <c r="H2116">
        <v>7.9896000000000003</v>
      </c>
      <c r="I2116">
        <v>3</v>
      </c>
      <c r="J2116">
        <v>2014</v>
      </c>
      <c r="K2116" t="s">
        <v>2209</v>
      </c>
      <c r="L2116" t="str">
        <f>TEXT(maintable_2[[#This Row],[Order Date]],"mmmm")</f>
        <v>November</v>
      </c>
    </row>
    <row r="2117" spans="1:12" x14ac:dyDescent="0.3">
      <c r="A2117" s="1">
        <v>41990</v>
      </c>
      <c r="B2117" s="1">
        <v>41995</v>
      </c>
      <c r="C2117" t="s">
        <v>317</v>
      </c>
      <c r="D2117" t="s">
        <v>44</v>
      </c>
      <c r="E2117" t="s">
        <v>548</v>
      </c>
      <c r="F2117">
        <v>13.36</v>
      </c>
      <c r="G2117">
        <v>2</v>
      </c>
      <c r="H2117">
        <v>6.4127999999999998</v>
      </c>
      <c r="I2117">
        <v>5</v>
      </c>
      <c r="J2117">
        <v>2014</v>
      </c>
      <c r="K2117" t="s">
        <v>2207</v>
      </c>
      <c r="L2117" t="str">
        <f>TEXT(maintable_2[[#This Row],[Order Date]],"mmmm")</f>
        <v>December</v>
      </c>
    </row>
    <row r="2118" spans="1:12" x14ac:dyDescent="0.3">
      <c r="A2118" s="1">
        <v>41990</v>
      </c>
      <c r="B2118" s="1">
        <v>41995</v>
      </c>
      <c r="C2118" t="s">
        <v>317</v>
      </c>
      <c r="D2118" t="s">
        <v>27</v>
      </c>
      <c r="E2118" t="s">
        <v>585</v>
      </c>
      <c r="F2118">
        <v>158.9</v>
      </c>
      <c r="G2118">
        <v>5</v>
      </c>
      <c r="H2118">
        <v>7.9450000000000003</v>
      </c>
      <c r="I2118">
        <v>5</v>
      </c>
      <c r="J2118">
        <v>2014</v>
      </c>
      <c r="K2118" t="s">
        <v>2207</v>
      </c>
      <c r="L2118" t="str">
        <f>TEXT(maintable_2[[#This Row],[Order Date]],"mmmm")</f>
        <v>December</v>
      </c>
    </row>
    <row r="2119" spans="1:12" x14ac:dyDescent="0.3">
      <c r="A2119" s="1">
        <v>41477</v>
      </c>
      <c r="B2119" s="1">
        <v>41482</v>
      </c>
      <c r="C2119" t="s">
        <v>597</v>
      </c>
      <c r="D2119" t="s">
        <v>86</v>
      </c>
      <c r="E2119" t="s">
        <v>1855</v>
      </c>
      <c r="F2119">
        <v>419.9</v>
      </c>
      <c r="G2119">
        <v>5</v>
      </c>
      <c r="H2119">
        <v>197.35300000000001</v>
      </c>
      <c r="I2119">
        <v>5</v>
      </c>
      <c r="J2119">
        <v>2013</v>
      </c>
      <c r="K2119" t="s">
        <v>2206</v>
      </c>
      <c r="L2119" t="str">
        <f>TEXT(maintable_2[[#This Row],[Order Date]],"mmmm")</f>
        <v>July</v>
      </c>
    </row>
    <row r="2120" spans="1:12" x14ac:dyDescent="0.3">
      <c r="A2120" s="1">
        <v>41477</v>
      </c>
      <c r="B2120" s="1">
        <v>41482</v>
      </c>
      <c r="C2120" t="s">
        <v>597</v>
      </c>
      <c r="D2120" t="s">
        <v>8</v>
      </c>
      <c r="E2120" t="s">
        <v>194</v>
      </c>
      <c r="F2120">
        <v>3.15</v>
      </c>
      <c r="G2120">
        <v>1</v>
      </c>
      <c r="H2120">
        <v>1.512</v>
      </c>
      <c r="I2120">
        <v>5</v>
      </c>
      <c r="J2120">
        <v>2013</v>
      </c>
      <c r="K2120" t="s">
        <v>2206</v>
      </c>
      <c r="L2120" t="str">
        <f>TEXT(maintable_2[[#This Row],[Order Date]],"mmmm")</f>
        <v>July</v>
      </c>
    </row>
    <row r="2121" spans="1:12" x14ac:dyDescent="0.3">
      <c r="A2121" s="1">
        <v>41405</v>
      </c>
      <c r="B2121" s="1">
        <v>41411</v>
      </c>
      <c r="C2121" t="s">
        <v>1856</v>
      </c>
      <c r="D2121" t="s">
        <v>44</v>
      </c>
      <c r="E2121" t="s">
        <v>1857</v>
      </c>
      <c r="F2121">
        <v>11.96</v>
      </c>
      <c r="G2121">
        <v>2</v>
      </c>
      <c r="H2121">
        <v>5.8604000000000003</v>
      </c>
      <c r="I2121">
        <v>6</v>
      </c>
      <c r="J2121">
        <v>2013</v>
      </c>
      <c r="K2121" t="s">
        <v>2208</v>
      </c>
      <c r="L2121" t="str">
        <f>TEXT(maintable_2[[#This Row],[Order Date]],"mmmm")</f>
        <v>May</v>
      </c>
    </row>
    <row r="2122" spans="1:12" x14ac:dyDescent="0.3">
      <c r="A2122" s="1">
        <v>41702</v>
      </c>
      <c r="B2122" s="1">
        <v>41707</v>
      </c>
      <c r="C2122" t="s">
        <v>1310</v>
      </c>
      <c r="D2122" t="s">
        <v>37</v>
      </c>
      <c r="E2122" t="s">
        <v>1858</v>
      </c>
      <c r="F2122">
        <v>1049.44</v>
      </c>
      <c r="G2122">
        <v>8</v>
      </c>
      <c r="H2122">
        <v>440.76479999999998</v>
      </c>
      <c r="I2122">
        <v>5</v>
      </c>
      <c r="J2122">
        <v>2014</v>
      </c>
      <c r="K2122" t="s">
        <v>2208</v>
      </c>
      <c r="L2122" t="str">
        <f>TEXT(maintable_2[[#This Row],[Order Date]],"mmmm")</f>
        <v>March</v>
      </c>
    </row>
    <row r="2123" spans="1:12" x14ac:dyDescent="0.3">
      <c r="A2123" s="1">
        <v>41702</v>
      </c>
      <c r="B2123" s="1">
        <v>41707</v>
      </c>
      <c r="C2123" t="s">
        <v>1310</v>
      </c>
      <c r="D2123" t="s">
        <v>71</v>
      </c>
      <c r="E2123" t="s">
        <v>1603</v>
      </c>
      <c r="F2123">
        <v>170.352</v>
      </c>
      <c r="G2123">
        <v>3</v>
      </c>
      <c r="H2123">
        <v>-17.0352</v>
      </c>
      <c r="I2123">
        <v>5</v>
      </c>
      <c r="J2123">
        <v>2014</v>
      </c>
      <c r="K2123" t="s">
        <v>2208</v>
      </c>
      <c r="L2123" t="str">
        <f>TEXT(maintable_2[[#This Row],[Order Date]],"mmmm")</f>
        <v>March</v>
      </c>
    </row>
    <row r="2124" spans="1:12" x14ac:dyDescent="0.3">
      <c r="A2124" s="1">
        <v>40780</v>
      </c>
      <c r="B2124" s="1">
        <v>40785</v>
      </c>
      <c r="C2124" t="s">
        <v>1805</v>
      </c>
      <c r="D2124" t="s">
        <v>15</v>
      </c>
      <c r="E2124" t="s">
        <v>1859</v>
      </c>
      <c r="F2124">
        <v>1007.944</v>
      </c>
      <c r="G2124">
        <v>7</v>
      </c>
      <c r="H2124">
        <v>75.595799999999997</v>
      </c>
      <c r="I2124">
        <v>5</v>
      </c>
      <c r="J2124">
        <v>2011</v>
      </c>
      <c r="K2124" t="s">
        <v>2206</v>
      </c>
      <c r="L2124" t="str">
        <f>TEXT(maintable_2[[#This Row],[Order Date]],"mmmm")</f>
        <v>August</v>
      </c>
    </row>
    <row r="2125" spans="1:12" x14ac:dyDescent="0.3">
      <c r="A2125" s="1">
        <v>41570</v>
      </c>
      <c r="B2125" s="1">
        <v>41570</v>
      </c>
      <c r="C2125" t="s">
        <v>1047</v>
      </c>
      <c r="D2125" t="s">
        <v>44</v>
      </c>
      <c r="E2125" t="s">
        <v>696</v>
      </c>
      <c r="F2125">
        <v>6.68</v>
      </c>
      <c r="G2125">
        <v>1</v>
      </c>
      <c r="H2125">
        <v>3.2063999999999999</v>
      </c>
      <c r="I2125">
        <v>0</v>
      </c>
      <c r="J2125">
        <v>2013</v>
      </c>
      <c r="K2125" t="s">
        <v>2209</v>
      </c>
      <c r="L2125" t="str">
        <f>TEXT(maintable_2[[#This Row],[Order Date]],"mmmm")</f>
        <v>October</v>
      </c>
    </row>
    <row r="2126" spans="1:12" x14ac:dyDescent="0.3">
      <c r="A2126" s="1">
        <v>41570</v>
      </c>
      <c r="B2126" s="1">
        <v>41570</v>
      </c>
      <c r="C2126" t="s">
        <v>1047</v>
      </c>
      <c r="D2126" t="s">
        <v>13</v>
      </c>
      <c r="E2126" t="s">
        <v>1041</v>
      </c>
      <c r="F2126">
        <v>8.34</v>
      </c>
      <c r="G2126">
        <v>3</v>
      </c>
      <c r="H2126">
        <v>2.2517999999999998</v>
      </c>
      <c r="I2126">
        <v>0</v>
      </c>
      <c r="J2126">
        <v>2013</v>
      </c>
      <c r="K2126" t="s">
        <v>2209</v>
      </c>
      <c r="L2126" t="str">
        <f>TEXT(maintable_2[[#This Row],[Order Date]],"mmmm")</f>
        <v>October</v>
      </c>
    </row>
    <row r="2127" spans="1:12" x14ac:dyDescent="0.3">
      <c r="A2127" s="1">
        <v>41570</v>
      </c>
      <c r="B2127" s="1">
        <v>41570</v>
      </c>
      <c r="C2127" t="s">
        <v>1047</v>
      </c>
      <c r="D2127" t="s">
        <v>11</v>
      </c>
      <c r="E2127" t="s">
        <v>1860</v>
      </c>
      <c r="F2127">
        <v>101.94</v>
      </c>
      <c r="G2127">
        <v>3</v>
      </c>
      <c r="H2127">
        <v>30.582000000000001</v>
      </c>
      <c r="I2127">
        <v>0</v>
      </c>
      <c r="J2127">
        <v>2013</v>
      </c>
      <c r="K2127" t="s">
        <v>2209</v>
      </c>
      <c r="L2127" t="str">
        <f>TEXT(maintable_2[[#This Row],[Order Date]],"mmmm")</f>
        <v>October</v>
      </c>
    </row>
    <row r="2128" spans="1:12" x14ac:dyDescent="0.3">
      <c r="A2128" s="1">
        <v>41494</v>
      </c>
      <c r="B2128" s="1">
        <v>41498</v>
      </c>
      <c r="C2128" t="s">
        <v>1709</v>
      </c>
      <c r="D2128" t="s">
        <v>37</v>
      </c>
      <c r="E2128" t="s">
        <v>342</v>
      </c>
      <c r="F2128">
        <v>179.97</v>
      </c>
      <c r="G2128">
        <v>3</v>
      </c>
      <c r="H2128">
        <v>86.385599999999997</v>
      </c>
      <c r="I2128">
        <v>4</v>
      </c>
      <c r="J2128">
        <v>2013</v>
      </c>
      <c r="K2128" t="s">
        <v>2206</v>
      </c>
      <c r="L2128" t="str">
        <f>TEXT(maintable_2[[#This Row],[Order Date]],"mmmm")</f>
        <v>August</v>
      </c>
    </row>
    <row r="2129" spans="1:12" x14ac:dyDescent="0.3">
      <c r="A2129" s="1">
        <v>41029</v>
      </c>
      <c r="B2129" s="1">
        <v>41035</v>
      </c>
      <c r="C2129" t="s">
        <v>1398</v>
      </c>
      <c r="D2129" t="s">
        <v>13</v>
      </c>
      <c r="E2129" t="s">
        <v>178</v>
      </c>
      <c r="F2129">
        <v>34.65</v>
      </c>
      <c r="G2129">
        <v>3</v>
      </c>
      <c r="H2129">
        <v>9.702</v>
      </c>
      <c r="I2129">
        <v>6</v>
      </c>
      <c r="J2129">
        <v>2012</v>
      </c>
      <c r="K2129" t="s">
        <v>2208</v>
      </c>
      <c r="L2129" t="str">
        <f>TEXT(maintable_2[[#This Row],[Order Date]],"mmmm")</f>
        <v>April</v>
      </c>
    </row>
    <row r="2130" spans="1:12" x14ac:dyDescent="0.3">
      <c r="A2130" s="1">
        <v>41029</v>
      </c>
      <c r="B2130" s="1">
        <v>41035</v>
      </c>
      <c r="C2130" t="s">
        <v>1398</v>
      </c>
      <c r="D2130" t="s">
        <v>15</v>
      </c>
      <c r="E2130" t="s">
        <v>1117</v>
      </c>
      <c r="F2130">
        <v>19.8</v>
      </c>
      <c r="G2130">
        <v>5</v>
      </c>
      <c r="H2130">
        <v>1.7324999999999999</v>
      </c>
      <c r="I2130">
        <v>6</v>
      </c>
      <c r="J2130">
        <v>2012</v>
      </c>
      <c r="K2130" t="s">
        <v>2208</v>
      </c>
      <c r="L2130" t="str">
        <f>TEXT(maintable_2[[#This Row],[Order Date]],"mmmm")</f>
        <v>April</v>
      </c>
    </row>
    <row r="2131" spans="1:12" x14ac:dyDescent="0.3">
      <c r="A2131" s="1">
        <v>41808</v>
      </c>
      <c r="B2131" s="1">
        <v>41811</v>
      </c>
      <c r="C2131" t="s">
        <v>438</v>
      </c>
      <c r="D2131" t="s">
        <v>27</v>
      </c>
      <c r="E2131" t="s">
        <v>1740</v>
      </c>
      <c r="F2131">
        <v>146.352</v>
      </c>
      <c r="G2131">
        <v>3</v>
      </c>
      <c r="H2131">
        <v>-32.929200000000002</v>
      </c>
      <c r="I2131">
        <v>3</v>
      </c>
      <c r="J2131">
        <v>2014</v>
      </c>
      <c r="K2131" t="s">
        <v>2206</v>
      </c>
      <c r="L2131" t="str">
        <f>TEXT(maintable_2[[#This Row],[Order Date]],"mmmm")</f>
        <v>June</v>
      </c>
    </row>
    <row r="2132" spans="1:12" x14ac:dyDescent="0.3">
      <c r="A2132" s="1">
        <v>41421</v>
      </c>
      <c r="B2132" s="1">
        <v>41426</v>
      </c>
      <c r="C2132" t="s">
        <v>1029</v>
      </c>
      <c r="D2132" t="s">
        <v>78</v>
      </c>
      <c r="E2132" t="s">
        <v>278</v>
      </c>
      <c r="F2132">
        <v>5.94</v>
      </c>
      <c r="G2132">
        <v>3</v>
      </c>
      <c r="H2132">
        <v>0</v>
      </c>
      <c r="I2132">
        <v>5</v>
      </c>
      <c r="J2132">
        <v>2013</v>
      </c>
      <c r="K2132" t="s">
        <v>2208</v>
      </c>
      <c r="L2132" t="str">
        <f>TEXT(maintable_2[[#This Row],[Order Date]],"mmmm")</f>
        <v>May</v>
      </c>
    </row>
    <row r="2133" spans="1:12" x14ac:dyDescent="0.3">
      <c r="A2133" s="1">
        <v>41421</v>
      </c>
      <c r="B2133" s="1">
        <v>41426</v>
      </c>
      <c r="C2133" t="s">
        <v>1029</v>
      </c>
      <c r="D2133" t="s">
        <v>44</v>
      </c>
      <c r="E2133" t="s">
        <v>1861</v>
      </c>
      <c r="F2133">
        <v>45.36</v>
      </c>
      <c r="G2133">
        <v>7</v>
      </c>
      <c r="H2133">
        <v>21.7728</v>
      </c>
      <c r="I2133">
        <v>5</v>
      </c>
      <c r="J2133">
        <v>2013</v>
      </c>
      <c r="K2133" t="s">
        <v>2208</v>
      </c>
      <c r="L2133" t="str">
        <f>TEXT(maintable_2[[#This Row],[Order Date]],"mmmm")</f>
        <v>May</v>
      </c>
    </row>
    <row r="2134" spans="1:12" x14ac:dyDescent="0.3">
      <c r="A2134" s="1">
        <v>41421</v>
      </c>
      <c r="B2134" s="1">
        <v>41426</v>
      </c>
      <c r="C2134" t="s">
        <v>1029</v>
      </c>
      <c r="D2134" t="s">
        <v>15</v>
      </c>
      <c r="E2134" t="s">
        <v>1862</v>
      </c>
      <c r="F2134">
        <v>211.16800000000001</v>
      </c>
      <c r="G2134">
        <v>4</v>
      </c>
      <c r="H2134">
        <v>23.756399999999999</v>
      </c>
      <c r="I2134">
        <v>5</v>
      </c>
      <c r="J2134">
        <v>2013</v>
      </c>
      <c r="K2134" t="s">
        <v>2208</v>
      </c>
      <c r="L2134" t="str">
        <f>TEXT(maintable_2[[#This Row],[Order Date]],"mmmm")</f>
        <v>May</v>
      </c>
    </row>
    <row r="2135" spans="1:12" x14ac:dyDescent="0.3">
      <c r="A2135" s="1">
        <v>41421</v>
      </c>
      <c r="B2135" s="1">
        <v>41426</v>
      </c>
      <c r="C2135" t="s">
        <v>1029</v>
      </c>
      <c r="D2135" t="s">
        <v>71</v>
      </c>
      <c r="E2135" t="s">
        <v>1496</v>
      </c>
      <c r="F2135">
        <v>484.70400000000001</v>
      </c>
      <c r="G2135">
        <v>6</v>
      </c>
      <c r="H2135">
        <v>-84.8232</v>
      </c>
      <c r="I2135">
        <v>5</v>
      </c>
      <c r="J2135">
        <v>2013</v>
      </c>
      <c r="K2135" t="s">
        <v>2208</v>
      </c>
      <c r="L2135" t="str">
        <f>TEXT(maintable_2[[#This Row],[Order Date]],"mmmm")</f>
        <v>May</v>
      </c>
    </row>
    <row r="2136" spans="1:12" x14ac:dyDescent="0.3">
      <c r="A2136" s="1">
        <v>41421</v>
      </c>
      <c r="B2136" s="1">
        <v>41426</v>
      </c>
      <c r="C2136" t="s">
        <v>1029</v>
      </c>
      <c r="D2136" t="s">
        <v>494</v>
      </c>
      <c r="E2136" t="s">
        <v>1863</v>
      </c>
      <c r="F2136">
        <v>371.976</v>
      </c>
      <c r="G2136">
        <v>3</v>
      </c>
      <c r="H2136">
        <v>116.24250000000001</v>
      </c>
      <c r="I2136">
        <v>5</v>
      </c>
      <c r="J2136">
        <v>2013</v>
      </c>
      <c r="K2136" t="s">
        <v>2208</v>
      </c>
      <c r="L2136" t="str">
        <f>TEXT(maintable_2[[#This Row],[Order Date]],"mmmm")</f>
        <v>May</v>
      </c>
    </row>
    <row r="2137" spans="1:12" x14ac:dyDescent="0.3">
      <c r="A2137" s="1">
        <v>41568</v>
      </c>
      <c r="B2137" s="1">
        <v>41570</v>
      </c>
      <c r="C2137" t="s">
        <v>1402</v>
      </c>
      <c r="D2137" t="s">
        <v>17</v>
      </c>
      <c r="E2137" t="s">
        <v>820</v>
      </c>
      <c r="F2137">
        <v>19.295999999999999</v>
      </c>
      <c r="G2137">
        <v>3</v>
      </c>
      <c r="H2137">
        <v>6.03</v>
      </c>
      <c r="I2137">
        <v>2</v>
      </c>
      <c r="J2137">
        <v>2013</v>
      </c>
      <c r="K2137" t="s">
        <v>2209</v>
      </c>
      <c r="L2137" t="str">
        <f>TEXT(maintable_2[[#This Row],[Order Date]],"mmmm")</f>
        <v>October</v>
      </c>
    </row>
    <row r="2138" spans="1:12" x14ac:dyDescent="0.3">
      <c r="A2138" s="1">
        <v>41443</v>
      </c>
      <c r="B2138" s="1">
        <v>41445</v>
      </c>
      <c r="C2138" t="s">
        <v>1864</v>
      </c>
      <c r="D2138" t="s">
        <v>196</v>
      </c>
      <c r="E2138" t="s">
        <v>1659</v>
      </c>
      <c r="F2138">
        <v>239.666</v>
      </c>
      <c r="G2138">
        <v>2</v>
      </c>
      <c r="H2138">
        <v>14.098000000000001</v>
      </c>
      <c r="I2138">
        <v>2</v>
      </c>
      <c r="J2138">
        <v>2013</v>
      </c>
      <c r="K2138" t="s">
        <v>2206</v>
      </c>
      <c r="L2138" t="str">
        <f>TEXT(maintable_2[[#This Row],[Order Date]],"mmmm")</f>
        <v>June</v>
      </c>
    </row>
    <row r="2139" spans="1:12" x14ac:dyDescent="0.3">
      <c r="A2139" s="1">
        <v>41443</v>
      </c>
      <c r="B2139" s="1">
        <v>41445</v>
      </c>
      <c r="C2139" t="s">
        <v>1864</v>
      </c>
      <c r="D2139" t="s">
        <v>8</v>
      </c>
      <c r="E2139" t="s">
        <v>1865</v>
      </c>
      <c r="F2139">
        <v>22.5</v>
      </c>
      <c r="G2139">
        <v>6</v>
      </c>
      <c r="H2139">
        <v>10.8</v>
      </c>
      <c r="I2139">
        <v>2</v>
      </c>
      <c r="J2139">
        <v>2013</v>
      </c>
      <c r="K2139" t="s">
        <v>2206</v>
      </c>
      <c r="L2139" t="str">
        <f>TEXT(maintable_2[[#This Row],[Order Date]],"mmmm")</f>
        <v>June</v>
      </c>
    </row>
    <row r="2140" spans="1:12" x14ac:dyDescent="0.3">
      <c r="A2140" s="1">
        <v>41443</v>
      </c>
      <c r="B2140" s="1">
        <v>41445</v>
      </c>
      <c r="C2140" t="s">
        <v>1864</v>
      </c>
      <c r="D2140" t="s">
        <v>44</v>
      </c>
      <c r="E2140" t="s">
        <v>1866</v>
      </c>
      <c r="F2140">
        <v>219.84</v>
      </c>
      <c r="G2140">
        <v>4</v>
      </c>
      <c r="H2140">
        <v>107.7216</v>
      </c>
      <c r="I2140">
        <v>2</v>
      </c>
      <c r="J2140">
        <v>2013</v>
      </c>
      <c r="K2140" t="s">
        <v>2206</v>
      </c>
      <c r="L2140" t="str">
        <f>TEXT(maintable_2[[#This Row],[Order Date]],"mmmm")</f>
        <v>June</v>
      </c>
    </row>
    <row r="2141" spans="1:12" x14ac:dyDescent="0.3">
      <c r="A2141" s="1">
        <v>40792</v>
      </c>
      <c r="B2141" s="1">
        <v>40795</v>
      </c>
      <c r="C2141" t="s">
        <v>1867</v>
      </c>
      <c r="D2141" t="s">
        <v>11</v>
      </c>
      <c r="E2141" t="s">
        <v>12</v>
      </c>
      <c r="F2141">
        <v>41.88</v>
      </c>
      <c r="G2141">
        <v>6</v>
      </c>
      <c r="H2141">
        <v>12.145200000000001</v>
      </c>
      <c r="I2141">
        <v>3</v>
      </c>
      <c r="J2141">
        <v>2011</v>
      </c>
      <c r="K2141" t="s">
        <v>2209</v>
      </c>
      <c r="L2141" t="str">
        <f>TEXT(maintable_2[[#This Row],[Order Date]],"mmmm")</f>
        <v>September</v>
      </c>
    </row>
    <row r="2142" spans="1:12" x14ac:dyDescent="0.3">
      <c r="A2142" s="1">
        <v>40792</v>
      </c>
      <c r="B2142" s="1">
        <v>40795</v>
      </c>
      <c r="C2142" t="s">
        <v>1867</v>
      </c>
      <c r="D2142" t="s">
        <v>8</v>
      </c>
      <c r="E2142" t="s">
        <v>1868</v>
      </c>
      <c r="F2142">
        <v>58.48</v>
      </c>
      <c r="G2142">
        <v>8</v>
      </c>
      <c r="H2142">
        <v>27.485600000000002</v>
      </c>
      <c r="I2142">
        <v>3</v>
      </c>
      <c r="J2142">
        <v>2011</v>
      </c>
      <c r="K2142" t="s">
        <v>2209</v>
      </c>
      <c r="L2142" t="str">
        <f>TEXT(maintable_2[[#This Row],[Order Date]],"mmmm")</f>
        <v>September</v>
      </c>
    </row>
    <row r="2143" spans="1:12" x14ac:dyDescent="0.3">
      <c r="A2143" s="1">
        <v>40686</v>
      </c>
      <c r="B2143" s="1">
        <v>40690</v>
      </c>
      <c r="C2143" t="s">
        <v>942</v>
      </c>
      <c r="D2143" t="s">
        <v>44</v>
      </c>
      <c r="E2143" t="s">
        <v>1869</v>
      </c>
      <c r="F2143">
        <v>12.96</v>
      </c>
      <c r="G2143">
        <v>2</v>
      </c>
      <c r="H2143">
        <v>6.2207999999999997</v>
      </c>
      <c r="I2143">
        <v>4</v>
      </c>
      <c r="J2143">
        <v>2011</v>
      </c>
      <c r="K2143" t="s">
        <v>2208</v>
      </c>
      <c r="L2143" t="str">
        <f>TEXT(maintable_2[[#This Row],[Order Date]],"mmmm")</f>
        <v>May</v>
      </c>
    </row>
    <row r="2144" spans="1:12" x14ac:dyDescent="0.3">
      <c r="A2144" s="1">
        <v>41634</v>
      </c>
      <c r="B2144" s="1">
        <v>41639</v>
      </c>
      <c r="C2144" t="s">
        <v>791</v>
      </c>
      <c r="D2144" t="s">
        <v>71</v>
      </c>
      <c r="E2144" t="s">
        <v>1870</v>
      </c>
      <c r="F2144">
        <v>698.35199999999998</v>
      </c>
      <c r="G2144">
        <v>3</v>
      </c>
      <c r="H2144">
        <v>52.376399999999997</v>
      </c>
      <c r="I2144">
        <v>5</v>
      </c>
      <c r="J2144">
        <v>2013</v>
      </c>
      <c r="K2144" t="s">
        <v>2207</v>
      </c>
      <c r="L2144" t="str">
        <f>TEXT(maintable_2[[#This Row],[Order Date]],"mmmm")</f>
        <v>December</v>
      </c>
    </row>
    <row r="2145" spans="1:12" x14ac:dyDescent="0.3">
      <c r="A2145" s="1">
        <v>41634</v>
      </c>
      <c r="B2145" s="1">
        <v>41639</v>
      </c>
      <c r="C2145" t="s">
        <v>791</v>
      </c>
      <c r="D2145" t="s">
        <v>21</v>
      </c>
      <c r="E2145" t="s">
        <v>1871</v>
      </c>
      <c r="F2145">
        <v>1747.25</v>
      </c>
      <c r="G2145">
        <v>5</v>
      </c>
      <c r="H2145">
        <v>629.01</v>
      </c>
      <c r="I2145">
        <v>5</v>
      </c>
      <c r="J2145">
        <v>2013</v>
      </c>
      <c r="K2145" t="s">
        <v>2207</v>
      </c>
      <c r="L2145" t="str">
        <f>TEXT(maintable_2[[#This Row],[Order Date]],"mmmm")</f>
        <v>December</v>
      </c>
    </row>
    <row r="2146" spans="1:12" x14ac:dyDescent="0.3">
      <c r="A2146" s="1">
        <v>41572</v>
      </c>
      <c r="B2146" s="1">
        <v>41572</v>
      </c>
      <c r="C2146" t="s">
        <v>236</v>
      </c>
      <c r="D2146" t="s">
        <v>37</v>
      </c>
      <c r="E2146" t="s">
        <v>381</v>
      </c>
      <c r="F2146">
        <v>199.99</v>
      </c>
      <c r="G2146">
        <v>1</v>
      </c>
      <c r="H2146">
        <v>85.995699999999999</v>
      </c>
      <c r="I2146">
        <v>0</v>
      </c>
      <c r="J2146">
        <v>2013</v>
      </c>
      <c r="K2146" t="s">
        <v>2209</v>
      </c>
      <c r="L2146" t="str">
        <f>TEXT(maintable_2[[#This Row],[Order Date]],"mmmm")</f>
        <v>October</v>
      </c>
    </row>
    <row r="2147" spans="1:12" x14ac:dyDescent="0.3">
      <c r="A2147" s="1">
        <v>41131</v>
      </c>
      <c r="B2147" s="1">
        <v>41137</v>
      </c>
      <c r="C2147" t="s">
        <v>858</v>
      </c>
      <c r="D2147" t="s">
        <v>15</v>
      </c>
      <c r="E2147" t="s">
        <v>478</v>
      </c>
      <c r="F2147">
        <v>438.36799999999999</v>
      </c>
      <c r="G2147">
        <v>4</v>
      </c>
      <c r="H2147">
        <v>38.357199999999999</v>
      </c>
      <c r="I2147">
        <v>6</v>
      </c>
      <c r="J2147">
        <v>2012</v>
      </c>
      <c r="K2147" t="s">
        <v>2206</v>
      </c>
      <c r="L2147" t="str">
        <f>TEXT(maintable_2[[#This Row],[Order Date]],"mmmm")</f>
        <v>August</v>
      </c>
    </row>
    <row r="2148" spans="1:12" x14ac:dyDescent="0.3">
      <c r="A2148" s="1">
        <v>41131</v>
      </c>
      <c r="B2148" s="1">
        <v>41137</v>
      </c>
      <c r="C2148" t="s">
        <v>858</v>
      </c>
      <c r="D2148" t="s">
        <v>15</v>
      </c>
      <c r="E2148" t="s">
        <v>1872</v>
      </c>
      <c r="F2148">
        <v>139.94399999999999</v>
      </c>
      <c r="G2148">
        <v>7</v>
      </c>
      <c r="H2148">
        <v>-31.487400000000001</v>
      </c>
      <c r="I2148">
        <v>6</v>
      </c>
      <c r="J2148">
        <v>2012</v>
      </c>
      <c r="K2148" t="s">
        <v>2206</v>
      </c>
      <c r="L2148" t="str">
        <f>TEXT(maintable_2[[#This Row],[Order Date]],"mmmm")</f>
        <v>August</v>
      </c>
    </row>
    <row r="2149" spans="1:12" x14ac:dyDescent="0.3">
      <c r="A2149" s="1">
        <v>41131</v>
      </c>
      <c r="B2149" s="1">
        <v>41137</v>
      </c>
      <c r="C2149" t="s">
        <v>858</v>
      </c>
      <c r="D2149" t="s">
        <v>19</v>
      </c>
      <c r="E2149" t="s">
        <v>1873</v>
      </c>
      <c r="F2149">
        <v>133.47200000000001</v>
      </c>
      <c r="G2149">
        <v>4</v>
      </c>
      <c r="H2149">
        <v>15.015599999999999</v>
      </c>
      <c r="I2149">
        <v>6</v>
      </c>
      <c r="J2149">
        <v>2012</v>
      </c>
      <c r="K2149" t="s">
        <v>2206</v>
      </c>
      <c r="L2149" t="str">
        <f>TEXT(maintable_2[[#This Row],[Order Date]],"mmmm")</f>
        <v>August</v>
      </c>
    </row>
    <row r="2150" spans="1:12" x14ac:dyDescent="0.3">
      <c r="A2150" s="1">
        <v>41624</v>
      </c>
      <c r="B2150" s="1">
        <v>41630</v>
      </c>
      <c r="C2150" t="s">
        <v>648</v>
      </c>
      <c r="D2150" t="s">
        <v>21</v>
      </c>
      <c r="E2150" t="s">
        <v>529</v>
      </c>
      <c r="F2150">
        <v>564.19500000000005</v>
      </c>
      <c r="G2150">
        <v>3</v>
      </c>
      <c r="H2150">
        <v>-304.6653</v>
      </c>
      <c r="I2150">
        <v>6</v>
      </c>
      <c r="J2150">
        <v>2013</v>
      </c>
      <c r="K2150" t="s">
        <v>2207</v>
      </c>
      <c r="L2150" t="str">
        <f>TEXT(maintable_2[[#This Row],[Order Date]],"mmmm")</f>
        <v>December</v>
      </c>
    </row>
    <row r="2151" spans="1:12" x14ac:dyDescent="0.3">
      <c r="A2151" s="1">
        <v>41624</v>
      </c>
      <c r="B2151" s="1">
        <v>41630</v>
      </c>
      <c r="C2151" t="s">
        <v>648</v>
      </c>
      <c r="D2151" t="s">
        <v>19</v>
      </c>
      <c r="E2151" t="s">
        <v>1854</v>
      </c>
      <c r="F2151">
        <v>87.168000000000006</v>
      </c>
      <c r="G2151">
        <v>2</v>
      </c>
      <c r="H2151">
        <v>8.7167999999999992</v>
      </c>
      <c r="I2151">
        <v>6</v>
      </c>
      <c r="J2151">
        <v>2013</v>
      </c>
      <c r="K2151" t="s">
        <v>2207</v>
      </c>
      <c r="L2151" t="str">
        <f>TEXT(maintable_2[[#This Row],[Order Date]],"mmmm")</f>
        <v>December</v>
      </c>
    </row>
    <row r="2152" spans="1:12" x14ac:dyDescent="0.3">
      <c r="A2152" s="1">
        <v>41691</v>
      </c>
      <c r="B2152" s="1">
        <v>41698</v>
      </c>
      <c r="C2152" t="s">
        <v>944</v>
      </c>
      <c r="D2152" t="s">
        <v>15</v>
      </c>
      <c r="E2152" t="s">
        <v>512</v>
      </c>
      <c r="F2152">
        <v>333.57600000000002</v>
      </c>
      <c r="G2152">
        <v>3</v>
      </c>
      <c r="H2152">
        <v>25.0182</v>
      </c>
      <c r="I2152">
        <v>7</v>
      </c>
      <c r="J2152">
        <v>2014</v>
      </c>
      <c r="K2152" t="s">
        <v>2210</v>
      </c>
      <c r="L2152" t="str">
        <f>TEXT(maintable_2[[#This Row],[Order Date]],"mmmm")</f>
        <v>February</v>
      </c>
    </row>
    <row r="2153" spans="1:12" x14ac:dyDescent="0.3">
      <c r="A2153" s="1">
        <v>41691</v>
      </c>
      <c r="B2153" s="1">
        <v>41698</v>
      </c>
      <c r="C2153" t="s">
        <v>944</v>
      </c>
      <c r="D2153" t="s">
        <v>37</v>
      </c>
      <c r="E2153" t="s">
        <v>1874</v>
      </c>
      <c r="F2153">
        <v>31.992000000000001</v>
      </c>
      <c r="G2153">
        <v>1</v>
      </c>
      <c r="H2153">
        <v>4.7988</v>
      </c>
      <c r="I2153">
        <v>7</v>
      </c>
      <c r="J2153">
        <v>2014</v>
      </c>
      <c r="K2153" t="s">
        <v>2210</v>
      </c>
      <c r="L2153" t="str">
        <f>TEXT(maintable_2[[#This Row],[Order Date]],"mmmm")</f>
        <v>February</v>
      </c>
    </row>
    <row r="2154" spans="1:12" x14ac:dyDescent="0.3">
      <c r="A2154" s="1">
        <v>41691</v>
      </c>
      <c r="B2154" s="1">
        <v>41698</v>
      </c>
      <c r="C2154" t="s">
        <v>944</v>
      </c>
      <c r="D2154" t="s">
        <v>27</v>
      </c>
      <c r="E2154" t="s">
        <v>701</v>
      </c>
      <c r="F2154">
        <v>51.167999999999999</v>
      </c>
      <c r="G2154">
        <v>2</v>
      </c>
      <c r="H2154">
        <v>-6.3959999999999999</v>
      </c>
      <c r="I2154">
        <v>7</v>
      </c>
      <c r="J2154">
        <v>2014</v>
      </c>
      <c r="K2154" t="s">
        <v>2210</v>
      </c>
      <c r="L2154" t="str">
        <f>TEXT(maintable_2[[#This Row],[Order Date]],"mmmm")</f>
        <v>February</v>
      </c>
    </row>
    <row r="2155" spans="1:12" x14ac:dyDescent="0.3">
      <c r="A2155" s="1">
        <v>41691</v>
      </c>
      <c r="B2155" s="1">
        <v>41698</v>
      </c>
      <c r="C2155" t="s">
        <v>944</v>
      </c>
      <c r="D2155" t="s">
        <v>86</v>
      </c>
      <c r="E2155" t="s">
        <v>1187</v>
      </c>
      <c r="F2155">
        <v>10.64</v>
      </c>
      <c r="G2155">
        <v>5</v>
      </c>
      <c r="H2155">
        <v>3.8570000000000002</v>
      </c>
      <c r="I2155">
        <v>7</v>
      </c>
      <c r="J2155">
        <v>2014</v>
      </c>
      <c r="K2155" t="s">
        <v>2210</v>
      </c>
      <c r="L2155" t="str">
        <f>TEXT(maintable_2[[#This Row],[Order Date]],"mmmm")</f>
        <v>February</v>
      </c>
    </row>
    <row r="2156" spans="1:12" x14ac:dyDescent="0.3">
      <c r="A2156" s="1">
        <v>41691</v>
      </c>
      <c r="B2156" s="1">
        <v>41698</v>
      </c>
      <c r="C2156" t="s">
        <v>944</v>
      </c>
      <c r="D2156" t="s">
        <v>11</v>
      </c>
      <c r="E2156" t="s">
        <v>642</v>
      </c>
      <c r="F2156">
        <v>68.703999999999994</v>
      </c>
      <c r="G2156">
        <v>2</v>
      </c>
      <c r="H2156">
        <v>16.3172</v>
      </c>
      <c r="I2156">
        <v>7</v>
      </c>
      <c r="J2156">
        <v>2014</v>
      </c>
      <c r="K2156" t="s">
        <v>2210</v>
      </c>
      <c r="L2156" t="str">
        <f>TEXT(maintable_2[[#This Row],[Order Date]],"mmmm")</f>
        <v>February</v>
      </c>
    </row>
    <row r="2157" spans="1:12" x14ac:dyDescent="0.3">
      <c r="A2157" s="1">
        <v>41691</v>
      </c>
      <c r="B2157" s="1">
        <v>41698</v>
      </c>
      <c r="C2157" t="s">
        <v>944</v>
      </c>
      <c r="D2157" t="s">
        <v>21</v>
      </c>
      <c r="E2157" t="s">
        <v>655</v>
      </c>
      <c r="F2157">
        <v>386.91</v>
      </c>
      <c r="G2157">
        <v>9</v>
      </c>
      <c r="H2157">
        <v>-185.71680000000001</v>
      </c>
      <c r="I2157">
        <v>7</v>
      </c>
      <c r="J2157">
        <v>2014</v>
      </c>
      <c r="K2157" t="s">
        <v>2210</v>
      </c>
      <c r="L2157" t="str">
        <f>TEXT(maintable_2[[#This Row],[Order Date]],"mmmm")</f>
        <v>February</v>
      </c>
    </row>
    <row r="2158" spans="1:12" x14ac:dyDescent="0.3">
      <c r="A2158" s="1">
        <v>40778</v>
      </c>
      <c r="B2158" s="1">
        <v>40782</v>
      </c>
      <c r="C2158" t="s">
        <v>707</v>
      </c>
      <c r="D2158" t="s">
        <v>17</v>
      </c>
      <c r="E2158" t="s">
        <v>1875</v>
      </c>
      <c r="F2158">
        <v>49.567999999999998</v>
      </c>
      <c r="G2158">
        <v>2</v>
      </c>
      <c r="H2158">
        <v>17.348800000000001</v>
      </c>
      <c r="I2158">
        <v>4</v>
      </c>
      <c r="J2158">
        <v>2011</v>
      </c>
      <c r="K2158" t="s">
        <v>2206</v>
      </c>
      <c r="L2158" t="str">
        <f>TEXT(maintable_2[[#This Row],[Order Date]],"mmmm")</f>
        <v>August</v>
      </c>
    </row>
    <row r="2159" spans="1:12" x14ac:dyDescent="0.3">
      <c r="A2159" s="1">
        <v>41163</v>
      </c>
      <c r="B2159" s="1">
        <v>41168</v>
      </c>
      <c r="C2159" t="s">
        <v>1876</v>
      </c>
      <c r="D2159" t="s">
        <v>13</v>
      </c>
      <c r="E2159" t="s">
        <v>1536</v>
      </c>
      <c r="F2159">
        <v>265.86</v>
      </c>
      <c r="G2159">
        <v>7</v>
      </c>
      <c r="H2159">
        <v>79.757999999999996</v>
      </c>
      <c r="I2159">
        <v>5</v>
      </c>
      <c r="J2159">
        <v>2012</v>
      </c>
      <c r="K2159" t="s">
        <v>2209</v>
      </c>
      <c r="L2159" t="str">
        <f>TEXT(maintable_2[[#This Row],[Order Date]],"mmmm")</f>
        <v>September</v>
      </c>
    </row>
    <row r="2160" spans="1:12" x14ac:dyDescent="0.3">
      <c r="A2160" s="1">
        <v>40826</v>
      </c>
      <c r="B2160" s="1">
        <v>40830</v>
      </c>
      <c r="C2160" t="s">
        <v>1877</v>
      </c>
      <c r="D2160" t="s">
        <v>11</v>
      </c>
      <c r="E2160" t="s">
        <v>561</v>
      </c>
      <c r="F2160">
        <v>46.872</v>
      </c>
      <c r="G2160">
        <v>7</v>
      </c>
      <c r="H2160">
        <v>3.5154000000000001</v>
      </c>
      <c r="I2160">
        <v>4</v>
      </c>
      <c r="J2160">
        <v>2011</v>
      </c>
      <c r="K2160" t="s">
        <v>2209</v>
      </c>
      <c r="L2160" t="str">
        <f>TEXT(maintable_2[[#This Row],[Order Date]],"mmmm")</f>
        <v>October</v>
      </c>
    </row>
    <row r="2161" spans="1:12" x14ac:dyDescent="0.3">
      <c r="A2161" s="1">
        <v>40852</v>
      </c>
      <c r="B2161" s="1">
        <v>40857</v>
      </c>
      <c r="C2161" t="s">
        <v>1502</v>
      </c>
      <c r="D2161" t="s">
        <v>11</v>
      </c>
      <c r="E2161" t="s">
        <v>1671</v>
      </c>
      <c r="F2161">
        <v>20.04</v>
      </c>
      <c r="G2161">
        <v>6</v>
      </c>
      <c r="H2161">
        <v>8.8176000000000005</v>
      </c>
      <c r="I2161">
        <v>5</v>
      </c>
      <c r="J2161">
        <v>2011</v>
      </c>
      <c r="K2161" t="s">
        <v>2209</v>
      </c>
      <c r="L2161" t="str">
        <f>TEXT(maintable_2[[#This Row],[Order Date]],"mmmm")</f>
        <v>November</v>
      </c>
    </row>
    <row r="2162" spans="1:12" x14ac:dyDescent="0.3">
      <c r="A2162" s="1">
        <v>41043</v>
      </c>
      <c r="B2162" s="1">
        <v>41050</v>
      </c>
      <c r="C2162" t="s">
        <v>1878</v>
      </c>
      <c r="D2162" t="s">
        <v>27</v>
      </c>
      <c r="E2162" t="s">
        <v>1544</v>
      </c>
      <c r="F2162">
        <v>1117.92</v>
      </c>
      <c r="G2162">
        <v>4</v>
      </c>
      <c r="H2162">
        <v>55.896000000000001</v>
      </c>
      <c r="I2162">
        <v>7</v>
      </c>
      <c r="J2162">
        <v>2012</v>
      </c>
      <c r="K2162" t="s">
        <v>2208</v>
      </c>
      <c r="L2162" t="str">
        <f>TEXT(maintable_2[[#This Row],[Order Date]],"mmmm")</f>
        <v>May</v>
      </c>
    </row>
    <row r="2163" spans="1:12" x14ac:dyDescent="0.3">
      <c r="A2163" s="1">
        <v>41709</v>
      </c>
      <c r="B2163" s="1">
        <v>41714</v>
      </c>
      <c r="C2163" t="s">
        <v>1617</v>
      </c>
      <c r="D2163" t="s">
        <v>37</v>
      </c>
      <c r="E2163" t="s">
        <v>822</v>
      </c>
      <c r="F2163">
        <v>111.96</v>
      </c>
      <c r="G2163">
        <v>4</v>
      </c>
      <c r="H2163">
        <v>21.272400000000001</v>
      </c>
      <c r="I2163">
        <v>5</v>
      </c>
      <c r="J2163">
        <v>2014</v>
      </c>
      <c r="K2163" t="s">
        <v>2208</v>
      </c>
      <c r="L2163" t="str">
        <f>TEXT(maintable_2[[#This Row],[Order Date]],"mmmm")</f>
        <v>March</v>
      </c>
    </row>
    <row r="2164" spans="1:12" x14ac:dyDescent="0.3">
      <c r="A2164" s="1">
        <v>41842</v>
      </c>
      <c r="B2164" s="1">
        <v>41846</v>
      </c>
      <c r="C2164" t="s">
        <v>1597</v>
      </c>
      <c r="D2164" t="s">
        <v>44</v>
      </c>
      <c r="E2164" t="s">
        <v>1879</v>
      </c>
      <c r="F2164">
        <v>16.34</v>
      </c>
      <c r="G2164">
        <v>2</v>
      </c>
      <c r="H2164">
        <v>7.6798000000000002</v>
      </c>
      <c r="I2164">
        <v>4</v>
      </c>
      <c r="J2164">
        <v>2014</v>
      </c>
      <c r="K2164" t="s">
        <v>2206</v>
      </c>
      <c r="L2164" t="str">
        <f>TEXT(maintable_2[[#This Row],[Order Date]],"mmmm")</f>
        <v>July</v>
      </c>
    </row>
    <row r="2165" spans="1:12" x14ac:dyDescent="0.3">
      <c r="A2165" s="1">
        <v>41842</v>
      </c>
      <c r="B2165" s="1">
        <v>41846</v>
      </c>
      <c r="C2165" t="s">
        <v>1597</v>
      </c>
      <c r="D2165" t="s">
        <v>71</v>
      </c>
      <c r="E2165" t="s">
        <v>1053</v>
      </c>
      <c r="F2165">
        <v>225.29599999999999</v>
      </c>
      <c r="G2165">
        <v>2</v>
      </c>
      <c r="H2165">
        <v>22.529599999999999</v>
      </c>
      <c r="I2165">
        <v>4</v>
      </c>
      <c r="J2165">
        <v>2014</v>
      </c>
      <c r="K2165" t="s">
        <v>2206</v>
      </c>
      <c r="L2165" t="str">
        <f>TEXT(maintable_2[[#This Row],[Order Date]],"mmmm")</f>
        <v>July</v>
      </c>
    </row>
    <row r="2166" spans="1:12" x14ac:dyDescent="0.3">
      <c r="A2166" s="1">
        <v>41842</v>
      </c>
      <c r="B2166" s="1">
        <v>41846</v>
      </c>
      <c r="C2166" t="s">
        <v>1597</v>
      </c>
      <c r="D2166" t="s">
        <v>17</v>
      </c>
      <c r="E2166" t="s">
        <v>1411</v>
      </c>
      <c r="F2166">
        <v>50.351999999999997</v>
      </c>
      <c r="G2166">
        <v>3</v>
      </c>
      <c r="H2166">
        <v>17.623200000000001</v>
      </c>
      <c r="I2166">
        <v>4</v>
      </c>
      <c r="J2166">
        <v>2014</v>
      </c>
      <c r="K2166" t="s">
        <v>2206</v>
      </c>
      <c r="L2166" t="str">
        <f>TEXT(maintable_2[[#This Row],[Order Date]],"mmmm")</f>
        <v>July</v>
      </c>
    </row>
    <row r="2167" spans="1:12" x14ac:dyDescent="0.3">
      <c r="A2167" s="1">
        <v>41083</v>
      </c>
      <c r="B2167" s="1">
        <v>41088</v>
      </c>
      <c r="C2167" t="s">
        <v>1510</v>
      </c>
      <c r="D2167" t="s">
        <v>15</v>
      </c>
      <c r="E2167" t="s">
        <v>830</v>
      </c>
      <c r="F2167">
        <v>217.584</v>
      </c>
      <c r="G2167">
        <v>2</v>
      </c>
      <c r="H2167">
        <v>19.038599999999999</v>
      </c>
      <c r="I2167">
        <v>5</v>
      </c>
      <c r="J2167">
        <v>2012</v>
      </c>
      <c r="K2167" t="s">
        <v>2206</v>
      </c>
      <c r="L2167" t="str">
        <f>TEXT(maintable_2[[#This Row],[Order Date]],"mmmm")</f>
        <v>June</v>
      </c>
    </row>
    <row r="2168" spans="1:12" x14ac:dyDescent="0.3">
      <c r="A2168" s="1">
        <v>41083</v>
      </c>
      <c r="B2168" s="1">
        <v>41088</v>
      </c>
      <c r="C2168" t="s">
        <v>1510</v>
      </c>
      <c r="D2168" t="s">
        <v>78</v>
      </c>
      <c r="E2168" t="s">
        <v>1880</v>
      </c>
      <c r="F2168">
        <v>5.43</v>
      </c>
      <c r="G2168">
        <v>3</v>
      </c>
      <c r="H2168">
        <v>1.7919</v>
      </c>
      <c r="I2168">
        <v>5</v>
      </c>
      <c r="J2168">
        <v>2012</v>
      </c>
      <c r="K2168" t="s">
        <v>2206</v>
      </c>
      <c r="L2168" t="str">
        <f>TEXT(maintable_2[[#This Row],[Order Date]],"mmmm")</f>
        <v>June</v>
      </c>
    </row>
    <row r="2169" spans="1:12" x14ac:dyDescent="0.3">
      <c r="A2169" s="1">
        <v>41083</v>
      </c>
      <c r="B2169" s="1">
        <v>41088</v>
      </c>
      <c r="C2169" t="s">
        <v>1510</v>
      </c>
      <c r="D2169" t="s">
        <v>15</v>
      </c>
      <c r="E2169" t="s">
        <v>1881</v>
      </c>
      <c r="F2169">
        <v>143.976</v>
      </c>
      <c r="G2169">
        <v>3</v>
      </c>
      <c r="H2169">
        <v>8.9984999999999999</v>
      </c>
      <c r="I2169">
        <v>5</v>
      </c>
      <c r="J2169">
        <v>2012</v>
      </c>
      <c r="K2169" t="s">
        <v>2206</v>
      </c>
      <c r="L2169" t="str">
        <f>TEXT(maintable_2[[#This Row],[Order Date]],"mmmm")</f>
        <v>June</v>
      </c>
    </row>
    <row r="2170" spans="1:12" x14ac:dyDescent="0.3">
      <c r="A2170" s="1">
        <v>41227</v>
      </c>
      <c r="B2170" s="1">
        <v>41232</v>
      </c>
      <c r="C2170" t="s">
        <v>347</v>
      </c>
      <c r="D2170" t="s">
        <v>71</v>
      </c>
      <c r="E2170" t="s">
        <v>794</v>
      </c>
      <c r="F2170">
        <v>883.84</v>
      </c>
      <c r="G2170">
        <v>4</v>
      </c>
      <c r="H2170">
        <v>99.432000000000002</v>
      </c>
      <c r="I2170">
        <v>5</v>
      </c>
      <c r="J2170">
        <v>2012</v>
      </c>
      <c r="K2170" t="s">
        <v>2209</v>
      </c>
      <c r="L2170" t="str">
        <f>TEXT(maintable_2[[#This Row],[Order Date]],"mmmm")</f>
        <v>November</v>
      </c>
    </row>
    <row r="2171" spans="1:12" x14ac:dyDescent="0.3">
      <c r="A2171" s="1">
        <v>41227</v>
      </c>
      <c r="B2171" s="1">
        <v>41232</v>
      </c>
      <c r="C2171" t="s">
        <v>347</v>
      </c>
      <c r="D2171" t="s">
        <v>71</v>
      </c>
      <c r="E2171" t="s">
        <v>148</v>
      </c>
      <c r="F2171">
        <v>230.352</v>
      </c>
      <c r="G2171">
        <v>3</v>
      </c>
      <c r="H2171">
        <v>20.155799999999999</v>
      </c>
      <c r="I2171">
        <v>5</v>
      </c>
      <c r="J2171">
        <v>2012</v>
      </c>
      <c r="K2171" t="s">
        <v>2209</v>
      </c>
      <c r="L2171" t="str">
        <f>TEXT(maintable_2[[#This Row],[Order Date]],"mmmm")</f>
        <v>November</v>
      </c>
    </row>
    <row r="2172" spans="1:12" x14ac:dyDescent="0.3">
      <c r="A2172" s="1">
        <v>41618</v>
      </c>
      <c r="B2172" s="1">
        <v>41621</v>
      </c>
      <c r="C2172" t="s">
        <v>94</v>
      </c>
      <c r="D2172" t="s">
        <v>17</v>
      </c>
      <c r="E2172" t="s">
        <v>1882</v>
      </c>
      <c r="F2172">
        <v>273.92</v>
      </c>
      <c r="G2172">
        <v>8</v>
      </c>
      <c r="H2172">
        <v>99.296000000000006</v>
      </c>
      <c r="I2172">
        <v>3</v>
      </c>
      <c r="J2172">
        <v>2013</v>
      </c>
      <c r="K2172" t="s">
        <v>2207</v>
      </c>
      <c r="L2172" t="str">
        <f>TEXT(maintable_2[[#This Row],[Order Date]],"mmmm")</f>
        <v>December</v>
      </c>
    </row>
    <row r="2173" spans="1:12" x14ac:dyDescent="0.3">
      <c r="A2173" s="1">
        <v>41902</v>
      </c>
      <c r="B2173" s="1">
        <v>41907</v>
      </c>
      <c r="C2173" t="s">
        <v>390</v>
      </c>
      <c r="D2173" t="s">
        <v>37</v>
      </c>
      <c r="E2173" t="s">
        <v>1883</v>
      </c>
      <c r="F2173">
        <v>149.94999999999999</v>
      </c>
      <c r="G2173">
        <v>5</v>
      </c>
      <c r="H2173">
        <v>31.4895</v>
      </c>
      <c r="I2173">
        <v>5</v>
      </c>
      <c r="J2173">
        <v>2014</v>
      </c>
      <c r="K2173" t="s">
        <v>2209</v>
      </c>
      <c r="L2173" t="str">
        <f>TEXT(maintable_2[[#This Row],[Order Date]],"mmmm")</f>
        <v>September</v>
      </c>
    </row>
    <row r="2174" spans="1:12" x14ac:dyDescent="0.3">
      <c r="A2174" s="1">
        <v>41902</v>
      </c>
      <c r="B2174" s="1">
        <v>41907</v>
      </c>
      <c r="C2174" t="s">
        <v>390</v>
      </c>
      <c r="D2174" t="s">
        <v>13</v>
      </c>
      <c r="E2174" t="s">
        <v>1884</v>
      </c>
      <c r="F2174">
        <v>23.32</v>
      </c>
      <c r="G2174">
        <v>2</v>
      </c>
      <c r="H2174">
        <v>6.0632000000000001</v>
      </c>
      <c r="I2174">
        <v>5</v>
      </c>
      <c r="J2174">
        <v>2014</v>
      </c>
      <c r="K2174" t="s">
        <v>2209</v>
      </c>
      <c r="L2174" t="str">
        <f>TEXT(maintable_2[[#This Row],[Order Date]],"mmmm")</f>
        <v>September</v>
      </c>
    </row>
    <row r="2175" spans="1:12" x14ac:dyDescent="0.3">
      <c r="A2175" s="1">
        <v>41902</v>
      </c>
      <c r="B2175" s="1">
        <v>41907</v>
      </c>
      <c r="C2175" t="s">
        <v>390</v>
      </c>
      <c r="D2175" t="s">
        <v>13</v>
      </c>
      <c r="E2175" t="s">
        <v>1885</v>
      </c>
      <c r="F2175">
        <v>16.739999999999998</v>
      </c>
      <c r="G2175">
        <v>3</v>
      </c>
      <c r="H2175">
        <v>4.8545999999999996</v>
      </c>
      <c r="I2175">
        <v>5</v>
      </c>
      <c r="J2175">
        <v>2014</v>
      </c>
      <c r="K2175" t="s">
        <v>2209</v>
      </c>
      <c r="L2175" t="str">
        <f>TEXT(maintable_2[[#This Row],[Order Date]],"mmmm")</f>
        <v>September</v>
      </c>
    </row>
    <row r="2176" spans="1:12" x14ac:dyDescent="0.3">
      <c r="A2176" s="1">
        <v>41530</v>
      </c>
      <c r="B2176" s="1">
        <v>41534</v>
      </c>
      <c r="C2176" t="s">
        <v>286</v>
      </c>
      <c r="D2176" t="s">
        <v>78</v>
      </c>
      <c r="E2176" t="s">
        <v>647</v>
      </c>
      <c r="F2176">
        <v>10.47</v>
      </c>
      <c r="G2176">
        <v>3</v>
      </c>
      <c r="H2176">
        <v>4.8162000000000003</v>
      </c>
      <c r="I2176">
        <v>4</v>
      </c>
      <c r="J2176">
        <v>2013</v>
      </c>
      <c r="K2176" t="s">
        <v>2209</v>
      </c>
      <c r="L2176" t="str">
        <f>TEXT(maintable_2[[#This Row],[Order Date]],"mmmm")</f>
        <v>September</v>
      </c>
    </row>
    <row r="2177" spans="1:12" x14ac:dyDescent="0.3">
      <c r="A2177" s="1">
        <v>41530</v>
      </c>
      <c r="B2177" s="1">
        <v>41534</v>
      </c>
      <c r="C2177" t="s">
        <v>286</v>
      </c>
      <c r="D2177" t="s">
        <v>8</v>
      </c>
      <c r="E2177" t="s">
        <v>1886</v>
      </c>
      <c r="F2177">
        <v>11.07</v>
      </c>
      <c r="G2177">
        <v>3</v>
      </c>
      <c r="H2177">
        <v>5.2028999999999996</v>
      </c>
      <c r="I2177">
        <v>4</v>
      </c>
      <c r="J2177">
        <v>2013</v>
      </c>
      <c r="K2177" t="s">
        <v>2209</v>
      </c>
      <c r="L2177" t="str">
        <f>TEXT(maintable_2[[#This Row],[Order Date]],"mmmm")</f>
        <v>September</v>
      </c>
    </row>
    <row r="2178" spans="1:12" x14ac:dyDescent="0.3">
      <c r="A2178" s="1">
        <v>41530</v>
      </c>
      <c r="B2178" s="1">
        <v>41534</v>
      </c>
      <c r="C2178" t="s">
        <v>286</v>
      </c>
      <c r="D2178" t="s">
        <v>17</v>
      </c>
      <c r="E2178" t="s">
        <v>1887</v>
      </c>
      <c r="F2178">
        <v>20.704000000000001</v>
      </c>
      <c r="G2178">
        <v>4</v>
      </c>
      <c r="H2178">
        <v>7.7640000000000002</v>
      </c>
      <c r="I2178">
        <v>4</v>
      </c>
      <c r="J2178">
        <v>2013</v>
      </c>
      <c r="K2178" t="s">
        <v>2209</v>
      </c>
      <c r="L2178" t="str">
        <f>TEXT(maintable_2[[#This Row],[Order Date]],"mmmm")</f>
        <v>September</v>
      </c>
    </row>
    <row r="2179" spans="1:12" x14ac:dyDescent="0.3">
      <c r="A2179" s="1">
        <v>40728</v>
      </c>
      <c r="B2179" s="1">
        <v>40731</v>
      </c>
      <c r="C2179" t="s">
        <v>1369</v>
      </c>
      <c r="D2179" t="s">
        <v>44</v>
      </c>
      <c r="E2179" t="s">
        <v>1785</v>
      </c>
      <c r="F2179">
        <v>177.536</v>
      </c>
      <c r="G2179">
        <v>4</v>
      </c>
      <c r="H2179">
        <v>62.137599999999999</v>
      </c>
      <c r="I2179">
        <v>3</v>
      </c>
      <c r="J2179">
        <v>2011</v>
      </c>
      <c r="K2179" t="s">
        <v>2206</v>
      </c>
      <c r="L2179" t="str">
        <f>TEXT(maintable_2[[#This Row],[Order Date]],"mmmm")</f>
        <v>July</v>
      </c>
    </row>
    <row r="2180" spans="1:12" x14ac:dyDescent="0.3">
      <c r="A2180" s="1">
        <v>40728</v>
      </c>
      <c r="B2180" s="1">
        <v>40731</v>
      </c>
      <c r="C2180" t="s">
        <v>1369</v>
      </c>
      <c r="D2180" t="s">
        <v>19</v>
      </c>
      <c r="E2180" t="s">
        <v>872</v>
      </c>
      <c r="F2180">
        <v>32.432000000000002</v>
      </c>
      <c r="G2180">
        <v>2</v>
      </c>
      <c r="H2180">
        <v>3.2431999999999999</v>
      </c>
      <c r="I2180">
        <v>3</v>
      </c>
      <c r="J2180">
        <v>2011</v>
      </c>
      <c r="K2180" t="s">
        <v>2206</v>
      </c>
      <c r="L2180" t="str">
        <f>TEXT(maintable_2[[#This Row],[Order Date]],"mmmm")</f>
        <v>July</v>
      </c>
    </row>
    <row r="2181" spans="1:12" x14ac:dyDescent="0.3">
      <c r="A2181" s="1">
        <v>41375</v>
      </c>
      <c r="B2181" s="1">
        <v>41382</v>
      </c>
      <c r="C2181" t="s">
        <v>1888</v>
      </c>
      <c r="D2181" t="s">
        <v>19</v>
      </c>
      <c r="E2181" t="s">
        <v>594</v>
      </c>
      <c r="F2181">
        <v>113.76</v>
      </c>
      <c r="G2181">
        <v>3</v>
      </c>
      <c r="H2181">
        <v>44.366399999999999</v>
      </c>
      <c r="I2181">
        <v>7</v>
      </c>
      <c r="J2181">
        <v>2013</v>
      </c>
      <c r="K2181" t="s">
        <v>2208</v>
      </c>
      <c r="L2181" t="str">
        <f>TEXT(maintable_2[[#This Row],[Order Date]],"mmmm")</f>
        <v>April</v>
      </c>
    </row>
    <row r="2182" spans="1:12" x14ac:dyDescent="0.3">
      <c r="A2182" s="1">
        <v>41375</v>
      </c>
      <c r="B2182" s="1">
        <v>41382</v>
      </c>
      <c r="C2182" t="s">
        <v>1888</v>
      </c>
      <c r="D2182" t="s">
        <v>27</v>
      </c>
      <c r="E2182" t="s">
        <v>1804</v>
      </c>
      <c r="F2182">
        <v>579.51</v>
      </c>
      <c r="G2182">
        <v>3</v>
      </c>
      <c r="H2182">
        <v>81.131399999999999</v>
      </c>
      <c r="I2182">
        <v>7</v>
      </c>
      <c r="J2182">
        <v>2013</v>
      </c>
      <c r="K2182" t="s">
        <v>2208</v>
      </c>
      <c r="L2182" t="str">
        <f>TEXT(maintable_2[[#This Row],[Order Date]],"mmmm")</f>
        <v>April</v>
      </c>
    </row>
    <row r="2183" spans="1:12" x14ac:dyDescent="0.3">
      <c r="A2183" s="1">
        <v>41375</v>
      </c>
      <c r="B2183" s="1">
        <v>41382</v>
      </c>
      <c r="C2183" t="s">
        <v>1888</v>
      </c>
      <c r="D2183" t="s">
        <v>27</v>
      </c>
      <c r="E2183" t="s">
        <v>1737</v>
      </c>
      <c r="F2183">
        <v>150.66</v>
      </c>
      <c r="G2183">
        <v>9</v>
      </c>
      <c r="H2183">
        <v>6.0263999999999998</v>
      </c>
      <c r="I2183">
        <v>7</v>
      </c>
      <c r="J2183">
        <v>2013</v>
      </c>
      <c r="K2183" t="s">
        <v>2208</v>
      </c>
      <c r="L2183" t="str">
        <f>TEXT(maintable_2[[#This Row],[Order Date]],"mmmm")</f>
        <v>April</v>
      </c>
    </row>
    <row r="2184" spans="1:12" x14ac:dyDescent="0.3">
      <c r="A2184" s="1">
        <v>41375</v>
      </c>
      <c r="B2184" s="1">
        <v>41382</v>
      </c>
      <c r="C2184" t="s">
        <v>1888</v>
      </c>
      <c r="D2184" t="s">
        <v>17</v>
      </c>
      <c r="E2184" t="s">
        <v>276</v>
      </c>
      <c r="F2184">
        <v>48.031999999999996</v>
      </c>
      <c r="G2184">
        <v>4</v>
      </c>
      <c r="H2184">
        <v>15.6104</v>
      </c>
      <c r="I2184">
        <v>7</v>
      </c>
      <c r="J2184">
        <v>2013</v>
      </c>
      <c r="K2184" t="s">
        <v>2208</v>
      </c>
      <c r="L2184" t="str">
        <f>TEXT(maintable_2[[#This Row],[Order Date]],"mmmm")</f>
        <v>April</v>
      </c>
    </row>
    <row r="2185" spans="1:12" x14ac:dyDescent="0.3">
      <c r="A2185" s="1">
        <v>41827</v>
      </c>
      <c r="B2185" s="1">
        <v>41832</v>
      </c>
      <c r="C2185" t="s">
        <v>1836</v>
      </c>
      <c r="D2185" t="s">
        <v>71</v>
      </c>
      <c r="E2185" t="s">
        <v>72</v>
      </c>
      <c r="F2185">
        <v>122.136</v>
      </c>
      <c r="G2185">
        <v>3</v>
      </c>
      <c r="H2185">
        <v>-13.7403</v>
      </c>
      <c r="I2185">
        <v>5</v>
      </c>
      <c r="J2185">
        <v>2014</v>
      </c>
      <c r="K2185" t="s">
        <v>2206</v>
      </c>
      <c r="L2185" t="str">
        <f>TEXT(maintable_2[[#This Row],[Order Date]],"mmmm")</f>
        <v>July</v>
      </c>
    </row>
    <row r="2186" spans="1:12" x14ac:dyDescent="0.3">
      <c r="A2186" s="1">
        <v>41983</v>
      </c>
      <c r="B2186" s="1">
        <v>41987</v>
      </c>
      <c r="C2186" t="s">
        <v>1389</v>
      </c>
      <c r="D2186" t="s">
        <v>44</v>
      </c>
      <c r="E2186" t="s">
        <v>693</v>
      </c>
      <c r="F2186">
        <v>419.4</v>
      </c>
      <c r="G2186">
        <v>5</v>
      </c>
      <c r="H2186">
        <v>146.79</v>
      </c>
      <c r="I2186">
        <v>4</v>
      </c>
      <c r="J2186">
        <v>2014</v>
      </c>
      <c r="K2186" t="s">
        <v>2207</v>
      </c>
      <c r="L2186" t="str">
        <f>TEXT(maintable_2[[#This Row],[Order Date]],"mmmm")</f>
        <v>December</v>
      </c>
    </row>
    <row r="2187" spans="1:12" x14ac:dyDescent="0.3">
      <c r="A2187" s="1">
        <v>41983</v>
      </c>
      <c r="B2187" s="1">
        <v>41987</v>
      </c>
      <c r="C2187" t="s">
        <v>1389</v>
      </c>
      <c r="D2187" t="s">
        <v>17</v>
      </c>
      <c r="E2187" t="s">
        <v>1889</v>
      </c>
      <c r="F2187">
        <v>13.005000000000001</v>
      </c>
      <c r="G2187">
        <v>3</v>
      </c>
      <c r="H2187">
        <v>-9.9704999999999995</v>
      </c>
      <c r="I2187">
        <v>4</v>
      </c>
      <c r="J2187">
        <v>2014</v>
      </c>
      <c r="K2187" t="s">
        <v>2207</v>
      </c>
      <c r="L2187" t="str">
        <f>TEXT(maintable_2[[#This Row],[Order Date]],"mmmm")</f>
        <v>December</v>
      </c>
    </row>
    <row r="2188" spans="1:12" x14ac:dyDescent="0.3">
      <c r="A2188" s="1">
        <v>41583</v>
      </c>
      <c r="B2188" s="1">
        <v>41587</v>
      </c>
      <c r="C2188" t="s">
        <v>812</v>
      </c>
      <c r="D2188" t="s">
        <v>17</v>
      </c>
      <c r="E2188" t="s">
        <v>167</v>
      </c>
      <c r="F2188">
        <v>7.7119999999999997</v>
      </c>
      <c r="G2188">
        <v>2</v>
      </c>
      <c r="H2188">
        <v>2.7955999999999999</v>
      </c>
      <c r="I2188">
        <v>4</v>
      </c>
      <c r="J2188">
        <v>2013</v>
      </c>
      <c r="K2188" t="s">
        <v>2209</v>
      </c>
      <c r="L2188" t="str">
        <f>TEXT(maintable_2[[#This Row],[Order Date]],"mmmm")</f>
        <v>November</v>
      </c>
    </row>
    <row r="2189" spans="1:12" x14ac:dyDescent="0.3">
      <c r="A2189" s="1">
        <v>41583</v>
      </c>
      <c r="B2189" s="1">
        <v>41587</v>
      </c>
      <c r="C2189" t="s">
        <v>812</v>
      </c>
      <c r="D2189" t="s">
        <v>17</v>
      </c>
      <c r="E2189" t="s">
        <v>1890</v>
      </c>
      <c r="F2189">
        <v>4.1760000000000002</v>
      </c>
      <c r="G2189">
        <v>1</v>
      </c>
      <c r="H2189">
        <v>1.3049999999999999</v>
      </c>
      <c r="I2189">
        <v>4</v>
      </c>
      <c r="J2189">
        <v>2013</v>
      </c>
      <c r="K2189" t="s">
        <v>2209</v>
      </c>
      <c r="L2189" t="str">
        <f>TEXT(maintable_2[[#This Row],[Order Date]],"mmmm")</f>
        <v>November</v>
      </c>
    </row>
    <row r="2190" spans="1:12" x14ac:dyDescent="0.3">
      <c r="A2190" s="1">
        <v>41583</v>
      </c>
      <c r="B2190" s="1">
        <v>41587</v>
      </c>
      <c r="C2190" t="s">
        <v>812</v>
      </c>
      <c r="D2190" t="s">
        <v>44</v>
      </c>
      <c r="E2190" t="s">
        <v>1891</v>
      </c>
      <c r="F2190">
        <v>38.880000000000003</v>
      </c>
      <c r="G2190">
        <v>6</v>
      </c>
      <c r="H2190">
        <v>18.662400000000002</v>
      </c>
      <c r="I2190">
        <v>4</v>
      </c>
      <c r="J2190">
        <v>2013</v>
      </c>
      <c r="K2190" t="s">
        <v>2209</v>
      </c>
      <c r="L2190" t="str">
        <f>TEXT(maintable_2[[#This Row],[Order Date]],"mmmm")</f>
        <v>November</v>
      </c>
    </row>
    <row r="2191" spans="1:12" x14ac:dyDescent="0.3">
      <c r="A2191" s="1">
        <v>41595</v>
      </c>
      <c r="B2191" s="1">
        <v>41596</v>
      </c>
      <c r="C2191" t="s">
        <v>1892</v>
      </c>
      <c r="D2191" t="s">
        <v>17</v>
      </c>
      <c r="E2191" t="s">
        <v>468</v>
      </c>
      <c r="F2191">
        <v>8.32</v>
      </c>
      <c r="G2191">
        <v>5</v>
      </c>
      <c r="H2191">
        <v>2.8079999999999998</v>
      </c>
      <c r="I2191">
        <v>1</v>
      </c>
      <c r="J2191">
        <v>2013</v>
      </c>
      <c r="K2191" t="s">
        <v>2209</v>
      </c>
      <c r="L2191" t="str">
        <f>TEXT(maintable_2[[#This Row],[Order Date]],"mmmm")</f>
        <v>November</v>
      </c>
    </row>
    <row r="2192" spans="1:12" x14ac:dyDescent="0.3">
      <c r="A2192" s="1">
        <v>41589</v>
      </c>
      <c r="B2192" s="1">
        <v>41594</v>
      </c>
      <c r="C2192" t="s">
        <v>519</v>
      </c>
      <c r="D2192" t="s">
        <v>11</v>
      </c>
      <c r="E2192" t="s">
        <v>1577</v>
      </c>
      <c r="F2192">
        <v>9.98</v>
      </c>
      <c r="G2192">
        <v>1</v>
      </c>
      <c r="H2192">
        <v>2.7944</v>
      </c>
      <c r="I2192">
        <v>5</v>
      </c>
      <c r="J2192">
        <v>2013</v>
      </c>
      <c r="K2192" t="s">
        <v>2209</v>
      </c>
      <c r="L2192" t="str">
        <f>TEXT(maintable_2[[#This Row],[Order Date]],"mmmm")</f>
        <v>November</v>
      </c>
    </row>
    <row r="2193" spans="1:12" x14ac:dyDescent="0.3">
      <c r="A2193" s="1">
        <v>41634</v>
      </c>
      <c r="B2193" s="1">
        <v>41641</v>
      </c>
      <c r="C2193" t="s">
        <v>797</v>
      </c>
      <c r="D2193" t="s">
        <v>21</v>
      </c>
      <c r="E2193" t="s">
        <v>350</v>
      </c>
      <c r="F2193">
        <v>35.445</v>
      </c>
      <c r="G2193">
        <v>1</v>
      </c>
      <c r="H2193">
        <v>-24.102599999999999</v>
      </c>
      <c r="I2193">
        <v>7</v>
      </c>
      <c r="J2193">
        <v>2013</v>
      </c>
      <c r="K2193" t="s">
        <v>2207</v>
      </c>
      <c r="L2193" t="str">
        <f>TEXT(maintable_2[[#This Row],[Order Date]],"mmmm")</f>
        <v>December</v>
      </c>
    </row>
    <row r="2194" spans="1:12" x14ac:dyDescent="0.3">
      <c r="A2194" s="1">
        <v>41634</v>
      </c>
      <c r="B2194" s="1">
        <v>41641</v>
      </c>
      <c r="C2194" t="s">
        <v>797</v>
      </c>
      <c r="D2194" t="s">
        <v>494</v>
      </c>
      <c r="E2194" t="s">
        <v>1893</v>
      </c>
      <c r="F2194">
        <v>269.97000000000003</v>
      </c>
      <c r="G2194">
        <v>2</v>
      </c>
      <c r="H2194">
        <v>-386.95699999999999</v>
      </c>
      <c r="I2194">
        <v>7</v>
      </c>
      <c r="J2194">
        <v>2013</v>
      </c>
      <c r="K2194" t="s">
        <v>2207</v>
      </c>
      <c r="L2194" t="str">
        <f>TEXT(maintable_2[[#This Row],[Order Date]],"mmmm")</f>
        <v>December</v>
      </c>
    </row>
    <row r="2195" spans="1:12" x14ac:dyDescent="0.3">
      <c r="A2195" s="1">
        <v>41634</v>
      </c>
      <c r="B2195" s="1">
        <v>41641</v>
      </c>
      <c r="C2195" t="s">
        <v>797</v>
      </c>
      <c r="D2195" t="s">
        <v>37</v>
      </c>
      <c r="E2195" t="s">
        <v>1231</v>
      </c>
      <c r="F2195">
        <v>45.12</v>
      </c>
      <c r="G2195">
        <v>3</v>
      </c>
      <c r="H2195">
        <v>-7.8959999999999999</v>
      </c>
      <c r="I2195">
        <v>7</v>
      </c>
      <c r="J2195">
        <v>2013</v>
      </c>
      <c r="K2195" t="s">
        <v>2207</v>
      </c>
      <c r="L2195" t="str">
        <f>TEXT(maintable_2[[#This Row],[Order Date]],"mmmm")</f>
        <v>December</v>
      </c>
    </row>
    <row r="2196" spans="1:12" x14ac:dyDescent="0.3">
      <c r="A2196" s="1">
        <v>41634</v>
      </c>
      <c r="B2196" s="1">
        <v>41641</v>
      </c>
      <c r="C2196" t="s">
        <v>797</v>
      </c>
      <c r="D2196" t="s">
        <v>37</v>
      </c>
      <c r="E2196" t="s">
        <v>1894</v>
      </c>
      <c r="F2196">
        <v>100.8</v>
      </c>
      <c r="G2196">
        <v>2</v>
      </c>
      <c r="H2196">
        <v>21.42</v>
      </c>
      <c r="I2196">
        <v>7</v>
      </c>
      <c r="J2196">
        <v>2013</v>
      </c>
      <c r="K2196" t="s">
        <v>2207</v>
      </c>
      <c r="L2196" t="str">
        <f>TEXT(maintable_2[[#This Row],[Order Date]],"mmmm")</f>
        <v>December</v>
      </c>
    </row>
    <row r="2197" spans="1:12" x14ac:dyDescent="0.3">
      <c r="A2197" s="1">
        <v>41634</v>
      </c>
      <c r="B2197" s="1">
        <v>41641</v>
      </c>
      <c r="C2197" t="s">
        <v>797</v>
      </c>
      <c r="D2197" t="s">
        <v>71</v>
      </c>
      <c r="E2197" t="s">
        <v>1895</v>
      </c>
      <c r="F2197">
        <v>47.968000000000004</v>
      </c>
      <c r="G2197">
        <v>2</v>
      </c>
      <c r="H2197">
        <v>4.1971999999999996</v>
      </c>
      <c r="I2197">
        <v>7</v>
      </c>
      <c r="J2197">
        <v>2013</v>
      </c>
      <c r="K2197" t="s">
        <v>2207</v>
      </c>
      <c r="L2197" t="str">
        <f>TEXT(maintable_2[[#This Row],[Order Date]],"mmmm")</f>
        <v>December</v>
      </c>
    </row>
    <row r="2198" spans="1:12" x14ac:dyDescent="0.3">
      <c r="A2198" s="1">
        <v>40821</v>
      </c>
      <c r="B2198" s="1">
        <v>40822</v>
      </c>
      <c r="C2198" t="s">
        <v>188</v>
      </c>
      <c r="D2198" t="s">
        <v>37</v>
      </c>
      <c r="E2198" t="s">
        <v>824</v>
      </c>
      <c r="F2198">
        <v>99.98</v>
      </c>
      <c r="G2198">
        <v>2</v>
      </c>
      <c r="H2198">
        <v>34.993000000000002</v>
      </c>
      <c r="I2198">
        <v>1</v>
      </c>
      <c r="J2198">
        <v>2011</v>
      </c>
      <c r="K2198" t="s">
        <v>2209</v>
      </c>
      <c r="L2198" t="str">
        <f>TEXT(maintable_2[[#This Row],[Order Date]],"mmmm")</f>
        <v>October</v>
      </c>
    </row>
    <row r="2199" spans="1:12" x14ac:dyDescent="0.3">
      <c r="A2199" s="1">
        <v>41999</v>
      </c>
      <c r="B2199" s="1">
        <v>42003</v>
      </c>
      <c r="C2199" t="s">
        <v>1756</v>
      </c>
      <c r="D2199" t="s">
        <v>17</v>
      </c>
      <c r="E2199" t="s">
        <v>167</v>
      </c>
      <c r="F2199">
        <v>3.8559999999999999</v>
      </c>
      <c r="G2199">
        <v>1</v>
      </c>
      <c r="H2199">
        <v>1.3977999999999999</v>
      </c>
      <c r="I2199">
        <v>4</v>
      </c>
      <c r="J2199">
        <v>2014</v>
      </c>
      <c r="K2199" t="s">
        <v>2207</v>
      </c>
      <c r="L2199" t="str">
        <f>TEXT(maintable_2[[#This Row],[Order Date]],"mmmm")</f>
        <v>December</v>
      </c>
    </row>
    <row r="2200" spans="1:12" x14ac:dyDescent="0.3">
      <c r="A2200" s="1">
        <v>40711</v>
      </c>
      <c r="B2200" s="1">
        <v>40715</v>
      </c>
      <c r="C2200" t="s">
        <v>641</v>
      </c>
      <c r="D2200" t="s">
        <v>11</v>
      </c>
      <c r="E2200" t="s">
        <v>217</v>
      </c>
      <c r="F2200">
        <v>6.24</v>
      </c>
      <c r="G2200">
        <v>3</v>
      </c>
      <c r="H2200">
        <v>2.6208</v>
      </c>
      <c r="I2200">
        <v>4</v>
      </c>
      <c r="J2200">
        <v>2011</v>
      </c>
      <c r="K2200" t="s">
        <v>2206</v>
      </c>
      <c r="L2200" t="str">
        <f>TEXT(maintable_2[[#This Row],[Order Date]],"mmmm")</f>
        <v>June</v>
      </c>
    </row>
    <row r="2201" spans="1:12" x14ac:dyDescent="0.3">
      <c r="A2201" s="1">
        <v>40711</v>
      </c>
      <c r="B2201" s="1">
        <v>40715</v>
      </c>
      <c r="C2201" t="s">
        <v>641</v>
      </c>
      <c r="D2201" t="s">
        <v>78</v>
      </c>
      <c r="E2201" t="s">
        <v>158</v>
      </c>
      <c r="F2201">
        <v>17.899999999999999</v>
      </c>
      <c r="G2201">
        <v>5</v>
      </c>
      <c r="H2201">
        <v>8.9499999999999993</v>
      </c>
      <c r="I2201">
        <v>4</v>
      </c>
      <c r="J2201">
        <v>2011</v>
      </c>
      <c r="K2201" t="s">
        <v>2206</v>
      </c>
      <c r="L2201" t="str">
        <f>TEXT(maintable_2[[#This Row],[Order Date]],"mmmm")</f>
        <v>June</v>
      </c>
    </row>
    <row r="2202" spans="1:12" x14ac:dyDescent="0.3">
      <c r="A2202" s="1">
        <v>40711</v>
      </c>
      <c r="B2202" s="1">
        <v>40715</v>
      </c>
      <c r="C2202" t="s">
        <v>641</v>
      </c>
      <c r="D2202" t="s">
        <v>17</v>
      </c>
      <c r="E2202" t="s">
        <v>1896</v>
      </c>
      <c r="F2202">
        <v>3266.3760000000002</v>
      </c>
      <c r="G2202">
        <v>3</v>
      </c>
      <c r="H2202">
        <v>1061.5722000000001</v>
      </c>
      <c r="I2202">
        <v>4</v>
      </c>
      <c r="J2202">
        <v>2011</v>
      </c>
      <c r="K2202" t="s">
        <v>2206</v>
      </c>
      <c r="L2202" t="str">
        <f>TEXT(maintable_2[[#This Row],[Order Date]],"mmmm")</f>
        <v>June</v>
      </c>
    </row>
    <row r="2203" spans="1:12" x14ac:dyDescent="0.3">
      <c r="A2203" s="1">
        <v>41946</v>
      </c>
      <c r="B2203" s="1">
        <v>41951</v>
      </c>
      <c r="C2203" t="s">
        <v>1070</v>
      </c>
      <c r="D2203" t="s">
        <v>19</v>
      </c>
      <c r="E2203" t="s">
        <v>409</v>
      </c>
      <c r="F2203">
        <v>168.1</v>
      </c>
      <c r="G2203">
        <v>5</v>
      </c>
      <c r="H2203">
        <v>43.706000000000003</v>
      </c>
      <c r="I2203">
        <v>5</v>
      </c>
      <c r="J2203">
        <v>2014</v>
      </c>
      <c r="K2203" t="s">
        <v>2209</v>
      </c>
      <c r="L2203" t="str">
        <f>TEXT(maintable_2[[#This Row],[Order Date]],"mmmm")</f>
        <v>November</v>
      </c>
    </row>
    <row r="2204" spans="1:12" x14ac:dyDescent="0.3">
      <c r="A2204" s="1">
        <v>41526</v>
      </c>
      <c r="B2204" s="1">
        <v>41526</v>
      </c>
      <c r="C2204" t="s">
        <v>380</v>
      </c>
      <c r="D2204" t="s">
        <v>21</v>
      </c>
      <c r="E2204" t="s">
        <v>579</v>
      </c>
      <c r="F2204">
        <v>146.04</v>
      </c>
      <c r="G2204">
        <v>1</v>
      </c>
      <c r="H2204">
        <v>-12.778499999999999</v>
      </c>
      <c r="I2204">
        <v>0</v>
      </c>
      <c r="J2204">
        <v>2013</v>
      </c>
      <c r="K2204" t="s">
        <v>2209</v>
      </c>
      <c r="L2204" t="str">
        <f>TEXT(maintable_2[[#This Row],[Order Date]],"mmmm")</f>
        <v>September</v>
      </c>
    </row>
    <row r="2205" spans="1:12" x14ac:dyDescent="0.3">
      <c r="A2205" s="1">
        <v>41599</v>
      </c>
      <c r="B2205" s="1">
        <v>41603</v>
      </c>
      <c r="C2205" t="s">
        <v>1897</v>
      </c>
      <c r="D2205" t="s">
        <v>37</v>
      </c>
      <c r="E2205" t="s">
        <v>1898</v>
      </c>
      <c r="F2205">
        <v>27.88</v>
      </c>
      <c r="G2205">
        <v>2</v>
      </c>
      <c r="H2205">
        <v>3.9032</v>
      </c>
      <c r="I2205">
        <v>4</v>
      </c>
      <c r="J2205">
        <v>2013</v>
      </c>
      <c r="K2205" t="s">
        <v>2209</v>
      </c>
      <c r="L2205" t="str">
        <f>TEXT(maintable_2[[#This Row],[Order Date]],"mmmm")</f>
        <v>November</v>
      </c>
    </row>
    <row r="2206" spans="1:12" x14ac:dyDescent="0.3">
      <c r="A2206" s="1">
        <v>41928</v>
      </c>
      <c r="B2206" s="1">
        <v>41933</v>
      </c>
      <c r="C2206" t="s">
        <v>489</v>
      </c>
      <c r="D2206" t="s">
        <v>8</v>
      </c>
      <c r="E2206" t="s">
        <v>600</v>
      </c>
      <c r="F2206">
        <v>152.65</v>
      </c>
      <c r="G2206">
        <v>5</v>
      </c>
      <c r="H2206">
        <v>70.218999999999994</v>
      </c>
      <c r="I2206">
        <v>5</v>
      </c>
      <c r="J2206">
        <v>2014</v>
      </c>
      <c r="K2206" t="s">
        <v>2209</v>
      </c>
      <c r="L2206" t="str">
        <f>TEXT(maintable_2[[#This Row],[Order Date]],"mmmm")</f>
        <v>October</v>
      </c>
    </row>
    <row r="2207" spans="1:12" x14ac:dyDescent="0.3">
      <c r="A2207" s="1">
        <v>41928</v>
      </c>
      <c r="B2207" s="1">
        <v>41933</v>
      </c>
      <c r="C2207" t="s">
        <v>489</v>
      </c>
      <c r="D2207" t="s">
        <v>11</v>
      </c>
      <c r="E2207" t="s">
        <v>1899</v>
      </c>
      <c r="F2207">
        <v>22.72</v>
      </c>
      <c r="G2207">
        <v>1</v>
      </c>
      <c r="H2207">
        <v>9.3152000000000008</v>
      </c>
      <c r="I2207">
        <v>5</v>
      </c>
      <c r="J2207">
        <v>2014</v>
      </c>
      <c r="K2207" t="s">
        <v>2209</v>
      </c>
      <c r="L2207" t="str">
        <f>TEXT(maintable_2[[#This Row],[Order Date]],"mmmm")</f>
        <v>October</v>
      </c>
    </row>
    <row r="2208" spans="1:12" x14ac:dyDescent="0.3">
      <c r="A2208" s="1">
        <v>41676</v>
      </c>
      <c r="B2208" s="1">
        <v>41680</v>
      </c>
      <c r="C2208" t="s">
        <v>1604</v>
      </c>
      <c r="D2208" t="s">
        <v>19</v>
      </c>
      <c r="E2208" t="s">
        <v>1662</v>
      </c>
      <c r="F2208">
        <v>1640.7</v>
      </c>
      <c r="G2208">
        <v>5</v>
      </c>
      <c r="H2208">
        <v>459.39600000000002</v>
      </c>
      <c r="I2208">
        <v>4</v>
      </c>
      <c r="J2208">
        <v>2014</v>
      </c>
      <c r="K2208" t="s">
        <v>2210</v>
      </c>
      <c r="L2208" t="str">
        <f>TEXT(maintable_2[[#This Row],[Order Date]],"mmmm")</f>
        <v>February</v>
      </c>
    </row>
    <row r="2209" spans="1:12" x14ac:dyDescent="0.3">
      <c r="A2209" s="1">
        <v>41676</v>
      </c>
      <c r="B2209" s="1">
        <v>41680</v>
      </c>
      <c r="C2209" t="s">
        <v>1604</v>
      </c>
      <c r="D2209" t="s">
        <v>15</v>
      </c>
      <c r="E2209" t="s">
        <v>721</v>
      </c>
      <c r="F2209">
        <v>371.2</v>
      </c>
      <c r="G2209">
        <v>5</v>
      </c>
      <c r="H2209">
        <v>41.76</v>
      </c>
      <c r="I2209">
        <v>4</v>
      </c>
      <c r="J2209">
        <v>2014</v>
      </c>
      <c r="K2209" t="s">
        <v>2210</v>
      </c>
      <c r="L2209" t="str">
        <f>TEXT(maintable_2[[#This Row],[Order Date]],"mmmm")</f>
        <v>February</v>
      </c>
    </row>
    <row r="2210" spans="1:12" x14ac:dyDescent="0.3">
      <c r="A2210" s="1">
        <v>40730</v>
      </c>
      <c r="B2210" s="1">
        <v>40736</v>
      </c>
      <c r="C2210" t="s">
        <v>927</v>
      </c>
      <c r="D2210" t="s">
        <v>71</v>
      </c>
      <c r="E2210" t="s">
        <v>774</v>
      </c>
      <c r="F2210">
        <v>478.48</v>
      </c>
      <c r="G2210">
        <v>2</v>
      </c>
      <c r="H2210">
        <v>47.847999999999999</v>
      </c>
      <c r="I2210">
        <v>6</v>
      </c>
      <c r="J2210">
        <v>2011</v>
      </c>
      <c r="K2210" t="s">
        <v>2206</v>
      </c>
      <c r="L2210" t="str">
        <f>TEXT(maintable_2[[#This Row],[Order Date]],"mmmm")</f>
        <v>July</v>
      </c>
    </row>
    <row r="2211" spans="1:12" x14ac:dyDescent="0.3">
      <c r="A2211" s="1">
        <v>41404</v>
      </c>
      <c r="B2211" s="1">
        <v>41409</v>
      </c>
      <c r="C2211" t="s">
        <v>925</v>
      </c>
      <c r="D2211" t="s">
        <v>44</v>
      </c>
      <c r="E2211" t="s">
        <v>1900</v>
      </c>
      <c r="F2211">
        <v>32.04</v>
      </c>
      <c r="G2211">
        <v>4</v>
      </c>
      <c r="H2211">
        <v>14.417999999999999</v>
      </c>
      <c r="I2211">
        <v>5</v>
      </c>
      <c r="J2211">
        <v>2013</v>
      </c>
      <c r="K2211" t="s">
        <v>2208</v>
      </c>
      <c r="L2211" t="str">
        <f>TEXT(maintable_2[[#This Row],[Order Date]],"mmmm")</f>
        <v>May</v>
      </c>
    </row>
    <row r="2212" spans="1:12" x14ac:dyDescent="0.3">
      <c r="A2212" s="1">
        <v>41474</v>
      </c>
      <c r="B2212" s="1">
        <v>41478</v>
      </c>
      <c r="C2212" t="s">
        <v>1901</v>
      </c>
      <c r="D2212" t="s">
        <v>15</v>
      </c>
      <c r="E2212" t="s">
        <v>235</v>
      </c>
      <c r="F2212">
        <v>55.991999999999997</v>
      </c>
      <c r="G2212">
        <v>1</v>
      </c>
      <c r="H2212">
        <v>3.4994999999999998</v>
      </c>
      <c r="I2212">
        <v>4</v>
      </c>
      <c r="J2212">
        <v>2013</v>
      </c>
      <c r="K2212" t="s">
        <v>2206</v>
      </c>
      <c r="L2212" t="str">
        <f>TEXT(maintable_2[[#This Row],[Order Date]],"mmmm")</f>
        <v>July</v>
      </c>
    </row>
    <row r="2213" spans="1:12" x14ac:dyDescent="0.3">
      <c r="A2213" s="1">
        <v>40653</v>
      </c>
      <c r="B2213" s="1">
        <v>40658</v>
      </c>
      <c r="C2213" t="s">
        <v>763</v>
      </c>
      <c r="D2213" t="s">
        <v>11</v>
      </c>
      <c r="E2213" t="s">
        <v>1902</v>
      </c>
      <c r="F2213">
        <v>59.92</v>
      </c>
      <c r="G2213">
        <v>4</v>
      </c>
      <c r="H2213">
        <v>27.563199999999998</v>
      </c>
      <c r="I2213">
        <v>5</v>
      </c>
      <c r="J2213">
        <v>2011</v>
      </c>
      <c r="K2213" t="s">
        <v>2208</v>
      </c>
      <c r="L2213" t="str">
        <f>TEXT(maintable_2[[#This Row],[Order Date]],"mmmm")</f>
        <v>April</v>
      </c>
    </row>
    <row r="2214" spans="1:12" x14ac:dyDescent="0.3">
      <c r="A2214" s="1">
        <v>41747</v>
      </c>
      <c r="B2214" s="1">
        <v>41752</v>
      </c>
      <c r="C2214" t="s">
        <v>711</v>
      </c>
      <c r="D2214" t="s">
        <v>44</v>
      </c>
      <c r="E2214" t="s">
        <v>1903</v>
      </c>
      <c r="F2214">
        <v>28.14</v>
      </c>
      <c r="G2214">
        <v>3</v>
      </c>
      <c r="H2214">
        <v>13.507199999999999</v>
      </c>
      <c r="I2214">
        <v>5</v>
      </c>
      <c r="J2214">
        <v>2014</v>
      </c>
      <c r="K2214" t="s">
        <v>2208</v>
      </c>
      <c r="L2214" t="str">
        <f>TEXT(maintable_2[[#This Row],[Order Date]],"mmmm")</f>
        <v>April</v>
      </c>
    </row>
    <row r="2215" spans="1:12" x14ac:dyDescent="0.3">
      <c r="A2215" s="1">
        <v>41747</v>
      </c>
      <c r="B2215" s="1">
        <v>41752</v>
      </c>
      <c r="C2215" t="s">
        <v>711</v>
      </c>
      <c r="D2215" t="s">
        <v>8</v>
      </c>
      <c r="E2215" t="s">
        <v>1014</v>
      </c>
      <c r="F2215">
        <v>7.38</v>
      </c>
      <c r="G2215">
        <v>2</v>
      </c>
      <c r="H2215">
        <v>3.4685999999999999</v>
      </c>
      <c r="I2215">
        <v>5</v>
      </c>
      <c r="J2215">
        <v>2014</v>
      </c>
      <c r="K2215" t="s">
        <v>2208</v>
      </c>
      <c r="L2215" t="str">
        <f>TEXT(maintable_2[[#This Row],[Order Date]],"mmmm")</f>
        <v>April</v>
      </c>
    </row>
    <row r="2216" spans="1:12" x14ac:dyDescent="0.3">
      <c r="A2216" s="1">
        <v>41747</v>
      </c>
      <c r="B2216" s="1">
        <v>41752</v>
      </c>
      <c r="C2216" t="s">
        <v>711</v>
      </c>
      <c r="D2216" t="s">
        <v>78</v>
      </c>
      <c r="E2216" t="s">
        <v>492</v>
      </c>
      <c r="F2216">
        <v>10.9</v>
      </c>
      <c r="G2216">
        <v>5</v>
      </c>
      <c r="H2216">
        <v>3.597</v>
      </c>
      <c r="I2216">
        <v>5</v>
      </c>
      <c r="J2216">
        <v>2014</v>
      </c>
      <c r="K2216" t="s">
        <v>2208</v>
      </c>
      <c r="L2216" t="str">
        <f>TEXT(maintable_2[[#This Row],[Order Date]],"mmmm")</f>
        <v>April</v>
      </c>
    </row>
    <row r="2217" spans="1:12" x14ac:dyDescent="0.3">
      <c r="A2217" s="1">
        <v>41747</v>
      </c>
      <c r="B2217" s="1">
        <v>41752</v>
      </c>
      <c r="C2217" t="s">
        <v>711</v>
      </c>
      <c r="D2217" t="s">
        <v>37</v>
      </c>
      <c r="E2217" t="s">
        <v>348</v>
      </c>
      <c r="F2217">
        <v>274.89</v>
      </c>
      <c r="G2217">
        <v>11</v>
      </c>
      <c r="H2217">
        <v>46.731299999999997</v>
      </c>
      <c r="I2217">
        <v>5</v>
      </c>
      <c r="J2217">
        <v>2014</v>
      </c>
      <c r="K2217" t="s">
        <v>2208</v>
      </c>
      <c r="L2217" t="str">
        <f>TEXT(maintable_2[[#This Row],[Order Date]],"mmmm")</f>
        <v>April</v>
      </c>
    </row>
    <row r="2218" spans="1:12" x14ac:dyDescent="0.3">
      <c r="A2218" s="1">
        <v>41747</v>
      </c>
      <c r="B2218" s="1">
        <v>41752</v>
      </c>
      <c r="C2218" t="s">
        <v>711</v>
      </c>
      <c r="D2218" t="s">
        <v>8</v>
      </c>
      <c r="E2218" t="s">
        <v>1207</v>
      </c>
      <c r="F2218">
        <v>23.04</v>
      </c>
      <c r="G2218">
        <v>8</v>
      </c>
      <c r="H2218">
        <v>11.2896</v>
      </c>
      <c r="I2218">
        <v>5</v>
      </c>
      <c r="J2218">
        <v>2014</v>
      </c>
      <c r="K2218" t="s">
        <v>2208</v>
      </c>
      <c r="L2218" t="str">
        <f>TEXT(maintable_2[[#This Row],[Order Date]],"mmmm")</f>
        <v>April</v>
      </c>
    </row>
    <row r="2219" spans="1:12" x14ac:dyDescent="0.3">
      <c r="A2219" s="1">
        <v>41747</v>
      </c>
      <c r="B2219" s="1">
        <v>41752</v>
      </c>
      <c r="C2219" t="s">
        <v>711</v>
      </c>
      <c r="D2219" t="s">
        <v>71</v>
      </c>
      <c r="E2219" t="s">
        <v>1904</v>
      </c>
      <c r="F2219">
        <v>218.352</v>
      </c>
      <c r="G2219">
        <v>3</v>
      </c>
      <c r="H2219">
        <v>-19.105799999999999</v>
      </c>
      <c r="I2219">
        <v>5</v>
      </c>
      <c r="J2219">
        <v>2014</v>
      </c>
      <c r="K2219" t="s">
        <v>2208</v>
      </c>
      <c r="L2219" t="str">
        <f>TEXT(maintable_2[[#This Row],[Order Date]],"mmmm")</f>
        <v>April</v>
      </c>
    </row>
    <row r="2220" spans="1:12" x14ac:dyDescent="0.3">
      <c r="A2220" s="1">
        <v>41508</v>
      </c>
      <c r="B2220" s="1">
        <v>41515</v>
      </c>
      <c r="C2220" t="s">
        <v>1905</v>
      </c>
      <c r="D2220" t="s">
        <v>17</v>
      </c>
      <c r="E2220" t="s">
        <v>421</v>
      </c>
      <c r="F2220">
        <v>12.672000000000001</v>
      </c>
      <c r="G2220">
        <v>2</v>
      </c>
      <c r="H2220">
        <v>4.7519999999999998</v>
      </c>
      <c r="I2220">
        <v>7</v>
      </c>
      <c r="J2220">
        <v>2013</v>
      </c>
      <c r="K2220" t="s">
        <v>2206</v>
      </c>
      <c r="L2220" t="str">
        <f>TEXT(maintable_2[[#This Row],[Order Date]],"mmmm")</f>
        <v>August</v>
      </c>
    </row>
    <row r="2221" spans="1:12" x14ac:dyDescent="0.3">
      <c r="A2221" s="1">
        <v>41508</v>
      </c>
      <c r="B2221" s="1">
        <v>41515</v>
      </c>
      <c r="C2221" t="s">
        <v>1905</v>
      </c>
      <c r="D2221" t="s">
        <v>15</v>
      </c>
      <c r="E2221" t="s">
        <v>256</v>
      </c>
      <c r="F2221">
        <v>91.96</v>
      </c>
      <c r="G2221">
        <v>5</v>
      </c>
      <c r="H2221">
        <v>-20.690999999999999</v>
      </c>
      <c r="I2221">
        <v>7</v>
      </c>
      <c r="J2221">
        <v>2013</v>
      </c>
      <c r="K2221" t="s">
        <v>2206</v>
      </c>
      <c r="L2221" t="str">
        <f>TEXT(maintable_2[[#This Row],[Order Date]],"mmmm")</f>
        <v>August</v>
      </c>
    </row>
    <row r="2222" spans="1:12" x14ac:dyDescent="0.3">
      <c r="A2222" s="1">
        <v>41508</v>
      </c>
      <c r="B2222" s="1">
        <v>41515</v>
      </c>
      <c r="C2222" t="s">
        <v>1905</v>
      </c>
      <c r="D2222" t="s">
        <v>37</v>
      </c>
      <c r="E2222" t="s">
        <v>1906</v>
      </c>
      <c r="F2222">
        <v>254.97</v>
      </c>
      <c r="G2222">
        <v>3</v>
      </c>
      <c r="H2222">
        <v>91.789199999999994</v>
      </c>
      <c r="I2222">
        <v>7</v>
      </c>
      <c r="J2222">
        <v>2013</v>
      </c>
      <c r="K2222" t="s">
        <v>2206</v>
      </c>
      <c r="L2222" t="str">
        <f>TEXT(maintable_2[[#This Row],[Order Date]],"mmmm")</f>
        <v>August</v>
      </c>
    </row>
    <row r="2223" spans="1:12" x14ac:dyDescent="0.3">
      <c r="A2223" s="1">
        <v>41508</v>
      </c>
      <c r="B2223" s="1">
        <v>41515</v>
      </c>
      <c r="C2223" t="s">
        <v>1905</v>
      </c>
      <c r="D2223" t="s">
        <v>15</v>
      </c>
      <c r="E2223" t="s">
        <v>1907</v>
      </c>
      <c r="F2223">
        <v>31.984000000000002</v>
      </c>
      <c r="G2223">
        <v>2</v>
      </c>
      <c r="H2223">
        <v>-7.9960000000000004</v>
      </c>
      <c r="I2223">
        <v>7</v>
      </c>
      <c r="J2223">
        <v>2013</v>
      </c>
      <c r="K2223" t="s">
        <v>2206</v>
      </c>
      <c r="L2223" t="str">
        <f>TEXT(maintable_2[[#This Row],[Order Date]],"mmmm")</f>
        <v>August</v>
      </c>
    </row>
    <row r="2224" spans="1:12" x14ac:dyDescent="0.3">
      <c r="A2224" s="1">
        <v>41508</v>
      </c>
      <c r="B2224" s="1">
        <v>41515</v>
      </c>
      <c r="C2224" t="s">
        <v>1905</v>
      </c>
      <c r="D2224" t="s">
        <v>21</v>
      </c>
      <c r="E2224" t="s">
        <v>1908</v>
      </c>
      <c r="F2224">
        <v>2887.056</v>
      </c>
      <c r="G2224">
        <v>9</v>
      </c>
      <c r="H2224">
        <v>180.441</v>
      </c>
      <c r="I2224">
        <v>7</v>
      </c>
      <c r="J2224">
        <v>2013</v>
      </c>
      <c r="K2224" t="s">
        <v>2206</v>
      </c>
      <c r="L2224" t="str">
        <f>TEXT(maintable_2[[#This Row],[Order Date]],"mmmm")</f>
        <v>August</v>
      </c>
    </row>
    <row r="2225" spans="1:12" x14ac:dyDescent="0.3">
      <c r="A2225" s="1">
        <v>41508</v>
      </c>
      <c r="B2225" s="1">
        <v>41515</v>
      </c>
      <c r="C2225" t="s">
        <v>1905</v>
      </c>
      <c r="D2225" t="s">
        <v>44</v>
      </c>
      <c r="E2225" t="s">
        <v>1909</v>
      </c>
      <c r="F2225">
        <v>12.96</v>
      </c>
      <c r="G2225">
        <v>2</v>
      </c>
      <c r="H2225">
        <v>6.2207999999999997</v>
      </c>
      <c r="I2225">
        <v>7</v>
      </c>
      <c r="J2225">
        <v>2013</v>
      </c>
      <c r="K2225" t="s">
        <v>2206</v>
      </c>
      <c r="L2225" t="str">
        <f>TEXT(maintable_2[[#This Row],[Order Date]],"mmmm")</f>
        <v>August</v>
      </c>
    </row>
    <row r="2226" spans="1:12" x14ac:dyDescent="0.3">
      <c r="A2226" s="1">
        <v>41508</v>
      </c>
      <c r="B2226" s="1">
        <v>41515</v>
      </c>
      <c r="C2226" t="s">
        <v>1905</v>
      </c>
      <c r="D2226" t="s">
        <v>44</v>
      </c>
      <c r="E2226" t="s">
        <v>1585</v>
      </c>
      <c r="F2226">
        <v>47.52</v>
      </c>
      <c r="G2226">
        <v>9</v>
      </c>
      <c r="H2226">
        <v>21.384</v>
      </c>
      <c r="I2226">
        <v>7</v>
      </c>
      <c r="J2226">
        <v>2013</v>
      </c>
      <c r="K2226" t="s">
        <v>2206</v>
      </c>
      <c r="L2226" t="str">
        <f>TEXT(maintable_2[[#This Row],[Order Date]],"mmmm")</f>
        <v>August</v>
      </c>
    </row>
    <row r="2227" spans="1:12" x14ac:dyDescent="0.3">
      <c r="A2227" s="1">
        <v>41259</v>
      </c>
      <c r="B2227" s="1">
        <v>41262</v>
      </c>
      <c r="C2227" t="s">
        <v>847</v>
      </c>
      <c r="D2227" t="s">
        <v>44</v>
      </c>
      <c r="E2227" t="s">
        <v>1910</v>
      </c>
      <c r="F2227">
        <v>4.9800000000000004</v>
      </c>
      <c r="G2227">
        <v>1</v>
      </c>
      <c r="H2227">
        <v>2.3405999999999998</v>
      </c>
      <c r="I2227">
        <v>3</v>
      </c>
      <c r="J2227">
        <v>2012</v>
      </c>
      <c r="K2227" t="s">
        <v>2207</v>
      </c>
      <c r="L2227" t="str">
        <f>TEXT(maintable_2[[#This Row],[Order Date]],"mmmm")</f>
        <v>December</v>
      </c>
    </row>
    <row r="2228" spans="1:12" x14ac:dyDescent="0.3">
      <c r="A2228" s="1">
        <v>41244</v>
      </c>
      <c r="B2228" s="1">
        <v>41248</v>
      </c>
      <c r="C2228" t="s">
        <v>91</v>
      </c>
      <c r="D2228" t="s">
        <v>71</v>
      </c>
      <c r="E2228" t="s">
        <v>245</v>
      </c>
      <c r="F2228">
        <v>2003.92</v>
      </c>
      <c r="G2228">
        <v>5</v>
      </c>
      <c r="H2228">
        <v>125.245</v>
      </c>
      <c r="I2228">
        <v>4</v>
      </c>
      <c r="J2228">
        <v>2012</v>
      </c>
      <c r="K2228" t="s">
        <v>2209</v>
      </c>
      <c r="L2228" t="str">
        <f>TEXT(maintable_2[[#This Row],[Order Date]],"mmmm")</f>
        <v>December</v>
      </c>
    </row>
    <row r="2229" spans="1:12" x14ac:dyDescent="0.3">
      <c r="A2229" s="1">
        <v>41244</v>
      </c>
      <c r="B2229" s="1">
        <v>41248</v>
      </c>
      <c r="C2229" t="s">
        <v>91</v>
      </c>
      <c r="D2229" t="s">
        <v>44</v>
      </c>
      <c r="E2229" t="s">
        <v>1911</v>
      </c>
      <c r="F2229">
        <v>32.4</v>
      </c>
      <c r="G2229">
        <v>5</v>
      </c>
      <c r="H2229">
        <v>15.552</v>
      </c>
      <c r="I2229">
        <v>4</v>
      </c>
      <c r="J2229">
        <v>2012</v>
      </c>
      <c r="K2229" t="s">
        <v>2209</v>
      </c>
      <c r="L2229" t="str">
        <f>TEXT(maintable_2[[#This Row],[Order Date]],"mmmm")</f>
        <v>December</v>
      </c>
    </row>
    <row r="2230" spans="1:12" x14ac:dyDescent="0.3">
      <c r="A2230" s="1">
        <v>41244</v>
      </c>
      <c r="B2230" s="1">
        <v>41248</v>
      </c>
      <c r="C2230" t="s">
        <v>91</v>
      </c>
      <c r="D2230" t="s">
        <v>21</v>
      </c>
      <c r="E2230" t="s">
        <v>1297</v>
      </c>
      <c r="F2230">
        <v>1913.4</v>
      </c>
      <c r="G2230">
        <v>9</v>
      </c>
      <c r="H2230">
        <v>401.81400000000002</v>
      </c>
      <c r="I2230">
        <v>4</v>
      </c>
      <c r="J2230">
        <v>2012</v>
      </c>
      <c r="K2230" t="s">
        <v>2209</v>
      </c>
      <c r="L2230" t="str">
        <f>TEXT(maintable_2[[#This Row],[Order Date]],"mmmm")</f>
        <v>December</v>
      </c>
    </row>
    <row r="2231" spans="1:12" x14ac:dyDescent="0.3">
      <c r="A2231" s="1">
        <v>41244</v>
      </c>
      <c r="B2231" s="1">
        <v>41248</v>
      </c>
      <c r="C2231" t="s">
        <v>91</v>
      </c>
      <c r="D2231" t="s">
        <v>27</v>
      </c>
      <c r="E2231" t="s">
        <v>1672</v>
      </c>
      <c r="F2231">
        <v>146.72999999999999</v>
      </c>
      <c r="G2231">
        <v>3</v>
      </c>
      <c r="H2231">
        <v>2.9346000000000001</v>
      </c>
      <c r="I2231">
        <v>4</v>
      </c>
      <c r="J2231">
        <v>2012</v>
      </c>
      <c r="K2231" t="s">
        <v>2209</v>
      </c>
      <c r="L2231" t="str">
        <f>TEXT(maintable_2[[#This Row],[Order Date]],"mmmm")</f>
        <v>December</v>
      </c>
    </row>
    <row r="2232" spans="1:12" x14ac:dyDescent="0.3">
      <c r="A2232" s="1">
        <v>41244</v>
      </c>
      <c r="B2232" s="1">
        <v>41248</v>
      </c>
      <c r="C2232" t="s">
        <v>91</v>
      </c>
      <c r="D2232" t="s">
        <v>44</v>
      </c>
      <c r="E2232" t="s">
        <v>856</v>
      </c>
      <c r="F2232">
        <v>114.2</v>
      </c>
      <c r="G2232">
        <v>5</v>
      </c>
      <c r="H2232">
        <v>52.531999999999996</v>
      </c>
      <c r="I2232">
        <v>4</v>
      </c>
      <c r="J2232">
        <v>2012</v>
      </c>
      <c r="K2232" t="s">
        <v>2209</v>
      </c>
      <c r="L2232" t="str">
        <f>TEXT(maintable_2[[#This Row],[Order Date]],"mmmm")</f>
        <v>December</v>
      </c>
    </row>
    <row r="2233" spans="1:12" x14ac:dyDescent="0.3">
      <c r="A2233" s="1">
        <v>41755</v>
      </c>
      <c r="B2233" s="1">
        <v>41762</v>
      </c>
      <c r="C2233" t="s">
        <v>745</v>
      </c>
      <c r="D2233" t="s">
        <v>44</v>
      </c>
      <c r="E2233" t="s">
        <v>1912</v>
      </c>
      <c r="F2233">
        <v>19.05</v>
      </c>
      <c r="G2233">
        <v>3</v>
      </c>
      <c r="H2233">
        <v>8.7629999999999999</v>
      </c>
      <c r="I2233">
        <v>7</v>
      </c>
      <c r="J2233">
        <v>2014</v>
      </c>
      <c r="K2233" t="s">
        <v>2208</v>
      </c>
      <c r="L2233" t="str">
        <f>TEXT(maintable_2[[#This Row],[Order Date]],"mmmm")</f>
        <v>April</v>
      </c>
    </row>
    <row r="2234" spans="1:12" x14ac:dyDescent="0.3">
      <c r="A2234" s="1">
        <v>41755</v>
      </c>
      <c r="B2234" s="1">
        <v>41762</v>
      </c>
      <c r="C2234" t="s">
        <v>745</v>
      </c>
      <c r="D2234" t="s">
        <v>17</v>
      </c>
      <c r="E2234" t="s">
        <v>1913</v>
      </c>
      <c r="F2234">
        <v>73.343999999999994</v>
      </c>
      <c r="G2234">
        <v>3</v>
      </c>
      <c r="H2234">
        <v>27.504000000000001</v>
      </c>
      <c r="I2234">
        <v>7</v>
      </c>
      <c r="J2234">
        <v>2014</v>
      </c>
      <c r="K2234" t="s">
        <v>2208</v>
      </c>
      <c r="L2234" t="str">
        <f>TEXT(maintable_2[[#This Row],[Order Date]],"mmmm")</f>
        <v>April</v>
      </c>
    </row>
    <row r="2235" spans="1:12" x14ac:dyDescent="0.3">
      <c r="A2235" s="1">
        <v>41845</v>
      </c>
      <c r="B2235" s="1">
        <v>41845</v>
      </c>
      <c r="C2235" t="s">
        <v>505</v>
      </c>
      <c r="D2235" t="s">
        <v>163</v>
      </c>
      <c r="E2235" t="s">
        <v>164</v>
      </c>
      <c r="F2235">
        <v>2399.96</v>
      </c>
      <c r="G2235">
        <v>5</v>
      </c>
      <c r="H2235">
        <v>839.98599999999999</v>
      </c>
      <c r="I2235">
        <v>0</v>
      </c>
      <c r="J2235">
        <v>2014</v>
      </c>
      <c r="K2235" t="s">
        <v>2206</v>
      </c>
      <c r="L2235" t="str">
        <f>TEXT(maintable_2[[#This Row],[Order Date]],"mmmm")</f>
        <v>July</v>
      </c>
    </row>
    <row r="2236" spans="1:12" x14ac:dyDescent="0.3">
      <c r="A2236" s="1">
        <v>41980</v>
      </c>
      <c r="B2236" s="1">
        <v>41982</v>
      </c>
      <c r="C2236" t="s">
        <v>1914</v>
      </c>
      <c r="D2236" t="s">
        <v>27</v>
      </c>
      <c r="E2236" t="s">
        <v>105</v>
      </c>
      <c r="F2236">
        <v>10.68</v>
      </c>
      <c r="G2236">
        <v>1</v>
      </c>
      <c r="H2236">
        <v>2.8835999999999999</v>
      </c>
      <c r="I2236">
        <v>2</v>
      </c>
      <c r="J2236">
        <v>2014</v>
      </c>
      <c r="K2236" t="s">
        <v>2207</v>
      </c>
      <c r="L2236" t="str">
        <f>TEXT(maintable_2[[#This Row],[Order Date]],"mmmm")</f>
        <v>December</v>
      </c>
    </row>
    <row r="2237" spans="1:12" x14ac:dyDescent="0.3">
      <c r="A2237" s="1">
        <v>41545</v>
      </c>
      <c r="B2237" s="1">
        <v>41551</v>
      </c>
      <c r="C2237" t="s">
        <v>1597</v>
      </c>
      <c r="D2237" t="s">
        <v>15</v>
      </c>
      <c r="E2237" t="s">
        <v>1915</v>
      </c>
      <c r="F2237">
        <v>1001.5839999999999</v>
      </c>
      <c r="G2237">
        <v>2</v>
      </c>
      <c r="H2237">
        <v>125.19799999999999</v>
      </c>
      <c r="I2237">
        <v>6</v>
      </c>
      <c r="J2237">
        <v>2013</v>
      </c>
      <c r="K2237" t="s">
        <v>2209</v>
      </c>
      <c r="L2237" t="str">
        <f>TEXT(maintable_2[[#This Row],[Order Date]],"mmmm")</f>
        <v>September</v>
      </c>
    </row>
    <row r="2238" spans="1:12" x14ac:dyDescent="0.3">
      <c r="A2238" s="1">
        <v>41850</v>
      </c>
      <c r="B2238" s="1">
        <v>41854</v>
      </c>
      <c r="C2238" t="s">
        <v>443</v>
      </c>
      <c r="D2238" t="s">
        <v>196</v>
      </c>
      <c r="E2238" t="s">
        <v>1916</v>
      </c>
      <c r="F2238">
        <v>115.96</v>
      </c>
      <c r="G2238">
        <v>2</v>
      </c>
      <c r="H2238">
        <v>25.511199999999999</v>
      </c>
      <c r="I2238">
        <v>4</v>
      </c>
      <c r="J2238">
        <v>2014</v>
      </c>
      <c r="K2238" t="s">
        <v>2206</v>
      </c>
      <c r="L2238" t="str">
        <f>TEXT(maintable_2[[#This Row],[Order Date]],"mmmm")</f>
        <v>July</v>
      </c>
    </row>
    <row r="2239" spans="1:12" x14ac:dyDescent="0.3">
      <c r="A2239" s="1">
        <v>41853</v>
      </c>
      <c r="B2239" s="1">
        <v>41857</v>
      </c>
      <c r="C2239" t="s">
        <v>1917</v>
      </c>
      <c r="D2239" t="s">
        <v>27</v>
      </c>
      <c r="E2239" t="s">
        <v>496</v>
      </c>
      <c r="F2239">
        <v>186.54</v>
      </c>
      <c r="G2239">
        <v>3</v>
      </c>
      <c r="H2239">
        <v>50.3658</v>
      </c>
      <c r="I2239">
        <v>4</v>
      </c>
      <c r="J2239">
        <v>2014</v>
      </c>
      <c r="K2239" t="s">
        <v>2206</v>
      </c>
      <c r="L2239" t="str">
        <f>TEXT(maintable_2[[#This Row],[Order Date]],"mmmm")</f>
        <v>August</v>
      </c>
    </row>
    <row r="2240" spans="1:12" x14ac:dyDescent="0.3">
      <c r="A2240" s="1">
        <v>41762</v>
      </c>
      <c r="B2240" s="1">
        <v>41765</v>
      </c>
      <c r="C2240" t="s">
        <v>1918</v>
      </c>
      <c r="D2240" t="s">
        <v>37</v>
      </c>
      <c r="E2240" t="s">
        <v>1919</v>
      </c>
      <c r="F2240">
        <v>159.56</v>
      </c>
      <c r="G2240">
        <v>4</v>
      </c>
      <c r="H2240">
        <v>59.037199999999999</v>
      </c>
      <c r="I2240">
        <v>3</v>
      </c>
      <c r="J2240">
        <v>2014</v>
      </c>
      <c r="K2240" t="s">
        <v>2208</v>
      </c>
      <c r="L2240" t="str">
        <f>TEXT(maintable_2[[#This Row],[Order Date]],"mmmm")</f>
        <v>May</v>
      </c>
    </row>
    <row r="2241" spans="1:12" x14ac:dyDescent="0.3">
      <c r="A2241" s="1">
        <v>40893</v>
      </c>
      <c r="B2241" s="1">
        <v>40898</v>
      </c>
      <c r="C2241" t="s">
        <v>1920</v>
      </c>
      <c r="D2241" t="s">
        <v>71</v>
      </c>
      <c r="E2241" t="s">
        <v>1075</v>
      </c>
      <c r="F2241">
        <v>1403.92</v>
      </c>
      <c r="G2241">
        <v>5</v>
      </c>
      <c r="H2241">
        <v>70.195999999999998</v>
      </c>
      <c r="I2241">
        <v>5</v>
      </c>
      <c r="J2241">
        <v>2011</v>
      </c>
      <c r="K2241" t="s">
        <v>2207</v>
      </c>
      <c r="L2241" t="str">
        <f>TEXT(maintable_2[[#This Row],[Order Date]],"mmmm")</f>
        <v>December</v>
      </c>
    </row>
    <row r="2242" spans="1:12" x14ac:dyDescent="0.3">
      <c r="A2242" s="1">
        <v>41381</v>
      </c>
      <c r="B2242" s="1">
        <v>41383</v>
      </c>
      <c r="C2242" t="s">
        <v>1921</v>
      </c>
      <c r="D2242" t="s">
        <v>81</v>
      </c>
      <c r="E2242" t="s">
        <v>1188</v>
      </c>
      <c r="F2242">
        <v>28.8</v>
      </c>
      <c r="G2242">
        <v>3</v>
      </c>
      <c r="H2242">
        <v>0.86399999999999999</v>
      </c>
      <c r="I2242">
        <v>2</v>
      </c>
      <c r="J2242">
        <v>2013</v>
      </c>
      <c r="K2242" t="s">
        <v>2208</v>
      </c>
      <c r="L2242" t="str">
        <f>TEXT(maintable_2[[#This Row],[Order Date]],"mmmm")</f>
        <v>April</v>
      </c>
    </row>
    <row r="2243" spans="1:12" x14ac:dyDescent="0.3">
      <c r="A2243" s="1">
        <v>41697</v>
      </c>
      <c r="B2243" s="1">
        <v>41701</v>
      </c>
      <c r="C2243" t="s">
        <v>1922</v>
      </c>
      <c r="D2243" t="s">
        <v>19</v>
      </c>
      <c r="E2243" t="s">
        <v>316</v>
      </c>
      <c r="F2243">
        <v>356.79</v>
      </c>
      <c r="G2243">
        <v>7</v>
      </c>
      <c r="H2243">
        <v>99.901200000000003</v>
      </c>
      <c r="I2243">
        <v>4</v>
      </c>
      <c r="J2243">
        <v>2014</v>
      </c>
      <c r="K2243" t="s">
        <v>2210</v>
      </c>
      <c r="L2243" t="str">
        <f>TEXT(maintable_2[[#This Row],[Order Date]],"mmmm")</f>
        <v>February</v>
      </c>
    </row>
    <row r="2244" spans="1:12" x14ac:dyDescent="0.3">
      <c r="A2244" s="1">
        <v>41484</v>
      </c>
      <c r="B2244" s="1">
        <v>41490</v>
      </c>
      <c r="C2244" t="s">
        <v>1800</v>
      </c>
      <c r="D2244" t="s">
        <v>8</v>
      </c>
      <c r="E2244" t="s">
        <v>1923</v>
      </c>
      <c r="F2244">
        <v>18.899999999999999</v>
      </c>
      <c r="G2244">
        <v>3</v>
      </c>
      <c r="H2244">
        <v>8.6940000000000008</v>
      </c>
      <c r="I2244">
        <v>6</v>
      </c>
      <c r="J2244">
        <v>2013</v>
      </c>
      <c r="K2244" t="s">
        <v>2206</v>
      </c>
      <c r="L2244" t="str">
        <f>TEXT(maintable_2[[#This Row],[Order Date]],"mmmm")</f>
        <v>July</v>
      </c>
    </row>
    <row r="2245" spans="1:12" x14ac:dyDescent="0.3">
      <c r="A2245" s="1">
        <v>41449</v>
      </c>
      <c r="B2245" s="1">
        <v>41451</v>
      </c>
      <c r="C2245" t="s">
        <v>104</v>
      </c>
      <c r="D2245" t="s">
        <v>27</v>
      </c>
      <c r="E2245" t="s">
        <v>853</v>
      </c>
      <c r="F2245">
        <v>93.68</v>
      </c>
      <c r="G2245">
        <v>4</v>
      </c>
      <c r="H2245">
        <v>25.293600000000001</v>
      </c>
      <c r="I2245">
        <v>2</v>
      </c>
      <c r="J2245">
        <v>2013</v>
      </c>
      <c r="K2245" t="s">
        <v>2206</v>
      </c>
      <c r="L2245" t="str">
        <f>TEXT(maintable_2[[#This Row],[Order Date]],"mmmm")</f>
        <v>June</v>
      </c>
    </row>
    <row r="2246" spans="1:12" x14ac:dyDescent="0.3">
      <c r="A2246" s="1">
        <v>41449</v>
      </c>
      <c r="B2246" s="1">
        <v>41451</v>
      </c>
      <c r="C2246" t="s">
        <v>104</v>
      </c>
      <c r="D2246" t="s">
        <v>8</v>
      </c>
      <c r="E2246" t="s">
        <v>1868</v>
      </c>
      <c r="F2246">
        <v>21.93</v>
      </c>
      <c r="G2246">
        <v>3</v>
      </c>
      <c r="H2246">
        <v>10.3071</v>
      </c>
      <c r="I2246">
        <v>2</v>
      </c>
      <c r="J2246">
        <v>2013</v>
      </c>
      <c r="K2246" t="s">
        <v>2206</v>
      </c>
      <c r="L2246" t="str">
        <f>TEXT(maintable_2[[#This Row],[Order Date]],"mmmm")</f>
        <v>June</v>
      </c>
    </row>
    <row r="2247" spans="1:12" x14ac:dyDescent="0.3">
      <c r="A2247" s="1">
        <v>41449</v>
      </c>
      <c r="B2247" s="1">
        <v>41451</v>
      </c>
      <c r="C2247" t="s">
        <v>104</v>
      </c>
      <c r="D2247" t="s">
        <v>15</v>
      </c>
      <c r="E2247" t="s">
        <v>184</v>
      </c>
      <c r="F2247">
        <v>862.34400000000005</v>
      </c>
      <c r="G2247">
        <v>7</v>
      </c>
      <c r="H2247">
        <v>97.0137</v>
      </c>
      <c r="I2247">
        <v>2</v>
      </c>
      <c r="J2247">
        <v>2013</v>
      </c>
      <c r="K2247" t="s">
        <v>2206</v>
      </c>
      <c r="L2247" t="str">
        <f>TEXT(maintable_2[[#This Row],[Order Date]],"mmmm")</f>
        <v>June</v>
      </c>
    </row>
    <row r="2248" spans="1:12" x14ac:dyDescent="0.3">
      <c r="A2248" s="1">
        <v>41449</v>
      </c>
      <c r="B2248" s="1">
        <v>41451</v>
      </c>
      <c r="C2248" t="s">
        <v>104</v>
      </c>
      <c r="D2248" t="s">
        <v>44</v>
      </c>
      <c r="E2248" t="s">
        <v>1924</v>
      </c>
      <c r="F2248">
        <v>19.98</v>
      </c>
      <c r="G2248">
        <v>1</v>
      </c>
      <c r="H2248">
        <v>9.3905999999999992</v>
      </c>
      <c r="I2248">
        <v>2</v>
      </c>
      <c r="J2248">
        <v>2013</v>
      </c>
      <c r="K2248" t="s">
        <v>2206</v>
      </c>
      <c r="L2248" t="str">
        <f>TEXT(maintable_2[[#This Row],[Order Date]],"mmmm")</f>
        <v>June</v>
      </c>
    </row>
    <row r="2249" spans="1:12" x14ac:dyDescent="0.3">
      <c r="A2249" s="1">
        <v>41584</v>
      </c>
      <c r="B2249" s="1">
        <v>41588</v>
      </c>
      <c r="C2249" t="s">
        <v>527</v>
      </c>
      <c r="D2249" t="s">
        <v>37</v>
      </c>
      <c r="E2249" t="s">
        <v>1925</v>
      </c>
      <c r="F2249">
        <v>479.72</v>
      </c>
      <c r="G2249">
        <v>4</v>
      </c>
      <c r="H2249">
        <v>52.769199999999998</v>
      </c>
      <c r="I2249">
        <v>4</v>
      </c>
      <c r="J2249">
        <v>2013</v>
      </c>
      <c r="K2249" t="s">
        <v>2209</v>
      </c>
      <c r="L2249" t="str">
        <f>TEXT(maintable_2[[#This Row],[Order Date]],"mmmm")</f>
        <v>November</v>
      </c>
    </row>
    <row r="2250" spans="1:12" x14ac:dyDescent="0.3">
      <c r="A2250" s="1">
        <v>41115</v>
      </c>
      <c r="B2250" s="1">
        <v>41120</v>
      </c>
      <c r="C2250" t="s">
        <v>1926</v>
      </c>
      <c r="D2250" t="s">
        <v>15</v>
      </c>
      <c r="E2250" t="s">
        <v>1927</v>
      </c>
      <c r="F2250">
        <v>623.96</v>
      </c>
      <c r="G2250">
        <v>5</v>
      </c>
      <c r="H2250">
        <v>38.997500000000002</v>
      </c>
      <c r="I2250">
        <v>5</v>
      </c>
      <c r="J2250">
        <v>2012</v>
      </c>
      <c r="K2250" t="s">
        <v>2206</v>
      </c>
      <c r="L2250" t="str">
        <f>TEXT(maintable_2[[#This Row],[Order Date]],"mmmm")</f>
        <v>July</v>
      </c>
    </row>
    <row r="2251" spans="1:12" x14ac:dyDescent="0.3">
      <c r="A2251" s="1">
        <v>41222</v>
      </c>
      <c r="B2251" s="1">
        <v>41226</v>
      </c>
      <c r="C2251" t="s">
        <v>661</v>
      </c>
      <c r="D2251" t="s">
        <v>78</v>
      </c>
      <c r="E2251" t="s">
        <v>170</v>
      </c>
      <c r="F2251">
        <v>2.48</v>
      </c>
      <c r="G2251">
        <v>2</v>
      </c>
      <c r="H2251">
        <v>1.1656</v>
      </c>
      <c r="I2251">
        <v>4</v>
      </c>
      <c r="J2251">
        <v>2012</v>
      </c>
      <c r="K2251" t="s">
        <v>2209</v>
      </c>
      <c r="L2251" t="str">
        <f>TEXT(maintable_2[[#This Row],[Order Date]],"mmmm")</f>
        <v>November</v>
      </c>
    </row>
    <row r="2252" spans="1:12" x14ac:dyDescent="0.3">
      <c r="A2252" s="1">
        <v>41184</v>
      </c>
      <c r="B2252" s="1">
        <v>41185</v>
      </c>
      <c r="C2252" t="s">
        <v>1928</v>
      </c>
      <c r="D2252" t="s">
        <v>17</v>
      </c>
      <c r="E2252" t="s">
        <v>1839</v>
      </c>
      <c r="F2252">
        <v>11.808</v>
      </c>
      <c r="G2252">
        <v>3</v>
      </c>
      <c r="H2252">
        <v>4.1327999999999996</v>
      </c>
      <c r="I2252">
        <v>1</v>
      </c>
      <c r="J2252">
        <v>2012</v>
      </c>
      <c r="K2252" t="s">
        <v>2209</v>
      </c>
      <c r="L2252" t="str">
        <f>TEXT(maintable_2[[#This Row],[Order Date]],"mmmm")</f>
        <v>October</v>
      </c>
    </row>
    <row r="2253" spans="1:12" x14ac:dyDescent="0.3">
      <c r="A2253" s="1">
        <v>41184</v>
      </c>
      <c r="B2253" s="1">
        <v>41185</v>
      </c>
      <c r="C2253" t="s">
        <v>1928</v>
      </c>
      <c r="D2253" t="s">
        <v>17</v>
      </c>
      <c r="E2253" t="s">
        <v>1370</v>
      </c>
      <c r="F2253">
        <v>53.567999999999998</v>
      </c>
      <c r="G2253">
        <v>4</v>
      </c>
      <c r="H2253">
        <v>19.418399999999998</v>
      </c>
      <c r="I2253">
        <v>1</v>
      </c>
      <c r="J2253">
        <v>2012</v>
      </c>
      <c r="K2253" t="s">
        <v>2209</v>
      </c>
      <c r="L2253" t="str">
        <f>TEXT(maintable_2[[#This Row],[Order Date]],"mmmm")</f>
        <v>October</v>
      </c>
    </row>
    <row r="2254" spans="1:12" x14ac:dyDescent="0.3">
      <c r="A2254" s="1">
        <v>41184</v>
      </c>
      <c r="B2254" s="1">
        <v>41185</v>
      </c>
      <c r="C2254" t="s">
        <v>1928</v>
      </c>
      <c r="D2254" t="s">
        <v>15</v>
      </c>
      <c r="E2254" t="s">
        <v>1929</v>
      </c>
      <c r="F2254">
        <v>503.96</v>
      </c>
      <c r="G2254">
        <v>5</v>
      </c>
      <c r="H2254">
        <v>50.396000000000001</v>
      </c>
      <c r="I2254">
        <v>1</v>
      </c>
      <c r="J2254">
        <v>2012</v>
      </c>
      <c r="K2254" t="s">
        <v>2209</v>
      </c>
      <c r="L2254" t="str">
        <f>TEXT(maintable_2[[#This Row],[Order Date]],"mmmm")</f>
        <v>October</v>
      </c>
    </row>
    <row r="2255" spans="1:12" x14ac:dyDescent="0.3">
      <c r="A2255" s="1">
        <v>41024</v>
      </c>
      <c r="B2255" s="1">
        <v>41031</v>
      </c>
      <c r="C2255" t="s">
        <v>515</v>
      </c>
      <c r="D2255" t="s">
        <v>86</v>
      </c>
      <c r="E2255" t="s">
        <v>1930</v>
      </c>
      <c r="F2255">
        <v>21.34</v>
      </c>
      <c r="G2255">
        <v>2</v>
      </c>
      <c r="H2255">
        <v>9.8163999999999998</v>
      </c>
      <c r="I2255">
        <v>7</v>
      </c>
      <c r="J2255">
        <v>2012</v>
      </c>
      <c r="K2255" t="s">
        <v>2208</v>
      </c>
      <c r="L2255" t="str">
        <f>TEXT(maintable_2[[#This Row],[Order Date]],"mmmm")</f>
        <v>April</v>
      </c>
    </row>
    <row r="2256" spans="1:12" x14ac:dyDescent="0.3">
      <c r="A2256" s="1">
        <v>41179</v>
      </c>
      <c r="B2256" s="1">
        <v>41181</v>
      </c>
      <c r="C2256" t="s">
        <v>892</v>
      </c>
      <c r="D2256" t="s">
        <v>27</v>
      </c>
      <c r="E2256" t="s">
        <v>122</v>
      </c>
      <c r="F2256">
        <v>15.51</v>
      </c>
      <c r="G2256">
        <v>1</v>
      </c>
      <c r="H2256">
        <v>4.3428000000000004</v>
      </c>
      <c r="I2256">
        <v>2</v>
      </c>
      <c r="J2256">
        <v>2012</v>
      </c>
      <c r="K2256" t="s">
        <v>2209</v>
      </c>
      <c r="L2256" t="str">
        <f>TEXT(maintable_2[[#This Row],[Order Date]],"mmmm")</f>
        <v>September</v>
      </c>
    </row>
    <row r="2257" spans="1:12" x14ac:dyDescent="0.3">
      <c r="A2257" s="1">
        <v>41179</v>
      </c>
      <c r="B2257" s="1">
        <v>41181</v>
      </c>
      <c r="C2257" t="s">
        <v>892</v>
      </c>
      <c r="D2257" t="s">
        <v>44</v>
      </c>
      <c r="E2257" t="s">
        <v>1931</v>
      </c>
      <c r="F2257">
        <v>146.82</v>
      </c>
      <c r="G2257">
        <v>3</v>
      </c>
      <c r="H2257">
        <v>73.41</v>
      </c>
      <c r="I2257">
        <v>2</v>
      </c>
      <c r="J2257">
        <v>2012</v>
      </c>
      <c r="K2257" t="s">
        <v>2209</v>
      </c>
      <c r="L2257" t="str">
        <f>TEXT(maintable_2[[#This Row],[Order Date]],"mmmm")</f>
        <v>September</v>
      </c>
    </row>
    <row r="2258" spans="1:12" x14ac:dyDescent="0.3">
      <c r="A2258" s="1">
        <v>41179</v>
      </c>
      <c r="B2258" s="1">
        <v>41181</v>
      </c>
      <c r="C2258" t="s">
        <v>892</v>
      </c>
      <c r="D2258" t="s">
        <v>44</v>
      </c>
      <c r="E2258" t="s">
        <v>273</v>
      </c>
      <c r="F2258">
        <v>12.96</v>
      </c>
      <c r="G2258">
        <v>2</v>
      </c>
      <c r="H2258">
        <v>6.2207999999999997</v>
      </c>
      <c r="I2258">
        <v>2</v>
      </c>
      <c r="J2258">
        <v>2012</v>
      </c>
      <c r="K2258" t="s">
        <v>2209</v>
      </c>
      <c r="L2258" t="str">
        <f>TEXT(maintable_2[[#This Row],[Order Date]],"mmmm")</f>
        <v>September</v>
      </c>
    </row>
    <row r="2259" spans="1:12" x14ac:dyDescent="0.3">
      <c r="A2259" s="1">
        <v>41954</v>
      </c>
      <c r="B2259" s="1">
        <v>41954</v>
      </c>
      <c r="C2259" t="s">
        <v>1932</v>
      </c>
      <c r="D2259" t="s">
        <v>13</v>
      </c>
      <c r="E2259" t="s">
        <v>1933</v>
      </c>
      <c r="F2259">
        <v>7.8</v>
      </c>
      <c r="G2259">
        <v>3</v>
      </c>
      <c r="H2259">
        <v>2.1059999999999999</v>
      </c>
      <c r="I2259">
        <v>0</v>
      </c>
      <c r="J2259">
        <v>2014</v>
      </c>
      <c r="K2259" t="s">
        <v>2209</v>
      </c>
      <c r="L2259" t="str">
        <f>TEXT(maintable_2[[#This Row],[Order Date]],"mmmm")</f>
        <v>November</v>
      </c>
    </row>
    <row r="2260" spans="1:12" x14ac:dyDescent="0.3">
      <c r="A2260" s="1">
        <v>41284</v>
      </c>
      <c r="B2260" s="1">
        <v>41287</v>
      </c>
      <c r="C2260" t="s">
        <v>1697</v>
      </c>
      <c r="D2260" t="s">
        <v>11</v>
      </c>
      <c r="E2260" t="s">
        <v>628</v>
      </c>
      <c r="F2260">
        <v>24.85</v>
      </c>
      <c r="G2260">
        <v>5</v>
      </c>
      <c r="H2260">
        <v>7.7035</v>
      </c>
      <c r="I2260">
        <v>3</v>
      </c>
      <c r="J2260">
        <v>2013</v>
      </c>
      <c r="K2260" t="s">
        <v>2210</v>
      </c>
      <c r="L2260" t="str">
        <f>TEXT(maintable_2[[#This Row],[Order Date]],"mmmm")</f>
        <v>January</v>
      </c>
    </row>
    <row r="2261" spans="1:12" x14ac:dyDescent="0.3">
      <c r="A2261" s="1">
        <v>41902</v>
      </c>
      <c r="B2261" s="1">
        <v>41908</v>
      </c>
      <c r="C2261" t="s">
        <v>587</v>
      </c>
      <c r="D2261" t="s">
        <v>27</v>
      </c>
      <c r="E2261" t="s">
        <v>1639</v>
      </c>
      <c r="F2261">
        <v>12.624000000000001</v>
      </c>
      <c r="G2261">
        <v>2</v>
      </c>
      <c r="H2261">
        <v>-2.5247999999999999</v>
      </c>
      <c r="I2261">
        <v>6</v>
      </c>
      <c r="J2261">
        <v>2014</v>
      </c>
      <c r="K2261" t="s">
        <v>2209</v>
      </c>
      <c r="L2261" t="str">
        <f>TEXT(maintable_2[[#This Row],[Order Date]],"mmmm")</f>
        <v>September</v>
      </c>
    </row>
    <row r="2262" spans="1:12" x14ac:dyDescent="0.3">
      <c r="A2262" s="1">
        <v>41902</v>
      </c>
      <c r="B2262" s="1">
        <v>41908</v>
      </c>
      <c r="C2262" t="s">
        <v>587</v>
      </c>
      <c r="D2262" t="s">
        <v>37</v>
      </c>
      <c r="E2262" t="s">
        <v>384</v>
      </c>
      <c r="F2262">
        <v>89.584000000000003</v>
      </c>
      <c r="G2262">
        <v>2</v>
      </c>
      <c r="H2262">
        <v>4.4791999999999996</v>
      </c>
      <c r="I2262">
        <v>6</v>
      </c>
      <c r="J2262">
        <v>2014</v>
      </c>
      <c r="K2262" t="s">
        <v>2209</v>
      </c>
      <c r="L2262" t="str">
        <f>TEXT(maintable_2[[#This Row],[Order Date]],"mmmm")</f>
        <v>September</v>
      </c>
    </row>
    <row r="2263" spans="1:12" x14ac:dyDescent="0.3">
      <c r="A2263" s="1">
        <v>41902</v>
      </c>
      <c r="B2263" s="1">
        <v>41908</v>
      </c>
      <c r="C2263" t="s">
        <v>587</v>
      </c>
      <c r="D2263" t="s">
        <v>15</v>
      </c>
      <c r="E2263" t="s">
        <v>1934</v>
      </c>
      <c r="F2263">
        <v>471.92</v>
      </c>
      <c r="G2263">
        <v>2</v>
      </c>
      <c r="H2263">
        <v>29.495000000000001</v>
      </c>
      <c r="I2263">
        <v>6</v>
      </c>
      <c r="J2263">
        <v>2014</v>
      </c>
      <c r="K2263" t="s">
        <v>2209</v>
      </c>
      <c r="L2263" t="str">
        <f>TEXT(maintable_2[[#This Row],[Order Date]],"mmmm")</f>
        <v>September</v>
      </c>
    </row>
    <row r="2264" spans="1:12" x14ac:dyDescent="0.3">
      <c r="A2264" s="1">
        <v>41902</v>
      </c>
      <c r="B2264" s="1">
        <v>41908</v>
      </c>
      <c r="C2264" t="s">
        <v>587</v>
      </c>
      <c r="D2264" t="s">
        <v>17</v>
      </c>
      <c r="E2264" t="s">
        <v>1829</v>
      </c>
      <c r="F2264">
        <v>18.18</v>
      </c>
      <c r="G2264">
        <v>4</v>
      </c>
      <c r="H2264">
        <v>-13.938000000000001</v>
      </c>
      <c r="I2264">
        <v>6</v>
      </c>
      <c r="J2264">
        <v>2014</v>
      </c>
      <c r="K2264" t="s">
        <v>2209</v>
      </c>
      <c r="L2264" t="str">
        <f>TEXT(maintable_2[[#This Row],[Order Date]],"mmmm")</f>
        <v>September</v>
      </c>
    </row>
    <row r="2265" spans="1:12" x14ac:dyDescent="0.3">
      <c r="A2265" s="1">
        <v>41088</v>
      </c>
      <c r="B2265" s="1">
        <v>41092</v>
      </c>
      <c r="C2265" t="s">
        <v>473</v>
      </c>
      <c r="D2265" t="s">
        <v>8</v>
      </c>
      <c r="E2265" t="s">
        <v>746</v>
      </c>
      <c r="F2265">
        <v>5.9039999999999999</v>
      </c>
      <c r="G2265">
        <v>2</v>
      </c>
      <c r="H2265">
        <v>1.9925999999999999</v>
      </c>
      <c r="I2265">
        <v>4</v>
      </c>
      <c r="J2265">
        <v>2012</v>
      </c>
      <c r="K2265" t="s">
        <v>2206</v>
      </c>
      <c r="L2265" t="str">
        <f>TEXT(maintable_2[[#This Row],[Order Date]],"mmmm")</f>
        <v>June</v>
      </c>
    </row>
    <row r="2266" spans="1:12" x14ac:dyDescent="0.3">
      <c r="A2266" s="1">
        <v>41088</v>
      </c>
      <c r="B2266" s="1">
        <v>41092</v>
      </c>
      <c r="C2266" t="s">
        <v>473</v>
      </c>
      <c r="D2266" t="s">
        <v>11</v>
      </c>
      <c r="E2266" t="s">
        <v>1935</v>
      </c>
      <c r="F2266">
        <v>621.76</v>
      </c>
      <c r="G2266">
        <v>4</v>
      </c>
      <c r="H2266">
        <v>46.631999999999998</v>
      </c>
      <c r="I2266">
        <v>4</v>
      </c>
      <c r="J2266">
        <v>2012</v>
      </c>
      <c r="K2266" t="s">
        <v>2206</v>
      </c>
      <c r="L2266" t="str">
        <f>TEXT(maintable_2[[#This Row],[Order Date]],"mmmm")</f>
        <v>June</v>
      </c>
    </row>
    <row r="2267" spans="1:12" x14ac:dyDescent="0.3">
      <c r="A2267" s="1">
        <v>41654</v>
      </c>
      <c r="B2267" s="1">
        <v>41659</v>
      </c>
      <c r="C2267" t="s">
        <v>1936</v>
      </c>
      <c r="D2267" t="s">
        <v>44</v>
      </c>
      <c r="E2267" t="s">
        <v>1504</v>
      </c>
      <c r="F2267">
        <v>154.9</v>
      </c>
      <c r="G2267">
        <v>5</v>
      </c>
      <c r="H2267">
        <v>69.704999999999998</v>
      </c>
      <c r="I2267">
        <v>5</v>
      </c>
      <c r="J2267">
        <v>2014</v>
      </c>
      <c r="K2267" t="s">
        <v>2210</v>
      </c>
      <c r="L2267" t="str">
        <f>TEXT(maintable_2[[#This Row],[Order Date]],"mmmm")</f>
        <v>January</v>
      </c>
    </row>
    <row r="2268" spans="1:12" x14ac:dyDescent="0.3">
      <c r="A2268" s="1">
        <v>41232</v>
      </c>
      <c r="B2268" s="1">
        <v>41239</v>
      </c>
      <c r="C2268" t="s">
        <v>1008</v>
      </c>
      <c r="D2268" t="s">
        <v>19</v>
      </c>
      <c r="E2268" t="s">
        <v>1734</v>
      </c>
      <c r="F2268">
        <v>31.08</v>
      </c>
      <c r="G2268">
        <v>4</v>
      </c>
      <c r="H2268">
        <v>8.3916000000000004</v>
      </c>
      <c r="I2268">
        <v>7</v>
      </c>
      <c r="J2268">
        <v>2012</v>
      </c>
      <c r="K2268" t="s">
        <v>2209</v>
      </c>
      <c r="L2268" t="str">
        <f>TEXT(maintable_2[[#This Row],[Order Date]],"mmmm")</f>
        <v>November</v>
      </c>
    </row>
    <row r="2269" spans="1:12" x14ac:dyDescent="0.3">
      <c r="A2269" s="1">
        <v>41534</v>
      </c>
      <c r="B2269" s="1">
        <v>41540</v>
      </c>
      <c r="C2269" t="s">
        <v>927</v>
      </c>
      <c r="D2269" t="s">
        <v>44</v>
      </c>
      <c r="E2269" t="s">
        <v>1280</v>
      </c>
      <c r="F2269">
        <v>12.96</v>
      </c>
      <c r="G2269">
        <v>2</v>
      </c>
      <c r="H2269">
        <v>6.3503999999999996</v>
      </c>
      <c r="I2269">
        <v>6</v>
      </c>
      <c r="J2269">
        <v>2013</v>
      </c>
      <c r="K2269" t="s">
        <v>2209</v>
      </c>
      <c r="L2269" t="str">
        <f>TEXT(maintable_2[[#This Row],[Order Date]],"mmmm")</f>
        <v>September</v>
      </c>
    </row>
    <row r="2270" spans="1:12" x14ac:dyDescent="0.3">
      <c r="A2270" s="1">
        <v>40774</v>
      </c>
      <c r="B2270" s="1">
        <v>40776</v>
      </c>
      <c r="C2270" t="s">
        <v>1405</v>
      </c>
      <c r="D2270" t="s">
        <v>11</v>
      </c>
      <c r="E2270" t="s">
        <v>1483</v>
      </c>
      <c r="F2270">
        <v>289.24</v>
      </c>
      <c r="G2270">
        <v>7</v>
      </c>
      <c r="H2270">
        <v>26.031600000000001</v>
      </c>
      <c r="I2270">
        <v>2</v>
      </c>
      <c r="J2270">
        <v>2011</v>
      </c>
      <c r="K2270" t="s">
        <v>2206</v>
      </c>
      <c r="L2270" t="str">
        <f>TEXT(maintable_2[[#This Row],[Order Date]],"mmmm")</f>
        <v>August</v>
      </c>
    </row>
    <row r="2271" spans="1:12" x14ac:dyDescent="0.3">
      <c r="A2271" s="1">
        <v>40774</v>
      </c>
      <c r="B2271" s="1">
        <v>40776</v>
      </c>
      <c r="C2271" t="s">
        <v>1405</v>
      </c>
      <c r="D2271" t="s">
        <v>17</v>
      </c>
      <c r="E2271" t="s">
        <v>937</v>
      </c>
      <c r="F2271">
        <v>69.456000000000003</v>
      </c>
      <c r="G2271">
        <v>2</v>
      </c>
      <c r="H2271">
        <v>22.5732</v>
      </c>
      <c r="I2271">
        <v>2</v>
      </c>
      <c r="J2271">
        <v>2011</v>
      </c>
      <c r="K2271" t="s">
        <v>2206</v>
      </c>
      <c r="L2271" t="str">
        <f>TEXT(maintable_2[[#This Row],[Order Date]],"mmmm")</f>
        <v>August</v>
      </c>
    </row>
    <row r="2272" spans="1:12" x14ac:dyDescent="0.3">
      <c r="A2272" s="1">
        <v>41983</v>
      </c>
      <c r="B2272" s="1">
        <v>41985</v>
      </c>
      <c r="C2272" t="s">
        <v>1937</v>
      </c>
      <c r="D2272" t="s">
        <v>196</v>
      </c>
      <c r="E2272" t="s">
        <v>1394</v>
      </c>
      <c r="F2272">
        <v>148.25700000000001</v>
      </c>
      <c r="G2272">
        <v>3</v>
      </c>
      <c r="H2272">
        <v>15.697800000000001</v>
      </c>
      <c r="I2272">
        <v>2</v>
      </c>
      <c r="J2272">
        <v>2014</v>
      </c>
      <c r="K2272" t="s">
        <v>2207</v>
      </c>
      <c r="L2272" t="str">
        <f>TEXT(maintable_2[[#This Row],[Order Date]],"mmmm")</f>
        <v>December</v>
      </c>
    </row>
    <row r="2273" spans="1:12" x14ac:dyDescent="0.3">
      <c r="A2273" s="1">
        <v>40778</v>
      </c>
      <c r="B2273" s="1">
        <v>40782</v>
      </c>
      <c r="C2273" t="s">
        <v>491</v>
      </c>
      <c r="D2273" t="s">
        <v>44</v>
      </c>
      <c r="E2273" t="s">
        <v>1938</v>
      </c>
      <c r="F2273">
        <v>15.552</v>
      </c>
      <c r="G2273">
        <v>3</v>
      </c>
      <c r="H2273">
        <v>5.4432</v>
      </c>
      <c r="I2273">
        <v>4</v>
      </c>
      <c r="J2273">
        <v>2011</v>
      </c>
      <c r="K2273" t="s">
        <v>2206</v>
      </c>
      <c r="L2273" t="str">
        <f>TEXT(maintable_2[[#This Row],[Order Date]],"mmmm")</f>
        <v>August</v>
      </c>
    </row>
    <row r="2274" spans="1:12" x14ac:dyDescent="0.3">
      <c r="A2274" s="1">
        <v>40778</v>
      </c>
      <c r="B2274" s="1">
        <v>40782</v>
      </c>
      <c r="C2274" t="s">
        <v>491</v>
      </c>
      <c r="D2274" t="s">
        <v>81</v>
      </c>
      <c r="E2274" t="s">
        <v>1939</v>
      </c>
      <c r="F2274">
        <v>6.8</v>
      </c>
      <c r="G2274">
        <v>1</v>
      </c>
      <c r="H2274">
        <v>0.51</v>
      </c>
      <c r="I2274">
        <v>4</v>
      </c>
      <c r="J2274">
        <v>2011</v>
      </c>
      <c r="K2274" t="s">
        <v>2206</v>
      </c>
      <c r="L2274" t="str">
        <f>TEXT(maintable_2[[#This Row],[Order Date]],"mmmm")</f>
        <v>August</v>
      </c>
    </row>
    <row r="2275" spans="1:12" x14ac:dyDescent="0.3">
      <c r="A2275" s="1">
        <v>40778</v>
      </c>
      <c r="B2275" s="1">
        <v>40782</v>
      </c>
      <c r="C2275" t="s">
        <v>491</v>
      </c>
      <c r="D2275" t="s">
        <v>11</v>
      </c>
      <c r="E2275" t="s">
        <v>136</v>
      </c>
      <c r="F2275">
        <v>4.2240000000000002</v>
      </c>
      <c r="G2275">
        <v>3</v>
      </c>
      <c r="H2275">
        <v>1.2672000000000001</v>
      </c>
      <c r="I2275">
        <v>4</v>
      </c>
      <c r="J2275">
        <v>2011</v>
      </c>
      <c r="K2275" t="s">
        <v>2206</v>
      </c>
      <c r="L2275" t="str">
        <f>TEXT(maintable_2[[#This Row],[Order Date]],"mmmm")</f>
        <v>August</v>
      </c>
    </row>
    <row r="2276" spans="1:12" x14ac:dyDescent="0.3">
      <c r="A2276" s="1">
        <v>40778</v>
      </c>
      <c r="B2276" s="1">
        <v>40782</v>
      </c>
      <c r="C2276" t="s">
        <v>491</v>
      </c>
      <c r="D2276" t="s">
        <v>15</v>
      </c>
      <c r="E2276" t="s">
        <v>229</v>
      </c>
      <c r="F2276">
        <v>143.63999999999999</v>
      </c>
      <c r="G2276">
        <v>9</v>
      </c>
      <c r="H2276">
        <v>10.773</v>
      </c>
      <c r="I2276">
        <v>4</v>
      </c>
      <c r="J2276">
        <v>2011</v>
      </c>
      <c r="K2276" t="s">
        <v>2206</v>
      </c>
      <c r="L2276" t="str">
        <f>TEXT(maintable_2[[#This Row],[Order Date]],"mmmm")</f>
        <v>August</v>
      </c>
    </row>
    <row r="2277" spans="1:12" x14ac:dyDescent="0.3">
      <c r="A2277" s="1">
        <v>40778</v>
      </c>
      <c r="B2277" s="1">
        <v>40782</v>
      </c>
      <c r="C2277" t="s">
        <v>491</v>
      </c>
      <c r="D2277" t="s">
        <v>44</v>
      </c>
      <c r="E2277" t="s">
        <v>406</v>
      </c>
      <c r="F2277">
        <v>31.103999999999999</v>
      </c>
      <c r="G2277">
        <v>6</v>
      </c>
      <c r="H2277">
        <v>10.8864</v>
      </c>
      <c r="I2277">
        <v>4</v>
      </c>
      <c r="J2277">
        <v>2011</v>
      </c>
      <c r="K2277" t="s">
        <v>2206</v>
      </c>
      <c r="L2277" t="str">
        <f>TEXT(maintable_2[[#This Row],[Order Date]],"mmmm")</f>
        <v>August</v>
      </c>
    </row>
    <row r="2278" spans="1:12" x14ac:dyDescent="0.3">
      <c r="A2278" s="1">
        <v>40778</v>
      </c>
      <c r="B2278" s="1">
        <v>40782</v>
      </c>
      <c r="C2278" t="s">
        <v>491</v>
      </c>
      <c r="D2278" t="s">
        <v>44</v>
      </c>
      <c r="E2278" t="s">
        <v>875</v>
      </c>
      <c r="F2278">
        <v>223.05600000000001</v>
      </c>
      <c r="G2278">
        <v>9</v>
      </c>
      <c r="H2278">
        <v>69.704999999999998</v>
      </c>
      <c r="I2278">
        <v>4</v>
      </c>
      <c r="J2278">
        <v>2011</v>
      </c>
      <c r="K2278" t="s">
        <v>2206</v>
      </c>
      <c r="L2278" t="str">
        <f>TEXT(maintable_2[[#This Row],[Order Date]],"mmmm")</f>
        <v>August</v>
      </c>
    </row>
    <row r="2279" spans="1:12" x14ac:dyDescent="0.3">
      <c r="A2279" s="1">
        <v>41953</v>
      </c>
      <c r="B2279" s="1">
        <v>41957</v>
      </c>
      <c r="C2279" t="s">
        <v>1530</v>
      </c>
      <c r="D2279" t="s">
        <v>71</v>
      </c>
      <c r="E2279" t="s">
        <v>364</v>
      </c>
      <c r="F2279">
        <v>523.39200000000005</v>
      </c>
      <c r="G2279">
        <v>3</v>
      </c>
      <c r="H2279">
        <v>52.339199999999998</v>
      </c>
      <c r="I2279">
        <v>4</v>
      </c>
      <c r="J2279">
        <v>2014</v>
      </c>
      <c r="K2279" t="s">
        <v>2209</v>
      </c>
      <c r="L2279" t="str">
        <f>TEXT(maintable_2[[#This Row],[Order Date]],"mmmm")</f>
        <v>November</v>
      </c>
    </row>
    <row r="2280" spans="1:12" x14ac:dyDescent="0.3">
      <c r="A2280" s="1">
        <v>40641</v>
      </c>
      <c r="B2280" s="1">
        <v>40645</v>
      </c>
      <c r="C2280" t="s">
        <v>1940</v>
      </c>
      <c r="D2280" t="s">
        <v>21</v>
      </c>
      <c r="E2280" t="s">
        <v>449</v>
      </c>
      <c r="F2280">
        <v>99.591999999999999</v>
      </c>
      <c r="G2280">
        <v>1</v>
      </c>
      <c r="H2280">
        <v>2.4897999999999998</v>
      </c>
      <c r="I2280">
        <v>4</v>
      </c>
      <c r="J2280">
        <v>2011</v>
      </c>
      <c r="K2280" t="s">
        <v>2208</v>
      </c>
      <c r="L2280" t="str">
        <f>TEXT(maintable_2[[#This Row],[Order Date]],"mmmm")</f>
        <v>April</v>
      </c>
    </row>
    <row r="2281" spans="1:12" x14ac:dyDescent="0.3">
      <c r="A2281" s="1">
        <v>40641</v>
      </c>
      <c r="B2281" s="1">
        <v>40645</v>
      </c>
      <c r="C2281" t="s">
        <v>1940</v>
      </c>
      <c r="D2281" t="s">
        <v>37</v>
      </c>
      <c r="E2281" t="s">
        <v>160</v>
      </c>
      <c r="F2281">
        <v>399.96</v>
      </c>
      <c r="G2281">
        <v>4</v>
      </c>
      <c r="H2281">
        <v>139.98599999999999</v>
      </c>
      <c r="I2281">
        <v>4</v>
      </c>
      <c r="J2281">
        <v>2011</v>
      </c>
      <c r="K2281" t="s">
        <v>2208</v>
      </c>
      <c r="L2281" t="str">
        <f>TEXT(maintable_2[[#This Row],[Order Date]],"mmmm")</f>
        <v>April</v>
      </c>
    </row>
    <row r="2282" spans="1:12" x14ac:dyDescent="0.3">
      <c r="A2282" s="1">
        <v>40811</v>
      </c>
      <c r="B2282" s="1">
        <v>40816</v>
      </c>
      <c r="C2282" t="s">
        <v>897</v>
      </c>
      <c r="D2282" t="s">
        <v>13</v>
      </c>
      <c r="E2282" t="s">
        <v>1312</v>
      </c>
      <c r="F2282">
        <v>14.576000000000001</v>
      </c>
      <c r="G2282">
        <v>2</v>
      </c>
      <c r="H2282">
        <v>2.3685999999999998</v>
      </c>
      <c r="I2282">
        <v>5</v>
      </c>
      <c r="J2282">
        <v>2011</v>
      </c>
      <c r="K2282" t="s">
        <v>2209</v>
      </c>
      <c r="L2282" t="str">
        <f>TEXT(maintable_2[[#This Row],[Order Date]],"mmmm")</f>
        <v>September</v>
      </c>
    </row>
    <row r="2283" spans="1:12" x14ac:dyDescent="0.3">
      <c r="A2283" s="1">
        <v>41620</v>
      </c>
      <c r="B2283" s="1">
        <v>41620</v>
      </c>
      <c r="C2283" t="s">
        <v>858</v>
      </c>
      <c r="D2283" t="s">
        <v>17</v>
      </c>
      <c r="E2283" t="s">
        <v>150</v>
      </c>
      <c r="F2283">
        <v>209.6</v>
      </c>
      <c r="G2283">
        <v>5</v>
      </c>
      <c r="H2283">
        <v>68.12</v>
      </c>
      <c r="I2283">
        <v>0</v>
      </c>
      <c r="J2283">
        <v>2013</v>
      </c>
      <c r="K2283" t="s">
        <v>2207</v>
      </c>
      <c r="L2283" t="str">
        <f>TEXT(maintable_2[[#This Row],[Order Date]],"mmmm")</f>
        <v>December</v>
      </c>
    </row>
    <row r="2284" spans="1:12" x14ac:dyDescent="0.3">
      <c r="A2284" s="1">
        <v>41620</v>
      </c>
      <c r="B2284" s="1">
        <v>41620</v>
      </c>
      <c r="C2284" t="s">
        <v>858</v>
      </c>
      <c r="D2284" t="s">
        <v>13</v>
      </c>
      <c r="E2284" t="s">
        <v>1884</v>
      </c>
      <c r="F2284">
        <v>23.32</v>
      </c>
      <c r="G2284">
        <v>2</v>
      </c>
      <c r="H2284">
        <v>6.0632000000000001</v>
      </c>
      <c r="I2284">
        <v>0</v>
      </c>
      <c r="J2284">
        <v>2013</v>
      </c>
      <c r="K2284" t="s">
        <v>2207</v>
      </c>
      <c r="L2284" t="str">
        <f>TEXT(maintable_2[[#This Row],[Order Date]],"mmmm")</f>
        <v>December</v>
      </c>
    </row>
    <row r="2285" spans="1:12" x14ac:dyDescent="0.3">
      <c r="A2285" s="1">
        <v>41620</v>
      </c>
      <c r="B2285" s="1">
        <v>41620</v>
      </c>
      <c r="C2285" t="s">
        <v>858</v>
      </c>
      <c r="D2285" t="s">
        <v>44</v>
      </c>
      <c r="E2285" t="s">
        <v>771</v>
      </c>
      <c r="F2285">
        <v>30.98</v>
      </c>
      <c r="G2285">
        <v>1</v>
      </c>
      <c r="H2285">
        <v>13.941000000000001</v>
      </c>
      <c r="I2285">
        <v>0</v>
      </c>
      <c r="J2285">
        <v>2013</v>
      </c>
      <c r="K2285" t="s">
        <v>2207</v>
      </c>
      <c r="L2285" t="str">
        <f>TEXT(maintable_2[[#This Row],[Order Date]],"mmmm")</f>
        <v>December</v>
      </c>
    </row>
    <row r="2286" spans="1:12" x14ac:dyDescent="0.3">
      <c r="A2286" s="1">
        <v>41620</v>
      </c>
      <c r="B2286" s="1">
        <v>41620</v>
      </c>
      <c r="C2286" t="s">
        <v>858</v>
      </c>
      <c r="D2286" t="s">
        <v>37</v>
      </c>
      <c r="E2286" t="s">
        <v>1883</v>
      </c>
      <c r="F2286">
        <v>119.96</v>
      </c>
      <c r="G2286">
        <v>4</v>
      </c>
      <c r="H2286">
        <v>25.191600000000001</v>
      </c>
      <c r="I2286">
        <v>0</v>
      </c>
      <c r="J2286">
        <v>2013</v>
      </c>
      <c r="K2286" t="s">
        <v>2207</v>
      </c>
      <c r="L2286" t="str">
        <f>TEXT(maintable_2[[#This Row],[Order Date]],"mmmm")</f>
        <v>December</v>
      </c>
    </row>
    <row r="2287" spans="1:12" x14ac:dyDescent="0.3">
      <c r="A2287" s="1">
        <v>41620</v>
      </c>
      <c r="B2287" s="1">
        <v>41620</v>
      </c>
      <c r="C2287" t="s">
        <v>858</v>
      </c>
      <c r="D2287" t="s">
        <v>71</v>
      </c>
      <c r="E2287" t="s">
        <v>1904</v>
      </c>
      <c r="F2287">
        <v>363.92</v>
      </c>
      <c r="G2287">
        <v>5</v>
      </c>
      <c r="H2287">
        <v>-31.843</v>
      </c>
      <c r="I2287">
        <v>0</v>
      </c>
      <c r="J2287">
        <v>2013</v>
      </c>
      <c r="K2287" t="s">
        <v>2207</v>
      </c>
      <c r="L2287" t="str">
        <f>TEXT(maintable_2[[#This Row],[Order Date]],"mmmm")</f>
        <v>December</v>
      </c>
    </row>
    <row r="2288" spans="1:12" x14ac:dyDescent="0.3">
      <c r="A2288" s="1">
        <v>41620</v>
      </c>
      <c r="B2288" s="1">
        <v>41620</v>
      </c>
      <c r="C2288" t="s">
        <v>858</v>
      </c>
      <c r="D2288" t="s">
        <v>17</v>
      </c>
      <c r="E2288" t="s">
        <v>1941</v>
      </c>
      <c r="F2288">
        <v>35.808</v>
      </c>
      <c r="G2288">
        <v>3</v>
      </c>
      <c r="H2288">
        <v>11.19</v>
      </c>
      <c r="I2288">
        <v>0</v>
      </c>
      <c r="J2288">
        <v>2013</v>
      </c>
      <c r="K2288" t="s">
        <v>2207</v>
      </c>
      <c r="L2288" t="str">
        <f>TEXT(maintable_2[[#This Row],[Order Date]],"mmmm")</f>
        <v>December</v>
      </c>
    </row>
    <row r="2289" spans="1:12" x14ac:dyDescent="0.3">
      <c r="A2289" s="1">
        <v>41620</v>
      </c>
      <c r="B2289" s="1">
        <v>41620</v>
      </c>
      <c r="C2289" t="s">
        <v>858</v>
      </c>
      <c r="D2289" t="s">
        <v>17</v>
      </c>
      <c r="E2289" t="s">
        <v>1239</v>
      </c>
      <c r="F2289">
        <v>122.688</v>
      </c>
      <c r="G2289">
        <v>9</v>
      </c>
      <c r="H2289">
        <v>39.873600000000003</v>
      </c>
      <c r="I2289">
        <v>0</v>
      </c>
      <c r="J2289">
        <v>2013</v>
      </c>
      <c r="K2289" t="s">
        <v>2207</v>
      </c>
      <c r="L2289" t="str">
        <f>TEXT(maintable_2[[#This Row],[Order Date]],"mmmm")</f>
        <v>December</v>
      </c>
    </row>
    <row r="2290" spans="1:12" x14ac:dyDescent="0.3">
      <c r="A2290" s="1">
        <v>41620</v>
      </c>
      <c r="B2290" s="1">
        <v>41620</v>
      </c>
      <c r="C2290" t="s">
        <v>858</v>
      </c>
      <c r="D2290" t="s">
        <v>21</v>
      </c>
      <c r="E2290" t="s">
        <v>528</v>
      </c>
      <c r="F2290">
        <v>892.13599999999997</v>
      </c>
      <c r="G2290">
        <v>7</v>
      </c>
      <c r="H2290">
        <v>111.517</v>
      </c>
      <c r="I2290">
        <v>0</v>
      </c>
      <c r="J2290">
        <v>2013</v>
      </c>
      <c r="K2290" t="s">
        <v>2207</v>
      </c>
      <c r="L2290" t="str">
        <f>TEXT(maintable_2[[#This Row],[Order Date]],"mmmm")</f>
        <v>December</v>
      </c>
    </row>
    <row r="2291" spans="1:12" x14ac:dyDescent="0.3">
      <c r="A2291" s="1">
        <v>41620</v>
      </c>
      <c r="B2291" s="1">
        <v>41620</v>
      </c>
      <c r="C2291" t="s">
        <v>858</v>
      </c>
      <c r="D2291" t="s">
        <v>27</v>
      </c>
      <c r="E2291" t="s">
        <v>1737</v>
      </c>
      <c r="F2291">
        <v>50.22</v>
      </c>
      <c r="G2291">
        <v>3</v>
      </c>
      <c r="H2291">
        <v>2.0087999999999999</v>
      </c>
      <c r="I2291">
        <v>0</v>
      </c>
      <c r="J2291">
        <v>2013</v>
      </c>
      <c r="K2291" t="s">
        <v>2207</v>
      </c>
      <c r="L2291" t="str">
        <f>TEXT(maintable_2[[#This Row],[Order Date]],"mmmm")</f>
        <v>December</v>
      </c>
    </row>
    <row r="2292" spans="1:12" x14ac:dyDescent="0.3">
      <c r="A2292" s="1">
        <v>41620</v>
      </c>
      <c r="B2292" s="1">
        <v>41620</v>
      </c>
      <c r="C2292" t="s">
        <v>858</v>
      </c>
      <c r="D2292" t="s">
        <v>19</v>
      </c>
      <c r="E2292" t="s">
        <v>1873</v>
      </c>
      <c r="F2292">
        <v>83.42</v>
      </c>
      <c r="G2292">
        <v>2</v>
      </c>
      <c r="H2292">
        <v>24.191800000000001</v>
      </c>
      <c r="I2292">
        <v>0</v>
      </c>
      <c r="J2292">
        <v>2013</v>
      </c>
      <c r="K2292" t="s">
        <v>2207</v>
      </c>
      <c r="L2292" t="str">
        <f>TEXT(maintable_2[[#This Row],[Order Date]],"mmmm")</f>
        <v>December</v>
      </c>
    </row>
    <row r="2293" spans="1:12" x14ac:dyDescent="0.3">
      <c r="A2293" s="1">
        <v>41620</v>
      </c>
      <c r="B2293" s="1">
        <v>41620</v>
      </c>
      <c r="C2293" t="s">
        <v>858</v>
      </c>
      <c r="D2293" t="s">
        <v>17</v>
      </c>
      <c r="E2293" t="s">
        <v>1942</v>
      </c>
      <c r="F2293">
        <v>5.8719999999999999</v>
      </c>
      <c r="G2293">
        <v>2</v>
      </c>
      <c r="H2293">
        <v>2.1286</v>
      </c>
      <c r="I2293">
        <v>0</v>
      </c>
      <c r="J2293">
        <v>2013</v>
      </c>
      <c r="K2293" t="s">
        <v>2207</v>
      </c>
      <c r="L2293" t="str">
        <f>TEXT(maintable_2[[#This Row],[Order Date]],"mmmm")</f>
        <v>December</v>
      </c>
    </row>
    <row r="2294" spans="1:12" x14ac:dyDescent="0.3">
      <c r="A2294" s="1">
        <v>40942</v>
      </c>
      <c r="B2294" s="1">
        <v>40944</v>
      </c>
      <c r="C2294" t="s">
        <v>1095</v>
      </c>
      <c r="D2294" t="s">
        <v>17</v>
      </c>
      <c r="E2294" t="s">
        <v>1596</v>
      </c>
      <c r="F2294">
        <v>12.144</v>
      </c>
      <c r="G2294">
        <v>3</v>
      </c>
      <c r="H2294">
        <v>4.0986000000000002</v>
      </c>
      <c r="I2294">
        <v>2</v>
      </c>
      <c r="J2294">
        <v>2012</v>
      </c>
      <c r="K2294" t="s">
        <v>2210</v>
      </c>
      <c r="L2294" t="str">
        <f>TEXT(maintable_2[[#This Row],[Order Date]],"mmmm")</f>
        <v>February</v>
      </c>
    </row>
    <row r="2295" spans="1:12" x14ac:dyDescent="0.3">
      <c r="A2295" s="1">
        <v>41638</v>
      </c>
      <c r="B2295" s="1">
        <v>41640</v>
      </c>
      <c r="C2295" t="s">
        <v>169</v>
      </c>
      <c r="D2295" t="s">
        <v>86</v>
      </c>
      <c r="E2295" t="s">
        <v>1607</v>
      </c>
      <c r="F2295">
        <v>27.792000000000002</v>
      </c>
      <c r="G2295">
        <v>3</v>
      </c>
      <c r="H2295">
        <v>10.422000000000001</v>
      </c>
      <c r="I2295">
        <v>2</v>
      </c>
      <c r="J2295">
        <v>2013</v>
      </c>
      <c r="K2295" t="s">
        <v>2207</v>
      </c>
      <c r="L2295" t="str">
        <f>TEXT(maintable_2[[#This Row],[Order Date]],"mmmm")</f>
        <v>December</v>
      </c>
    </row>
    <row r="2296" spans="1:12" x14ac:dyDescent="0.3">
      <c r="A2296" s="1">
        <v>41883</v>
      </c>
      <c r="B2296" s="1">
        <v>41888</v>
      </c>
      <c r="C2296" t="s">
        <v>1004</v>
      </c>
      <c r="D2296" t="s">
        <v>81</v>
      </c>
      <c r="E2296" t="s">
        <v>1281</v>
      </c>
      <c r="F2296">
        <v>6.2080000000000002</v>
      </c>
      <c r="G2296">
        <v>2</v>
      </c>
      <c r="H2296">
        <v>0.69840000000000002</v>
      </c>
      <c r="I2296">
        <v>5</v>
      </c>
      <c r="J2296">
        <v>2014</v>
      </c>
      <c r="K2296" t="s">
        <v>2206</v>
      </c>
      <c r="L2296" t="str">
        <f>TEXT(maintable_2[[#This Row],[Order Date]],"mmmm")</f>
        <v>September</v>
      </c>
    </row>
    <row r="2297" spans="1:12" x14ac:dyDescent="0.3">
      <c r="A2297" s="1">
        <v>40883</v>
      </c>
      <c r="B2297" s="1">
        <v>40885</v>
      </c>
      <c r="C2297" t="s">
        <v>1296</v>
      </c>
      <c r="D2297" t="s">
        <v>27</v>
      </c>
      <c r="E2297" t="s">
        <v>415</v>
      </c>
      <c r="F2297">
        <v>1261.33</v>
      </c>
      <c r="G2297">
        <v>7</v>
      </c>
      <c r="H2297">
        <v>327.94580000000002</v>
      </c>
      <c r="I2297">
        <v>2</v>
      </c>
      <c r="J2297">
        <v>2011</v>
      </c>
      <c r="K2297" t="s">
        <v>2207</v>
      </c>
      <c r="L2297" t="str">
        <f>TEXT(maintable_2[[#This Row],[Order Date]],"mmmm")</f>
        <v>December</v>
      </c>
    </row>
    <row r="2298" spans="1:12" x14ac:dyDescent="0.3">
      <c r="A2298" s="1">
        <v>41425</v>
      </c>
      <c r="B2298" s="1">
        <v>41429</v>
      </c>
      <c r="C2298" t="s">
        <v>1026</v>
      </c>
      <c r="D2298" t="s">
        <v>44</v>
      </c>
      <c r="E2298" t="s">
        <v>1073</v>
      </c>
      <c r="F2298">
        <v>38.880000000000003</v>
      </c>
      <c r="G2298">
        <v>6</v>
      </c>
      <c r="H2298">
        <v>18.662400000000002</v>
      </c>
      <c r="I2298">
        <v>4</v>
      </c>
      <c r="J2298">
        <v>2013</v>
      </c>
      <c r="K2298" t="s">
        <v>2208</v>
      </c>
      <c r="L2298" t="str">
        <f>TEXT(maintable_2[[#This Row],[Order Date]],"mmmm")</f>
        <v>May</v>
      </c>
    </row>
    <row r="2299" spans="1:12" x14ac:dyDescent="0.3">
      <c r="A2299" s="1">
        <v>40764</v>
      </c>
      <c r="B2299" s="1">
        <v>40769</v>
      </c>
      <c r="C2299" t="s">
        <v>808</v>
      </c>
      <c r="D2299" t="s">
        <v>44</v>
      </c>
      <c r="E2299" t="s">
        <v>254</v>
      </c>
      <c r="F2299">
        <v>5.98</v>
      </c>
      <c r="G2299">
        <v>1</v>
      </c>
      <c r="H2299">
        <v>2.6909999999999998</v>
      </c>
      <c r="I2299">
        <v>5</v>
      </c>
      <c r="J2299">
        <v>2011</v>
      </c>
      <c r="K2299" t="s">
        <v>2206</v>
      </c>
      <c r="L2299" t="str">
        <f>TEXT(maintable_2[[#This Row],[Order Date]],"mmmm")</f>
        <v>August</v>
      </c>
    </row>
    <row r="2300" spans="1:12" x14ac:dyDescent="0.3">
      <c r="A2300" s="1">
        <v>41407</v>
      </c>
      <c r="B2300" s="1">
        <v>41412</v>
      </c>
      <c r="C2300" t="s">
        <v>1591</v>
      </c>
      <c r="D2300" t="s">
        <v>86</v>
      </c>
      <c r="E2300" t="s">
        <v>1292</v>
      </c>
      <c r="F2300">
        <v>54.9</v>
      </c>
      <c r="G2300">
        <v>5</v>
      </c>
      <c r="H2300">
        <v>26.901</v>
      </c>
      <c r="I2300">
        <v>5</v>
      </c>
      <c r="J2300">
        <v>2013</v>
      </c>
      <c r="K2300" t="s">
        <v>2208</v>
      </c>
      <c r="L2300" t="str">
        <f>TEXT(maintable_2[[#This Row],[Order Date]],"mmmm")</f>
        <v>May</v>
      </c>
    </row>
    <row r="2301" spans="1:12" x14ac:dyDescent="0.3">
      <c r="A2301" s="1">
        <v>41842</v>
      </c>
      <c r="B2301" s="1">
        <v>41846</v>
      </c>
      <c r="C2301" t="s">
        <v>324</v>
      </c>
      <c r="D2301" t="s">
        <v>13</v>
      </c>
      <c r="E2301" t="s">
        <v>1475</v>
      </c>
      <c r="F2301">
        <v>3.52</v>
      </c>
      <c r="G2301">
        <v>2</v>
      </c>
      <c r="H2301">
        <v>1.6896</v>
      </c>
      <c r="I2301">
        <v>4</v>
      </c>
      <c r="J2301">
        <v>2014</v>
      </c>
      <c r="K2301" t="s">
        <v>2206</v>
      </c>
      <c r="L2301" t="str">
        <f>TEXT(maintable_2[[#This Row],[Order Date]],"mmmm")</f>
        <v>July</v>
      </c>
    </row>
    <row r="2302" spans="1:12" x14ac:dyDescent="0.3">
      <c r="A2302" s="1">
        <v>41842</v>
      </c>
      <c r="B2302" s="1">
        <v>41846</v>
      </c>
      <c r="C2302" t="s">
        <v>324</v>
      </c>
      <c r="D2302" t="s">
        <v>15</v>
      </c>
      <c r="E2302" t="s">
        <v>1429</v>
      </c>
      <c r="F2302">
        <v>1626.192</v>
      </c>
      <c r="G2302">
        <v>9</v>
      </c>
      <c r="H2302">
        <v>121.9644</v>
      </c>
      <c r="I2302">
        <v>4</v>
      </c>
      <c r="J2302">
        <v>2014</v>
      </c>
      <c r="K2302" t="s">
        <v>2206</v>
      </c>
      <c r="L2302" t="str">
        <f>TEXT(maintable_2[[#This Row],[Order Date]],"mmmm")</f>
        <v>July</v>
      </c>
    </row>
    <row r="2303" spans="1:12" x14ac:dyDescent="0.3">
      <c r="A2303" s="1">
        <v>41855</v>
      </c>
      <c r="B2303" s="1">
        <v>41858</v>
      </c>
      <c r="C2303" t="s">
        <v>1054</v>
      </c>
      <c r="D2303" t="s">
        <v>27</v>
      </c>
      <c r="E2303" t="s">
        <v>915</v>
      </c>
      <c r="F2303">
        <v>99.87</v>
      </c>
      <c r="G2303">
        <v>3</v>
      </c>
      <c r="H2303">
        <v>23.968800000000002</v>
      </c>
      <c r="I2303">
        <v>3</v>
      </c>
      <c r="J2303">
        <v>2014</v>
      </c>
      <c r="K2303" t="s">
        <v>2206</v>
      </c>
      <c r="L2303" t="str">
        <f>TEXT(maintable_2[[#This Row],[Order Date]],"mmmm")</f>
        <v>August</v>
      </c>
    </row>
    <row r="2304" spans="1:12" x14ac:dyDescent="0.3">
      <c r="A2304" s="1">
        <v>41207</v>
      </c>
      <c r="B2304" s="1">
        <v>41209</v>
      </c>
      <c r="C2304" t="s">
        <v>1810</v>
      </c>
      <c r="D2304" t="s">
        <v>13</v>
      </c>
      <c r="E2304" t="s">
        <v>929</v>
      </c>
      <c r="F2304">
        <v>79.36</v>
      </c>
      <c r="G2304">
        <v>4</v>
      </c>
      <c r="H2304">
        <v>23.808</v>
      </c>
      <c r="I2304">
        <v>2</v>
      </c>
      <c r="J2304">
        <v>2012</v>
      </c>
      <c r="K2304" t="s">
        <v>2209</v>
      </c>
      <c r="L2304" t="str">
        <f>TEXT(maintable_2[[#This Row],[Order Date]],"mmmm")</f>
        <v>October</v>
      </c>
    </row>
    <row r="2305" spans="1:12" x14ac:dyDescent="0.3">
      <c r="A2305" s="1">
        <v>41806</v>
      </c>
      <c r="B2305" s="1">
        <v>41810</v>
      </c>
      <c r="C2305" t="s">
        <v>133</v>
      </c>
      <c r="D2305" t="s">
        <v>15</v>
      </c>
      <c r="E2305" t="s">
        <v>1943</v>
      </c>
      <c r="F2305">
        <v>119.96</v>
      </c>
      <c r="G2305">
        <v>1</v>
      </c>
      <c r="H2305">
        <v>7.4974999999999996</v>
      </c>
      <c r="I2305">
        <v>4</v>
      </c>
      <c r="J2305">
        <v>2014</v>
      </c>
      <c r="K2305" t="s">
        <v>2206</v>
      </c>
      <c r="L2305" t="str">
        <f>TEXT(maintable_2[[#This Row],[Order Date]],"mmmm")</f>
        <v>June</v>
      </c>
    </row>
    <row r="2306" spans="1:12" x14ac:dyDescent="0.3">
      <c r="A2306" s="1">
        <v>40870</v>
      </c>
      <c r="B2306" s="1">
        <v>40875</v>
      </c>
      <c r="C2306" t="s">
        <v>1944</v>
      </c>
      <c r="D2306" t="s">
        <v>86</v>
      </c>
      <c r="E2306" t="s">
        <v>105</v>
      </c>
      <c r="F2306">
        <v>23.472000000000001</v>
      </c>
      <c r="G2306">
        <v>3</v>
      </c>
      <c r="H2306">
        <v>8.8019999999999996</v>
      </c>
      <c r="I2306">
        <v>5</v>
      </c>
      <c r="J2306">
        <v>2011</v>
      </c>
      <c r="K2306" t="s">
        <v>2209</v>
      </c>
      <c r="L2306" t="str">
        <f>TEXT(maintable_2[[#This Row],[Order Date]],"mmmm")</f>
        <v>November</v>
      </c>
    </row>
    <row r="2307" spans="1:12" x14ac:dyDescent="0.3">
      <c r="A2307" s="1">
        <v>41887</v>
      </c>
      <c r="B2307" s="1">
        <v>41891</v>
      </c>
      <c r="C2307" t="s">
        <v>1622</v>
      </c>
      <c r="D2307" t="s">
        <v>27</v>
      </c>
      <c r="E2307" t="s">
        <v>1945</v>
      </c>
      <c r="F2307">
        <v>421.1</v>
      </c>
      <c r="G2307">
        <v>2</v>
      </c>
      <c r="H2307">
        <v>105.27500000000001</v>
      </c>
      <c r="I2307">
        <v>4</v>
      </c>
      <c r="J2307">
        <v>2014</v>
      </c>
      <c r="K2307" t="s">
        <v>2209</v>
      </c>
      <c r="L2307" t="str">
        <f>TEXT(maintable_2[[#This Row],[Order Date]],"mmmm")</f>
        <v>September</v>
      </c>
    </row>
    <row r="2308" spans="1:12" x14ac:dyDescent="0.3">
      <c r="A2308" s="1">
        <v>41400</v>
      </c>
      <c r="B2308" s="1">
        <v>41401</v>
      </c>
      <c r="C2308" t="s">
        <v>425</v>
      </c>
      <c r="D2308" t="s">
        <v>21</v>
      </c>
      <c r="E2308" t="s">
        <v>1946</v>
      </c>
      <c r="F2308">
        <v>1685.88</v>
      </c>
      <c r="G2308">
        <v>6</v>
      </c>
      <c r="H2308">
        <v>320.31720000000001</v>
      </c>
      <c r="I2308">
        <v>1</v>
      </c>
      <c r="J2308">
        <v>2013</v>
      </c>
      <c r="K2308" t="s">
        <v>2208</v>
      </c>
      <c r="L2308" t="str">
        <f>TEXT(maintable_2[[#This Row],[Order Date]],"mmmm")</f>
        <v>May</v>
      </c>
    </row>
    <row r="2309" spans="1:12" x14ac:dyDescent="0.3">
      <c r="A2309" s="1">
        <v>41400</v>
      </c>
      <c r="B2309" s="1">
        <v>41401</v>
      </c>
      <c r="C2309" t="s">
        <v>425</v>
      </c>
      <c r="D2309" t="s">
        <v>17</v>
      </c>
      <c r="E2309" t="s">
        <v>1947</v>
      </c>
      <c r="F2309">
        <v>5.7279999999999998</v>
      </c>
      <c r="G2309">
        <v>2</v>
      </c>
      <c r="H2309">
        <v>2.0047999999999999</v>
      </c>
      <c r="I2309">
        <v>1</v>
      </c>
      <c r="J2309">
        <v>2013</v>
      </c>
      <c r="K2309" t="s">
        <v>2208</v>
      </c>
      <c r="L2309" t="str">
        <f>TEXT(maintable_2[[#This Row],[Order Date]],"mmmm")</f>
        <v>May</v>
      </c>
    </row>
    <row r="2310" spans="1:12" x14ac:dyDescent="0.3">
      <c r="A2310" s="1">
        <v>40834</v>
      </c>
      <c r="B2310" s="1">
        <v>40839</v>
      </c>
      <c r="C2310" t="s">
        <v>652</v>
      </c>
      <c r="D2310" t="s">
        <v>44</v>
      </c>
      <c r="E2310" t="s">
        <v>1677</v>
      </c>
      <c r="F2310">
        <v>61.96</v>
      </c>
      <c r="G2310">
        <v>2</v>
      </c>
      <c r="H2310">
        <v>27.882000000000001</v>
      </c>
      <c r="I2310">
        <v>5</v>
      </c>
      <c r="J2310">
        <v>2011</v>
      </c>
      <c r="K2310" t="s">
        <v>2209</v>
      </c>
      <c r="L2310" t="str">
        <f>TEXT(maintable_2[[#This Row],[Order Date]],"mmmm")</f>
        <v>October</v>
      </c>
    </row>
    <row r="2311" spans="1:12" x14ac:dyDescent="0.3">
      <c r="A2311" s="1">
        <v>40834</v>
      </c>
      <c r="B2311" s="1">
        <v>40839</v>
      </c>
      <c r="C2311" t="s">
        <v>652</v>
      </c>
      <c r="D2311" t="s">
        <v>17</v>
      </c>
      <c r="E2311" t="s">
        <v>1077</v>
      </c>
      <c r="F2311">
        <v>1.3440000000000001</v>
      </c>
      <c r="G2311">
        <v>1</v>
      </c>
      <c r="H2311">
        <v>0.47039999999999998</v>
      </c>
      <c r="I2311">
        <v>5</v>
      </c>
      <c r="J2311">
        <v>2011</v>
      </c>
      <c r="K2311" t="s">
        <v>2209</v>
      </c>
      <c r="L2311" t="str">
        <f>TEXT(maintable_2[[#This Row],[Order Date]],"mmmm")</f>
        <v>October</v>
      </c>
    </row>
    <row r="2312" spans="1:12" x14ac:dyDescent="0.3">
      <c r="A2312" s="1">
        <v>41961</v>
      </c>
      <c r="B2312" s="1">
        <v>41968</v>
      </c>
      <c r="C2312" t="s">
        <v>490</v>
      </c>
      <c r="D2312" t="s">
        <v>17</v>
      </c>
      <c r="E2312" t="s">
        <v>544</v>
      </c>
      <c r="F2312">
        <v>13.904</v>
      </c>
      <c r="G2312">
        <v>2</v>
      </c>
      <c r="H2312">
        <v>4.5187999999999997</v>
      </c>
      <c r="I2312">
        <v>7</v>
      </c>
      <c r="J2312">
        <v>2014</v>
      </c>
      <c r="K2312" t="s">
        <v>2209</v>
      </c>
      <c r="L2312" t="str">
        <f>TEXT(maintable_2[[#This Row],[Order Date]],"mmmm")</f>
        <v>November</v>
      </c>
    </row>
    <row r="2313" spans="1:12" x14ac:dyDescent="0.3">
      <c r="A2313" s="1">
        <v>41975</v>
      </c>
      <c r="B2313" s="1">
        <v>41982</v>
      </c>
      <c r="C2313" t="s">
        <v>1936</v>
      </c>
      <c r="D2313" t="s">
        <v>44</v>
      </c>
      <c r="E2313" t="s">
        <v>1796</v>
      </c>
      <c r="F2313">
        <v>41.86</v>
      </c>
      <c r="G2313">
        <v>7</v>
      </c>
      <c r="H2313">
        <v>18.837</v>
      </c>
      <c r="I2313">
        <v>7</v>
      </c>
      <c r="J2313">
        <v>2014</v>
      </c>
      <c r="K2313" t="s">
        <v>2207</v>
      </c>
      <c r="L2313" t="str">
        <f>TEXT(maintable_2[[#This Row],[Order Date]],"mmmm")</f>
        <v>December</v>
      </c>
    </row>
    <row r="2314" spans="1:12" x14ac:dyDescent="0.3">
      <c r="A2314" s="1">
        <v>41975</v>
      </c>
      <c r="B2314" s="1">
        <v>41982</v>
      </c>
      <c r="C2314" t="s">
        <v>1936</v>
      </c>
      <c r="D2314" t="s">
        <v>196</v>
      </c>
      <c r="E2314" t="s">
        <v>1221</v>
      </c>
      <c r="F2314">
        <v>141.96</v>
      </c>
      <c r="G2314">
        <v>2</v>
      </c>
      <c r="H2314">
        <v>41.168399999999998</v>
      </c>
      <c r="I2314">
        <v>7</v>
      </c>
      <c r="J2314">
        <v>2014</v>
      </c>
      <c r="K2314" t="s">
        <v>2207</v>
      </c>
      <c r="L2314" t="str">
        <f>TEXT(maintable_2[[#This Row],[Order Date]],"mmmm")</f>
        <v>December</v>
      </c>
    </row>
    <row r="2315" spans="1:12" x14ac:dyDescent="0.3">
      <c r="A2315" s="1">
        <v>41996</v>
      </c>
      <c r="B2315" s="1">
        <v>41999</v>
      </c>
      <c r="C2315" t="s">
        <v>1424</v>
      </c>
      <c r="D2315" t="s">
        <v>21</v>
      </c>
      <c r="E2315" t="s">
        <v>579</v>
      </c>
      <c r="F2315">
        <v>182.55</v>
      </c>
      <c r="G2315">
        <v>2</v>
      </c>
      <c r="H2315">
        <v>-135.08699999999999</v>
      </c>
      <c r="I2315">
        <v>3</v>
      </c>
      <c r="J2315">
        <v>2014</v>
      </c>
      <c r="K2315" t="s">
        <v>2207</v>
      </c>
      <c r="L2315" t="str">
        <f>TEXT(maintable_2[[#This Row],[Order Date]],"mmmm")</f>
        <v>December</v>
      </c>
    </row>
    <row r="2316" spans="1:12" x14ac:dyDescent="0.3">
      <c r="A2316" s="1">
        <v>41362</v>
      </c>
      <c r="B2316" s="1">
        <v>41365</v>
      </c>
      <c r="C2316" t="s">
        <v>1195</v>
      </c>
      <c r="D2316" t="s">
        <v>27</v>
      </c>
      <c r="E2316" t="s">
        <v>1803</v>
      </c>
      <c r="F2316">
        <v>87.92</v>
      </c>
      <c r="G2316">
        <v>4</v>
      </c>
      <c r="H2316">
        <v>0.87919999999999998</v>
      </c>
      <c r="I2316">
        <v>3</v>
      </c>
      <c r="J2316">
        <v>2013</v>
      </c>
      <c r="K2316" t="s">
        <v>2208</v>
      </c>
      <c r="L2316" t="str">
        <f>TEXT(maintable_2[[#This Row],[Order Date]],"mmmm")</f>
        <v>March</v>
      </c>
    </row>
    <row r="2317" spans="1:12" x14ac:dyDescent="0.3">
      <c r="A2317" s="1">
        <v>41362</v>
      </c>
      <c r="B2317" s="1">
        <v>41365</v>
      </c>
      <c r="C2317" t="s">
        <v>1195</v>
      </c>
      <c r="D2317" t="s">
        <v>44</v>
      </c>
      <c r="E2317" t="s">
        <v>1948</v>
      </c>
      <c r="F2317">
        <v>5.98</v>
      </c>
      <c r="G2317">
        <v>1</v>
      </c>
      <c r="H2317">
        <v>2.9302000000000001</v>
      </c>
      <c r="I2317">
        <v>3</v>
      </c>
      <c r="J2317">
        <v>2013</v>
      </c>
      <c r="K2317" t="s">
        <v>2208</v>
      </c>
      <c r="L2317" t="str">
        <f>TEXT(maintable_2[[#This Row],[Order Date]],"mmmm")</f>
        <v>March</v>
      </c>
    </row>
    <row r="2318" spans="1:12" x14ac:dyDescent="0.3">
      <c r="A2318" s="1">
        <v>40746</v>
      </c>
      <c r="B2318" s="1">
        <v>40748</v>
      </c>
      <c r="C2318" t="s">
        <v>476</v>
      </c>
      <c r="D2318" t="s">
        <v>13</v>
      </c>
      <c r="E2318" t="s">
        <v>377</v>
      </c>
      <c r="F2318">
        <v>11.52</v>
      </c>
      <c r="G2318">
        <v>4</v>
      </c>
      <c r="H2318">
        <v>3.2256</v>
      </c>
      <c r="I2318">
        <v>2</v>
      </c>
      <c r="J2318">
        <v>2011</v>
      </c>
      <c r="K2318" t="s">
        <v>2206</v>
      </c>
      <c r="L2318" t="str">
        <f>TEXT(maintable_2[[#This Row],[Order Date]],"mmmm")</f>
        <v>July</v>
      </c>
    </row>
    <row r="2319" spans="1:12" x14ac:dyDescent="0.3">
      <c r="A2319" s="1">
        <v>40746</v>
      </c>
      <c r="B2319" s="1">
        <v>40748</v>
      </c>
      <c r="C2319" t="s">
        <v>476</v>
      </c>
      <c r="D2319" t="s">
        <v>71</v>
      </c>
      <c r="E2319" t="s">
        <v>774</v>
      </c>
      <c r="F2319">
        <v>717.72</v>
      </c>
      <c r="G2319">
        <v>3</v>
      </c>
      <c r="H2319">
        <v>71.772000000000006</v>
      </c>
      <c r="I2319">
        <v>2</v>
      </c>
      <c r="J2319">
        <v>2011</v>
      </c>
      <c r="K2319" t="s">
        <v>2206</v>
      </c>
      <c r="L2319" t="str">
        <f>TEXT(maintable_2[[#This Row],[Order Date]],"mmmm")</f>
        <v>July</v>
      </c>
    </row>
    <row r="2320" spans="1:12" x14ac:dyDescent="0.3">
      <c r="A2320" s="1">
        <v>40746</v>
      </c>
      <c r="B2320" s="1">
        <v>40748</v>
      </c>
      <c r="C2320" t="s">
        <v>476</v>
      </c>
      <c r="D2320" t="s">
        <v>27</v>
      </c>
      <c r="E2320" t="s">
        <v>1949</v>
      </c>
      <c r="F2320">
        <v>236.5</v>
      </c>
      <c r="G2320">
        <v>10</v>
      </c>
      <c r="H2320">
        <v>68.584999999999994</v>
      </c>
      <c r="I2320">
        <v>2</v>
      </c>
      <c r="J2320">
        <v>2011</v>
      </c>
      <c r="K2320" t="s">
        <v>2206</v>
      </c>
      <c r="L2320" t="str">
        <f>TEXT(maintable_2[[#This Row],[Order Date]],"mmmm")</f>
        <v>July</v>
      </c>
    </row>
    <row r="2321" spans="1:12" x14ac:dyDescent="0.3">
      <c r="A2321" s="1">
        <v>40746</v>
      </c>
      <c r="B2321" s="1">
        <v>40748</v>
      </c>
      <c r="C2321" t="s">
        <v>476</v>
      </c>
      <c r="D2321" t="s">
        <v>21</v>
      </c>
      <c r="E2321" t="s">
        <v>764</v>
      </c>
      <c r="F2321">
        <v>170.352</v>
      </c>
      <c r="G2321">
        <v>3</v>
      </c>
      <c r="H2321">
        <v>19.1646</v>
      </c>
      <c r="I2321">
        <v>2</v>
      </c>
      <c r="J2321">
        <v>2011</v>
      </c>
      <c r="K2321" t="s">
        <v>2206</v>
      </c>
      <c r="L2321" t="str">
        <f>TEXT(maintable_2[[#This Row],[Order Date]],"mmmm")</f>
        <v>July</v>
      </c>
    </row>
    <row r="2322" spans="1:12" x14ac:dyDescent="0.3">
      <c r="A2322" s="1">
        <v>41755</v>
      </c>
      <c r="B2322" s="1">
        <v>41757</v>
      </c>
      <c r="C2322" t="s">
        <v>1950</v>
      </c>
      <c r="D2322" t="s">
        <v>37</v>
      </c>
      <c r="E2322" t="s">
        <v>189</v>
      </c>
      <c r="F2322">
        <v>107.97</v>
      </c>
      <c r="G2322">
        <v>3</v>
      </c>
      <c r="H2322">
        <v>22.6737</v>
      </c>
      <c r="I2322">
        <v>2</v>
      </c>
      <c r="J2322">
        <v>2014</v>
      </c>
      <c r="K2322" t="s">
        <v>2208</v>
      </c>
      <c r="L2322" t="str">
        <f>TEXT(maintable_2[[#This Row],[Order Date]],"mmmm")</f>
        <v>April</v>
      </c>
    </row>
    <row r="2323" spans="1:12" x14ac:dyDescent="0.3">
      <c r="A2323" s="1">
        <v>41760</v>
      </c>
      <c r="B2323" s="1">
        <v>41764</v>
      </c>
      <c r="C2323" t="s">
        <v>357</v>
      </c>
      <c r="D2323" t="s">
        <v>17</v>
      </c>
      <c r="E2323" t="s">
        <v>397</v>
      </c>
      <c r="F2323">
        <v>23.24</v>
      </c>
      <c r="G2323">
        <v>5</v>
      </c>
      <c r="H2323">
        <v>7.5529999999999999</v>
      </c>
      <c r="I2323">
        <v>4</v>
      </c>
      <c r="J2323">
        <v>2014</v>
      </c>
      <c r="K2323" t="s">
        <v>2208</v>
      </c>
      <c r="L2323" t="str">
        <f>TEXT(maintable_2[[#This Row],[Order Date]],"mmmm")</f>
        <v>May</v>
      </c>
    </row>
    <row r="2324" spans="1:12" x14ac:dyDescent="0.3">
      <c r="A2324" s="1">
        <v>41591</v>
      </c>
      <c r="B2324" s="1">
        <v>41594</v>
      </c>
      <c r="C2324" t="s">
        <v>861</v>
      </c>
      <c r="D2324" t="s">
        <v>15</v>
      </c>
      <c r="E2324" t="s">
        <v>1835</v>
      </c>
      <c r="F2324">
        <v>203.976</v>
      </c>
      <c r="G2324">
        <v>3</v>
      </c>
      <c r="H2324">
        <v>25.497</v>
      </c>
      <c r="I2324">
        <v>3</v>
      </c>
      <c r="J2324">
        <v>2013</v>
      </c>
      <c r="K2324" t="s">
        <v>2209</v>
      </c>
      <c r="L2324" t="str">
        <f>TEXT(maintable_2[[#This Row],[Order Date]],"mmmm")</f>
        <v>November</v>
      </c>
    </row>
    <row r="2325" spans="1:12" x14ac:dyDescent="0.3">
      <c r="A2325" s="1">
        <v>41591</v>
      </c>
      <c r="B2325" s="1">
        <v>41594</v>
      </c>
      <c r="C2325" t="s">
        <v>861</v>
      </c>
      <c r="D2325" t="s">
        <v>21</v>
      </c>
      <c r="E2325" t="s">
        <v>1946</v>
      </c>
      <c r="F2325">
        <v>674.35199999999998</v>
      </c>
      <c r="G2325">
        <v>3</v>
      </c>
      <c r="H2325">
        <v>-8.4293999999999993</v>
      </c>
      <c r="I2325">
        <v>3</v>
      </c>
      <c r="J2325">
        <v>2013</v>
      </c>
      <c r="K2325" t="s">
        <v>2209</v>
      </c>
      <c r="L2325" t="str">
        <f>TEXT(maintable_2[[#This Row],[Order Date]],"mmmm")</f>
        <v>November</v>
      </c>
    </row>
    <row r="2326" spans="1:12" x14ac:dyDescent="0.3">
      <c r="A2326" s="1">
        <v>41592</v>
      </c>
      <c r="B2326" s="1">
        <v>41596</v>
      </c>
      <c r="C2326" t="s">
        <v>1119</v>
      </c>
      <c r="D2326" t="s">
        <v>11</v>
      </c>
      <c r="E2326" t="s">
        <v>1951</v>
      </c>
      <c r="F2326">
        <v>19.54</v>
      </c>
      <c r="G2326">
        <v>2</v>
      </c>
      <c r="H2326">
        <v>7.2298</v>
      </c>
      <c r="I2326">
        <v>4</v>
      </c>
      <c r="J2326">
        <v>2013</v>
      </c>
      <c r="K2326" t="s">
        <v>2209</v>
      </c>
      <c r="L2326" t="str">
        <f>TEXT(maintable_2[[#This Row],[Order Date]],"mmmm")</f>
        <v>November</v>
      </c>
    </row>
    <row r="2327" spans="1:12" x14ac:dyDescent="0.3">
      <c r="A2327" s="1">
        <v>40659</v>
      </c>
      <c r="B2327" s="1">
        <v>40663</v>
      </c>
      <c r="C2327" t="s">
        <v>1658</v>
      </c>
      <c r="D2327" t="s">
        <v>13</v>
      </c>
      <c r="E2327" t="s">
        <v>1587</v>
      </c>
      <c r="F2327">
        <v>21.4</v>
      </c>
      <c r="G2327">
        <v>5</v>
      </c>
      <c r="H2327">
        <v>6.2060000000000004</v>
      </c>
      <c r="I2327">
        <v>4</v>
      </c>
      <c r="J2327">
        <v>2011</v>
      </c>
      <c r="K2327" t="s">
        <v>2208</v>
      </c>
      <c r="L2327" t="str">
        <f>TEXT(maintable_2[[#This Row],[Order Date]],"mmmm")</f>
        <v>April</v>
      </c>
    </row>
    <row r="2328" spans="1:12" x14ac:dyDescent="0.3">
      <c r="A2328" s="1">
        <v>40659</v>
      </c>
      <c r="B2328" s="1">
        <v>40663</v>
      </c>
      <c r="C2328" t="s">
        <v>1658</v>
      </c>
      <c r="D2328" t="s">
        <v>8</v>
      </c>
      <c r="E2328" t="s">
        <v>1923</v>
      </c>
      <c r="F2328">
        <v>12.6</v>
      </c>
      <c r="G2328">
        <v>2</v>
      </c>
      <c r="H2328">
        <v>5.7960000000000003</v>
      </c>
      <c r="I2328">
        <v>4</v>
      </c>
      <c r="J2328">
        <v>2011</v>
      </c>
      <c r="K2328" t="s">
        <v>2208</v>
      </c>
      <c r="L2328" t="str">
        <f>TEXT(maintable_2[[#This Row],[Order Date]],"mmmm")</f>
        <v>April</v>
      </c>
    </row>
    <row r="2329" spans="1:12" x14ac:dyDescent="0.3">
      <c r="A2329" s="1">
        <v>41915</v>
      </c>
      <c r="B2329" s="1">
        <v>41919</v>
      </c>
      <c r="C2329" t="s">
        <v>1952</v>
      </c>
      <c r="D2329" t="s">
        <v>11</v>
      </c>
      <c r="E2329" t="s">
        <v>522</v>
      </c>
      <c r="F2329">
        <v>17.46</v>
      </c>
      <c r="G2329">
        <v>2</v>
      </c>
      <c r="H2329">
        <v>5.9363999999999999</v>
      </c>
      <c r="I2329">
        <v>4</v>
      </c>
      <c r="J2329">
        <v>2014</v>
      </c>
      <c r="K2329" t="s">
        <v>2209</v>
      </c>
      <c r="L2329" t="str">
        <f>TEXT(maintable_2[[#This Row],[Order Date]],"mmmm")</f>
        <v>October</v>
      </c>
    </row>
    <row r="2330" spans="1:12" x14ac:dyDescent="0.3">
      <c r="A2330" s="1">
        <v>41915</v>
      </c>
      <c r="B2330" s="1">
        <v>41919</v>
      </c>
      <c r="C2330" t="s">
        <v>1952</v>
      </c>
      <c r="D2330" t="s">
        <v>494</v>
      </c>
      <c r="E2330" t="s">
        <v>1953</v>
      </c>
      <c r="F2330">
        <v>369.16</v>
      </c>
      <c r="G2330">
        <v>11</v>
      </c>
      <c r="H2330">
        <v>32.301499999999997</v>
      </c>
      <c r="I2330">
        <v>4</v>
      </c>
      <c r="J2330">
        <v>2014</v>
      </c>
      <c r="K2330" t="s">
        <v>2209</v>
      </c>
      <c r="L2330" t="str">
        <f>TEXT(maintable_2[[#This Row],[Order Date]],"mmmm")</f>
        <v>October</v>
      </c>
    </row>
    <row r="2331" spans="1:12" x14ac:dyDescent="0.3">
      <c r="A2331" s="1">
        <v>41529</v>
      </c>
      <c r="B2331" s="1">
        <v>41531</v>
      </c>
      <c r="C2331" t="s">
        <v>964</v>
      </c>
      <c r="D2331" t="s">
        <v>13</v>
      </c>
      <c r="E2331" t="s">
        <v>497</v>
      </c>
      <c r="F2331">
        <v>2.9119999999999999</v>
      </c>
      <c r="G2331">
        <v>2</v>
      </c>
      <c r="H2331">
        <v>0.91</v>
      </c>
      <c r="I2331">
        <v>2</v>
      </c>
      <c r="J2331">
        <v>2013</v>
      </c>
      <c r="K2331" t="s">
        <v>2209</v>
      </c>
      <c r="L2331" t="str">
        <f>TEXT(maintable_2[[#This Row],[Order Date]],"mmmm")</f>
        <v>September</v>
      </c>
    </row>
    <row r="2332" spans="1:12" x14ac:dyDescent="0.3">
      <c r="A2332" s="1">
        <v>41529</v>
      </c>
      <c r="B2332" s="1">
        <v>41531</v>
      </c>
      <c r="C2332" t="s">
        <v>964</v>
      </c>
      <c r="D2332" t="s">
        <v>44</v>
      </c>
      <c r="E2332" t="s">
        <v>1938</v>
      </c>
      <c r="F2332">
        <v>20.736000000000001</v>
      </c>
      <c r="G2332">
        <v>4</v>
      </c>
      <c r="H2332">
        <v>7.2576000000000001</v>
      </c>
      <c r="I2332">
        <v>2</v>
      </c>
      <c r="J2332">
        <v>2013</v>
      </c>
      <c r="K2332" t="s">
        <v>2209</v>
      </c>
      <c r="L2332" t="str">
        <f>TEXT(maintable_2[[#This Row],[Order Date]],"mmmm")</f>
        <v>September</v>
      </c>
    </row>
    <row r="2333" spans="1:12" x14ac:dyDescent="0.3">
      <c r="A2333" s="1">
        <v>41529</v>
      </c>
      <c r="B2333" s="1">
        <v>41531</v>
      </c>
      <c r="C2333" t="s">
        <v>964</v>
      </c>
      <c r="D2333" t="s">
        <v>44</v>
      </c>
      <c r="E2333" t="s">
        <v>254</v>
      </c>
      <c r="F2333">
        <v>9.5679999999999996</v>
      </c>
      <c r="G2333">
        <v>2</v>
      </c>
      <c r="H2333">
        <v>2.99</v>
      </c>
      <c r="I2333">
        <v>2</v>
      </c>
      <c r="J2333">
        <v>2013</v>
      </c>
      <c r="K2333" t="s">
        <v>2209</v>
      </c>
      <c r="L2333" t="str">
        <f>TEXT(maintable_2[[#This Row],[Order Date]],"mmmm")</f>
        <v>September</v>
      </c>
    </row>
    <row r="2334" spans="1:12" x14ac:dyDescent="0.3">
      <c r="A2334" s="1">
        <v>41428</v>
      </c>
      <c r="B2334" s="1">
        <v>41432</v>
      </c>
      <c r="C2334" t="s">
        <v>1542</v>
      </c>
      <c r="D2334" t="s">
        <v>44</v>
      </c>
      <c r="E2334" t="s">
        <v>1336</v>
      </c>
      <c r="F2334">
        <v>30.18</v>
      </c>
      <c r="G2334">
        <v>3</v>
      </c>
      <c r="H2334">
        <v>13.8828</v>
      </c>
      <c r="I2334">
        <v>4</v>
      </c>
      <c r="J2334">
        <v>2013</v>
      </c>
      <c r="K2334" t="s">
        <v>2206</v>
      </c>
      <c r="L2334" t="str">
        <f>TEXT(maintable_2[[#This Row],[Order Date]],"mmmm")</f>
        <v>June</v>
      </c>
    </row>
    <row r="2335" spans="1:12" x14ac:dyDescent="0.3">
      <c r="A2335" s="1">
        <v>41428</v>
      </c>
      <c r="B2335" s="1">
        <v>41432</v>
      </c>
      <c r="C2335" t="s">
        <v>1542</v>
      </c>
      <c r="D2335" t="s">
        <v>17</v>
      </c>
      <c r="E2335" t="s">
        <v>43</v>
      </c>
      <c r="F2335">
        <v>51.648000000000003</v>
      </c>
      <c r="G2335">
        <v>12</v>
      </c>
      <c r="H2335">
        <v>18.7224</v>
      </c>
      <c r="I2335">
        <v>4</v>
      </c>
      <c r="J2335">
        <v>2013</v>
      </c>
      <c r="K2335" t="s">
        <v>2206</v>
      </c>
      <c r="L2335" t="str">
        <f>TEXT(maintable_2[[#This Row],[Order Date]],"mmmm")</f>
        <v>June</v>
      </c>
    </row>
    <row r="2336" spans="1:12" x14ac:dyDescent="0.3">
      <c r="A2336" s="1">
        <v>41428</v>
      </c>
      <c r="B2336" s="1">
        <v>41432</v>
      </c>
      <c r="C2336" t="s">
        <v>1542</v>
      </c>
      <c r="D2336" t="s">
        <v>17</v>
      </c>
      <c r="E2336" t="s">
        <v>346</v>
      </c>
      <c r="F2336">
        <v>11.231999999999999</v>
      </c>
      <c r="G2336">
        <v>3</v>
      </c>
      <c r="H2336">
        <v>3.9312</v>
      </c>
      <c r="I2336">
        <v>4</v>
      </c>
      <c r="J2336">
        <v>2013</v>
      </c>
      <c r="K2336" t="s">
        <v>2206</v>
      </c>
      <c r="L2336" t="str">
        <f>TEXT(maintable_2[[#This Row],[Order Date]],"mmmm")</f>
        <v>June</v>
      </c>
    </row>
    <row r="2337" spans="1:12" x14ac:dyDescent="0.3">
      <c r="A2337" s="1">
        <v>41928</v>
      </c>
      <c r="B2337" s="1">
        <v>41932</v>
      </c>
      <c r="C2337" t="s">
        <v>810</v>
      </c>
      <c r="D2337" t="s">
        <v>8</v>
      </c>
      <c r="E2337" t="s">
        <v>1120</v>
      </c>
      <c r="F2337">
        <v>14.73</v>
      </c>
      <c r="G2337">
        <v>3</v>
      </c>
      <c r="H2337">
        <v>7.2176999999999998</v>
      </c>
      <c r="I2337">
        <v>4</v>
      </c>
      <c r="J2337">
        <v>2014</v>
      </c>
      <c r="K2337" t="s">
        <v>2209</v>
      </c>
      <c r="L2337" t="str">
        <f>TEXT(maintable_2[[#This Row],[Order Date]],"mmmm")</f>
        <v>October</v>
      </c>
    </row>
    <row r="2338" spans="1:12" x14ac:dyDescent="0.3">
      <c r="A2338" s="1">
        <v>41032</v>
      </c>
      <c r="B2338" s="1">
        <v>41035</v>
      </c>
      <c r="C2338" t="s">
        <v>61</v>
      </c>
      <c r="D2338" t="s">
        <v>13</v>
      </c>
      <c r="E2338" t="s">
        <v>250</v>
      </c>
      <c r="F2338">
        <v>8.82</v>
      </c>
      <c r="G2338">
        <v>3</v>
      </c>
      <c r="H2338">
        <v>2.5577999999999999</v>
      </c>
      <c r="I2338">
        <v>3</v>
      </c>
      <c r="J2338">
        <v>2012</v>
      </c>
      <c r="K2338" t="s">
        <v>2208</v>
      </c>
      <c r="L2338" t="str">
        <f>TEXT(maintable_2[[#This Row],[Order Date]],"mmmm")</f>
        <v>May</v>
      </c>
    </row>
    <row r="2339" spans="1:12" x14ac:dyDescent="0.3">
      <c r="A2339" s="1">
        <v>41032</v>
      </c>
      <c r="B2339" s="1">
        <v>41035</v>
      </c>
      <c r="C2339" t="s">
        <v>61</v>
      </c>
      <c r="D2339" t="s">
        <v>17</v>
      </c>
      <c r="E2339" t="s">
        <v>1954</v>
      </c>
      <c r="F2339">
        <v>62.496000000000002</v>
      </c>
      <c r="G2339">
        <v>2</v>
      </c>
      <c r="H2339">
        <v>21.8736</v>
      </c>
      <c r="I2339">
        <v>3</v>
      </c>
      <c r="J2339">
        <v>2012</v>
      </c>
      <c r="K2339" t="s">
        <v>2208</v>
      </c>
      <c r="L2339" t="str">
        <f>TEXT(maintable_2[[#This Row],[Order Date]],"mmmm")</f>
        <v>May</v>
      </c>
    </row>
    <row r="2340" spans="1:12" x14ac:dyDescent="0.3">
      <c r="A2340" s="1">
        <v>41032</v>
      </c>
      <c r="B2340" s="1">
        <v>41035</v>
      </c>
      <c r="C2340" t="s">
        <v>61</v>
      </c>
      <c r="D2340" t="s">
        <v>37</v>
      </c>
      <c r="E2340" t="s">
        <v>1906</v>
      </c>
      <c r="F2340">
        <v>339.96</v>
      </c>
      <c r="G2340">
        <v>4</v>
      </c>
      <c r="H2340">
        <v>122.3856</v>
      </c>
      <c r="I2340">
        <v>3</v>
      </c>
      <c r="J2340">
        <v>2012</v>
      </c>
      <c r="K2340" t="s">
        <v>2208</v>
      </c>
      <c r="L2340" t="str">
        <f>TEXT(maintable_2[[#This Row],[Order Date]],"mmmm")</f>
        <v>May</v>
      </c>
    </row>
    <row r="2341" spans="1:12" x14ac:dyDescent="0.3">
      <c r="A2341" s="1">
        <v>41032</v>
      </c>
      <c r="B2341" s="1">
        <v>41035</v>
      </c>
      <c r="C2341" t="s">
        <v>61</v>
      </c>
      <c r="D2341" t="s">
        <v>17</v>
      </c>
      <c r="E2341" t="s">
        <v>1875</v>
      </c>
      <c r="F2341">
        <v>49.567999999999998</v>
      </c>
      <c r="G2341">
        <v>2</v>
      </c>
      <c r="H2341">
        <v>17.348800000000001</v>
      </c>
      <c r="I2341">
        <v>3</v>
      </c>
      <c r="J2341">
        <v>2012</v>
      </c>
      <c r="K2341" t="s">
        <v>2208</v>
      </c>
      <c r="L2341" t="str">
        <f>TEXT(maintable_2[[#This Row],[Order Date]],"mmmm")</f>
        <v>May</v>
      </c>
    </row>
    <row r="2342" spans="1:12" x14ac:dyDescent="0.3">
      <c r="A2342" s="1">
        <v>41470</v>
      </c>
      <c r="B2342" s="1">
        <v>41474</v>
      </c>
      <c r="C2342" t="s">
        <v>1955</v>
      </c>
      <c r="D2342" t="s">
        <v>15</v>
      </c>
      <c r="E2342" t="s">
        <v>55</v>
      </c>
      <c r="F2342">
        <v>110.376</v>
      </c>
      <c r="G2342">
        <v>3</v>
      </c>
      <c r="H2342">
        <v>12.417299999999999</v>
      </c>
      <c r="I2342">
        <v>4</v>
      </c>
      <c r="J2342">
        <v>2013</v>
      </c>
      <c r="K2342" t="s">
        <v>2206</v>
      </c>
      <c r="L2342" t="str">
        <f>TEXT(maintable_2[[#This Row],[Order Date]],"mmmm")</f>
        <v>July</v>
      </c>
    </row>
    <row r="2343" spans="1:12" x14ac:dyDescent="0.3">
      <c r="A2343" s="1">
        <v>41470</v>
      </c>
      <c r="B2343" s="1">
        <v>41474</v>
      </c>
      <c r="C2343" t="s">
        <v>1955</v>
      </c>
      <c r="D2343" t="s">
        <v>19</v>
      </c>
      <c r="E2343" t="s">
        <v>1443</v>
      </c>
      <c r="F2343">
        <v>151.62</v>
      </c>
      <c r="G2343">
        <v>7</v>
      </c>
      <c r="H2343">
        <v>50.034599999999998</v>
      </c>
      <c r="I2343">
        <v>4</v>
      </c>
      <c r="J2343">
        <v>2013</v>
      </c>
      <c r="K2343" t="s">
        <v>2206</v>
      </c>
      <c r="L2343" t="str">
        <f>TEXT(maintable_2[[#This Row],[Order Date]],"mmmm")</f>
        <v>July</v>
      </c>
    </row>
    <row r="2344" spans="1:12" x14ac:dyDescent="0.3">
      <c r="A2344" s="1">
        <v>41470</v>
      </c>
      <c r="B2344" s="1">
        <v>41474</v>
      </c>
      <c r="C2344" t="s">
        <v>1955</v>
      </c>
      <c r="D2344" t="s">
        <v>11</v>
      </c>
      <c r="E2344" t="s">
        <v>241</v>
      </c>
      <c r="F2344">
        <v>30.8</v>
      </c>
      <c r="G2344">
        <v>4</v>
      </c>
      <c r="H2344">
        <v>10.164</v>
      </c>
      <c r="I2344">
        <v>4</v>
      </c>
      <c r="J2344">
        <v>2013</v>
      </c>
      <c r="K2344" t="s">
        <v>2206</v>
      </c>
      <c r="L2344" t="str">
        <f>TEXT(maintable_2[[#This Row],[Order Date]],"mmmm")</f>
        <v>July</v>
      </c>
    </row>
    <row r="2345" spans="1:12" x14ac:dyDescent="0.3">
      <c r="A2345" s="1">
        <v>40744</v>
      </c>
      <c r="B2345" s="1">
        <v>40746</v>
      </c>
      <c r="C2345" t="s">
        <v>1856</v>
      </c>
      <c r="D2345" t="s">
        <v>17</v>
      </c>
      <c r="E2345" t="s">
        <v>238</v>
      </c>
      <c r="F2345">
        <v>89.712000000000003</v>
      </c>
      <c r="G2345">
        <v>6</v>
      </c>
      <c r="H2345">
        <v>30.277799999999999</v>
      </c>
      <c r="I2345">
        <v>2</v>
      </c>
      <c r="J2345">
        <v>2011</v>
      </c>
      <c r="K2345" t="s">
        <v>2206</v>
      </c>
      <c r="L2345" t="str">
        <f>TEXT(maintable_2[[#This Row],[Order Date]],"mmmm")</f>
        <v>July</v>
      </c>
    </row>
    <row r="2346" spans="1:12" x14ac:dyDescent="0.3">
      <c r="A2346" s="1">
        <v>40744</v>
      </c>
      <c r="B2346" s="1">
        <v>40746</v>
      </c>
      <c r="C2346" t="s">
        <v>1856</v>
      </c>
      <c r="D2346" t="s">
        <v>44</v>
      </c>
      <c r="E2346" t="s">
        <v>129</v>
      </c>
      <c r="F2346">
        <v>22.83</v>
      </c>
      <c r="G2346">
        <v>3</v>
      </c>
      <c r="H2346">
        <v>10.7301</v>
      </c>
      <c r="I2346">
        <v>2</v>
      </c>
      <c r="J2346">
        <v>2011</v>
      </c>
      <c r="K2346" t="s">
        <v>2206</v>
      </c>
      <c r="L2346" t="str">
        <f>TEXT(maintable_2[[#This Row],[Order Date]],"mmmm")</f>
        <v>July</v>
      </c>
    </row>
    <row r="2347" spans="1:12" x14ac:dyDescent="0.3">
      <c r="A2347" s="1">
        <v>40884</v>
      </c>
      <c r="B2347" s="1">
        <v>40887</v>
      </c>
      <c r="C2347" t="s">
        <v>279</v>
      </c>
      <c r="D2347" t="s">
        <v>13</v>
      </c>
      <c r="E2347" t="s">
        <v>377</v>
      </c>
      <c r="F2347">
        <v>8.64</v>
      </c>
      <c r="G2347">
        <v>3</v>
      </c>
      <c r="H2347">
        <v>2.4192</v>
      </c>
      <c r="I2347">
        <v>3</v>
      </c>
      <c r="J2347">
        <v>2011</v>
      </c>
      <c r="K2347" t="s">
        <v>2207</v>
      </c>
      <c r="L2347" t="str">
        <f>TEXT(maintable_2[[#This Row],[Order Date]],"mmmm")</f>
        <v>December</v>
      </c>
    </row>
    <row r="2348" spans="1:12" x14ac:dyDescent="0.3">
      <c r="A2348" s="1">
        <v>41633</v>
      </c>
      <c r="B2348" s="1">
        <v>41639</v>
      </c>
      <c r="C2348" t="s">
        <v>1956</v>
      </c>
      <c r="D2348" t="s">
        <v>11</v>
      </c>
      <c r="E2348" t="s">
        <v>1760</v>
      </c>
      <c r="F2348">
        <v>43.96</v>
      </c>
      <c r="G2348">
        <v>7</v>
      </c>
      <c r="H2348">
        <v>18.463200000000001</v>
      </c>
      <c r="I2348">
        <v>6</v>
      </c>
      <c r="J2348">
        <v>2013</v>
      </c>
      <c r="K2348" t="s">
        <v>2207</v>
      </c>
      <c r="L2348" t="str">
        <f>TEXT(maintable_2[[#This Row],[Order Date]],"mmmm")</f>
        <v>December</v>
      </c>
    </row>
    <row r="2349" spans="1:12" x14ac:dyDescent="0.3">
      <c r="A2349" s="1">
        <v>41633</v>
      </c>
      <c r="B2349" s="1">
        <v>41639</v>
      </c>
      <c r="C2349" t="s">
        <v>1956</v>
      </c>
      <c r="D2349" t="s">
        <v>86</v>
      </c>
      <c r="E2349" t="s">
        <v>105</v>
      </c>
      <c r="F2349">
        <v>39.76</v>
      </c>
      <c r="G2349">
        <v>7</v>
      </c>
      <c r="H2349">
        <v>18.687200000000001</v>
      </c>
      <c r="I2349">
        <v>6</v>
      </c>
      <c r="J2349">
        <v>2013</v>
      </c>
      <c r="K2349" t="s">
        <v>2207</v>
      </c>
      <c r="L2349" t="str">
        <f>TEXT(maintable_2[[#This Row],[Order Date]],"mmmm")</f>
        <v>December</v>
      </c>
    </row>
    <row r="2350" spans="1:12" x14ac:dyDescent="0.3">
      <c r="A2350" s="1">
        <v>41753</v>
      </c>
      <c r="B2350" s="1">
        <v>41755</v>
      </c>
      <c r="C2350" t="s">
        <v>1325</v>
      </c>
      <c r="D2350" t="s">
        <v>11</v>
      </c>
      <c r="E2350" t="s">
        <v>1122</v>
      </c>
      <c r="F2350">
        <v>66.36</v>
      </c>
      <c r="G2350">
        <v>7</v>
      </c>
      <c r="H2350">
        <v>26.544</v>
      </c>
      <c r="I2350">
        <v>2</v>
      </c>
      <c r="J2350">
        <v>2014</v>
      </c>
      <c r="K2350" t="s">
        <v>2208</v>
      </c>
      <c r="L2350" t="str">
        <f>TEXT(maintable_2[[#This Row],[Order Date]],"mmmm")</f>
        <v>April</v>
      </c>
    </row>
    <row r="2351" spans="1:12" x14ac:dyDescent="0.3">
      <c r="A2351" s="1">
        <v>41753</v>
      </c>
      <c r="B2351" s="1">
        <v>41755</v>
      </c>
      <c r="C2351" t="s">
        <v>1325</v>
      </c>
      <c r="D2351" t="s">
        <v>17</v>
      </c>
      <c r="E2351" t="s">
        <v>1346</v>
      </c>
      <c r="F2351">
        <v>92.88</v>
      </c>
      <c r="G2351">
        <v>6</v>
      </c>
      <c r="H2351">
        <v>30.186</v>
      </c>
      <c r="I2351">
        <v>2</v>
      </c>
      <c r="J2351">
        <v>2014</v>
      </c>
      <c r="K2351" t="s">
        <v>2208</v>
      </c>
      <c r="L2351" t="str">
        <f>TEXT(maintable_2[[#This Row],[Order Date]],"mmmm")</f>
        <v>April</v>
      </c>
    </row>
    <row r="2352" spans="1:12" x14ac:dyDescent="0.3">
      <c r="A2352" s="1">
        <v>41753</v>
      </c>
      <c r="B2352" s="1">
        <v>41755</v>
      </c>
      <c r="C2352" t="s">
        <v>1325</v>
      </c>
      <c r="D2352" t="s">
        <v>11</v>
      </c>
      <c r="E2352" t="s">
        <v>1957</v>
      </c>
      <c r="F2352">
        <v>24.14</v>
      </c>
      <c r="G2352">
        <v>2</v>
      </c>
      <c r="H2352">
        <v>7.9661999999999997</v>
      </c>
      <c r="I2352">
        <v>2</v>
      </c>
      <c r="J2352">
        <v>2014</v>
      </c>
      <c r="K2352" t="s">
        <v>2208</v>
      </c>
      <c r="L2352" t="str">
        <f>TEXT(maintable_2[[#This Row],[Order Date]],"mmmm")</f>
        <v>April</v>
      </c>
    </row>
    <row r="2353" spans="1:12" x14ac:dyDescent="0.3">
      <c r="A2353" s="1">
        <v>41782</v>
      </c>
      <c r="B2353" s="1">
        <v>41785</v>
      </c>
      <c r="C2353" t="s">
        <v>1958</v>
      </c>
      <c r="D2353" t="s">
        <v>13</v>
      </c>
      <c r="E2353" t="s">
        <v>1430</v>
      </c>
      <c r="F2353">
        <v>49.56</v>
      </c>
      <c r="G2353">
        <v>7</v>
      </c>
      <c r="H2353">
        <v>18.832799999999999</v>
      </c>
      <c r="I2353">
        <v>3</v>
      </c>
      <c r="J2353">
        <v>2014</v>
      </c>
      <c r="K2353" t="s">
        <v>2208</v>
      </c>
      <c r="L2353" t="str">
        <f>TEXT(maintable_2[[#This Row],[Order Date]],"mmmm")</f>
        <v>May</v>
      </c>
    </row>
    <row r="2354" spans="1:12" x14ac:dyDescent="0.3">
      <c r="A2354" s="1">
        <v>41680</v>
      </c>
      <c r="B2354" s="1">
        <v>41684</v>
      </c>
      <c r="C2354" t="s">
        <v>1959</v>
      </c>
      <c r="D2354" t="s">
        <v>27</v>
      </c>
      <c r="E2354" t="s">
        <v>1303</v>
      </c>
      <c r="F2354">
        <v>354.9</v>
      </c>
      <c r="G2354">
        <v>5</v>
      </c>
      <c r="H2354">
        <v>17.745000000000001</v>
      </c>
      <c r="I2354">
        <v>4</v>
      </c>
      <c r="J2354">
        <v>2014</v>
      </c>
      <c r="K2354" t="s">
        <v>2210</v>
      </c>
      <c r="L2354" t="str">
        <f>TEXT(maintable_2[[#This Row],[Order Date]],"mmmm")</f>
        <v>February</v>
      </c>
    </row>
    <row r="2355" spans="1:12" x14ac:dyDescent="0.3">
      <c r="A2355" s="1">
        <v>41064</v>
      </c>
      <c r="B2355" s="1">
        <v>41069</v>
      </c>
      <c r="C2355" t="s">
        <v>1711</v>
      </c>
      <c r="D2355" t="s">
        <v>37</v>
      </c>
      <c r="E2355" t="s">
        <v>1960</v>
      </c>
      <c r="F2355">
        <v>119.98</v>
      </c>
      <c r="G2355">
        <v>2</v>
      </c>
      <c r="H2355">
        <v>35.994</v>
      </c>
      <c r="I2355">
        <v>5</v>
      </c>
      <c r="J2355">
        <v>2012</v>
      </c>
      <c r="K2355" t="s">
        <v>2206</v>
      </c>
      <c r="L2355" t="str">
        <f>TEXT(maintable_2[[#This Row],[Order Date]],"mmmm")</f>
        <v>June</v>
      </c>
    </row>
    <row r="2356" spans="1:12" x14ac:dyDescent="0.3">
      <c r="A2356" s="1">
        <v>41064</v>
      </c>
      <c r="B2356" s="1">
        <v>41069</v>
      </c>
      <c r="C2356" t="s">
        <v>1711</v>
      </c>
      <c r="D2356" t="s">
        <v>37</v>
      </c>
      <c r="E2356" t="s">
        <v>1656</v>
      </c>
      <c r="F2356">
        <v>989.97</v>
      </c>
      <c r="G2356">
        <v>3</v>
      </c>
      <c r="H2356">
        <v>395.988</v>
      </c>
      <c r="I2356">
        <v>5</v>
      </c>
      <c r="J2356">
        <v>2012</v>
      </c>
      <c r="K2356" t="s">
        <v>2206</v>
      </c>
      <c r="L2356" t="str">
        <f>TEXT(maintable_2[[#This Row],[Order Date]],"mmmm")</f>
        <v>June</v>
      </c>
    </row>
    <row r="2357" spans="1:12" x14ac:dyDescent="0.3">
      <c r="A2357" s="1">
        <v>41801</v>
      </c>
      <c r="B2357" s="1">
        <v>41804</v>
      </c>
      <c r="C2357" t="s">
        <v>1961</v>
      </c>
      <c r="D2357" t="s">
        <v>13</v>
      </c>
      <c r="E2357" t="s">
        <v>1543</v>
      </c>
      <c r="F2357">
        <v>14.7</v>
      </c>
      <c r="G2357">
        <v>7</v>
      </c>
      <c r="H2357">
        <v>4.1159999999999997</v>
      </c>
      <c r="I2357">
        <v>3</v>
      </c>
      <c r="J2357">
        <v>2014</v>
      </c>
      <c r="K2357" t="s">
        <v>2206</v>
      </c>
      <c r="L2357" t="str">
        <f>TEXT(maintable_2[[#This Row],[Order Date]],"mmmm")</f>
        <v>June</v>
      </c>
    </row>
    <row r="2358" spans="1:12" x14ac:dyDescent="0.3">
      <c r="A2358" s="1">
        <v>41534</v>
      </c>
      <c r="B2358" s="1">
        <v>41540</v>
      </c>
      <c r="C2358" t="s">
        <v>1750</v>
      </c>
      <c r="D2358" t="s">
        <v>196</v>
      </c>
      <c r="E2358" t="s">
        <v>1962</v>
      </c>
      <c r="F2358">
        <v>273.666</v>
      </c>
      <c r="G2358">
        <v>2</v>
      </c>
      <c r="H2358">
        <v>-12.878399999999999</v>
      </c>
      <c r="I2358">
        <v>6</v>
      </c>
      <c r="J2358">
        <v>2013</v>
      </c>
      <c r="K2358" t="s">
        <v>2209</v>
      </c>
      <c r="L2358" t="str">
        <f>TEXT(maintable_2[[#This Row],[Order Date]],"mmmm")</f>
        <v>September</v>
      </c>
    </row>
    <row r="2359" spans="1:12" x14ac:dyDescent="0.3">
      <c r="A2359" s="1">
        <v>41534</v>
      </c>
      <c r="B2359" s="1">
        <v>41540</v>
      </c>
      <c r="C2359" t="s">
        <v>1750</v>
      </c>
      <c r="D2359" t="s">
        <v>19</v>
      </c>
      <c r="E2359" t="s">
        <v>1963</v>
      </c>
      <c r="F2359">
        <v>17.48</v>
      </c>
      <c r="G2359">
        <v>4</v>
      </c>
      <c r="H2359">
        <v>4.5448000000000004</v>
      </c>
      <c r="I2359">
        <v>6</v>
      </c>
      <c r="J2359">
        <v>2013</v>
      </c>
      <c r="K2359" t="s">
        <v>2209</v>
      </c>
      <c r="L2359" t="str">
        <f>TEXT(maintable_2[[#This Row],[Order Date]],"mmmm")</f>
        <v>September</v>
      </c>
    </row>
    <row r="2360" spans="1:12" x14ac:dyDescent="0.3">
      <c r="A2360" s="1">
        <v>41226</v>
      </c>
      <c r="B2360" s="1">
        <v>41230</v>
      </c>
      <c r="C2360" t="s">
        <v>1566</v>
      </c>
      <c r="D2360" t="s">
        <v>15</v>
      </c>
      <c r="E2360" t="s">
        <v>1835</v>
      </c>
      <c r="F2360">
        <v>339.96</v>
      </c>
      <c r="G2360">
        <v>5</v>
      </c>
      <c r="H2360">
        <v>42.494999999999997</v>
      </c>
      <c r="I2360">
        <v>4</v>
      </c>
      <c r="J2360">
        <v>2012</v>
      </c>
      <c r="K2360" t="s">
        <v>2209</v>
      </c>
      <c r="L2360" t="str">
        <f>TEXT(maintable_2[[#This Row],[Order Date]],"mmmm")</f>
        <v>November</v>
      </c>
    </row>
    <row r="2361" spans="1:12" x14ac:dyDescent="0.3">
      <c r="A2361" s="1">
        <v>41226</v>
      </c>
      <c r="B2361" s="1">
        <v>41230</v>
      </c>
      <c r="C2361" t="s">
        <v>1566</v>
      </c>
      <c r="D2361" t="s">
        <v>11</v>
      </c>
      <c r="E2361" t="s">
        <v>373</v>
      </c>
      <c r="F2361">
        <v>63.98</v>
      </c>
      <c r="G2361">
        <v>7</v>
      </c>
      <c r="H2361">
        <v>21.7532</v>
      </c>
      <c r="I2361">
        <v>4</v>
      </c>
      <c r="J2361">
        <v>2012</v>
      </c>
      <c r="K2361" t="s">
        <v>2209</v>
      </c>
      <c r="L2361" t="str">
        <f>TEXT(maintable_2[[#This Row],[Order Date]],"mmmm")</f>
        <v>November</v>
      </c>
    </row>
    <row r="2362" spans="1:12" x14ac:dyDescent="0.3">
      <c r="A2362" s="1">
        <v>41475</v>
      </c>
      <c r="B2362" s="1">
        <v>41477</v>
      </c>
      <c r="C2362" t="s">
        <v>1559</v>
      </c>
      <c r="D2362" t="s">
        <v>15</v>
      </c>
      <c r="E2362" t="s">
        <v>1964</v>
      </c>
      <c r="F2362">
        <v>35.984000000000002</v>
      </c>
      <c r="G2362">
        <v>2</v>
      </c>
      <c r="H2362">
        <v>4.4980000000000002</v>
      </c>
      <c r="I2362">
        <v>2</v>
      </c>
      <c r="J2362">
        <v>2013</v>
      </c>
      <c r="K2362" t="s">
        <v>2206</v>
      </c>
      <c r="L2362" t="str">
        <f>TEXT(maintable_2[[#This Row],[Order Date]],"mmmm")</f>
        <v>July</v>
      </c>
    </row>
    <row r="2363" spans="1:12" x14ac:dyDescent="0.3">
      <c r="A2363" s="1">
        <v>41475</v>
      </c>
      <c r="B2363" s="1">
        <v>41477</v>
      </c>
      <c r="C2363" t="s">
        <v>1559</v>
      </c>
      <c r="D2363" t="s">
        <v>37</v>
      </c>
      <c r="E2363" t="s">
        <v>1703</v>
      </c>
      <c r="F2363">
        <v>389.97</v>
      </c>
      <c r="G2363">
        <v>3</v>
      </c>
      <c r="H2363">
        <v>132.5898</v>
      </c>
      <c r="I2363">
        <v>2</v>
      </c>
      <c r="J2363">
        <v>2013</v>
      </c>
      <c r="K2363" t="s">
        <v>2206</v>
      </c>
      <c r="L2363" t="str">
        <f>TEXT(maintable_2[[#This Row],[Order Date]],"mmmm")</f>
        <v>July</v>
      </c>
    </row>
    <row r="2364" spans="1:12" x14ac:dyDescent="0.3">
      <c r="A2364" s="1">
        <v>41409</v>
      </c>
      <c r="B2364" s="1">
        <v>41409</v>
      </c>
      <c r="C2364" t="s">
        <v>1406</v>
      </c>
      <c r="D2364" t="s">
        <v>37</v>
      </c>
      <c r="E2364" t="s">
        <v>257</v>
      </c>
      <c r="F2364">
        <v>185.52799999999999</v>
      </c>
      <c r="G2364">
        <v>7</v>
      </c>
      <c r="H2364">
        <v>48.701099999999997</v>
      </c>
      <c r="I2364">
        <v>0</v>
      </c>
      <c r="J2364">
        <v>2013</v>
      </c>
      <c r="K2364" t="s">
        <v>2208</v>
      </c>
      <c r="L2364" t="str">
        <f>TEXT(maintable_2[[#This Row],[Order Date]],"mmmm")</f>
        <v>May</v>
      </c>
    </row>
    <row r="2365" spans="1:12" x14ac:dyDescent="0.3">
      <c r="A2365" s="1">
        <v>41929</v>
      </c>
      <c r="B2365" s="1">
        <v>41934</v>
      </c>
      <c r="C2365" t="s">
        <v>1168</v>
      </c>
      <c r="D2365" t="s">
        <v>494</v>
      </c>
      <c r="E2365" t="s">
        <v>1965</v>
      </c>
      <c r="F2365">
        <v>599.98500000000001</v>
      </c>
      <c r="G2365">
        <v>5</v>
      </c>
      <c r="H2365">
        <v>-479.988</v>
      </c>
      <c r="I2365">
        <v>5</v>
      </c>
      <c r="J2365">
        <v>2014</v>
      </c>
      <c r="K2365" t="s">
        <v>2209</v>
      </c>
      <c r="L2365" t="str">
        <f>TEXT(maintable_2[[#This Row],[Order Date]],"mmmm")</f>
        <v>October</v>
      </c>
    </row>
    <row r="2366" spans="1:12" x14ac:dyDescent="0.3">
      <c r="A2366" s="1">
        <v>41927</v>
      </c>
      <c r="B2366" s="1">
        <v>41932</v>
      </c>
      <c r="C2366" t="s">
        <v>804</v>
      </c>
      <c r="D2366" t="s">
        <v>37</v>
      </c>
      <c r="E2366" t="s">
        <v>1966</v>
      </c>
      <c r="F2366">
        <v>46.36</v>
      </c>
      <c r="G2366">
        <v>4</v>
      </c>
      <c r="H2366">
        <v>15.2988</v>
      </c>
      <c r="I2366">
        <v>5</v>
      </c>
      <c r="J2366">
        <v>2014</v>
      </c>
      <c r="K2366" t="s">
        <v>2209</v>
      </c>
      <c r="L2366" t="str">
        <f>TEXT(maintable_2[[#This Row],[Order Date]],"mmmm")</f>
        <v>October</v>
      </c>
    </row>
    <row r="2367" spans="1:12" x14ac:dyDescent="0.3">
      <c r="A2367" s="1">
        <v>41304</v>
      </c>
      <c r="B2367" s="1">
        <v>41305</v>
      </c>
      <c r="C2367" t="s">
        <v>716</v>
      </c>
      <c r="D2367" t="s">
        <v>27</v>
      </c>
      <c r="E2367" t="s">
        <v>1106</v>
      </c>
      <c r="F2367">
        <v>305.01</v>
      </c>
      <c r="G2367">
        <v>9</v>
      </c>
      <c r="H2367">
        <v>76.252499999999998</v>
      </c>
      <c r="I2367">
        <v>1</v>
      </c>
      <c r="J2367">
        <v>2013</v>
      </c>
      <c r="K2367" t="s">
        <v>2210</v>
      </c>
      <c r="L2367" t="str">
        <f>TEXT(maintable_2[[#This Row],[Order Date]],"mmmm")</f>
        <v>January</v>
      </c>
    </row>
    <row r="2368" spans="1:12" x14ac:dyDescent="0.3">
      <c r="A2368" s="1">
        <v>41304</v>
      </c>
      <c r="B2368" s="1">
        <v>41305</v>
      </c>
      <c r="C2368" t="s">
        <v>716</v>
      </c>
      <c r="D2368" t="s">
        <v>17</v>
      </c>
      <c r="E2368" t="s">
        <v>80</v>
      </c>
      <c r="F2368">
        <v>50.783999999999999</v>
      </c>
      <c r="G2368">
        <v>2</v>
      </c>
      <c r="H2368">
        <v>17.7744</v>
      </c>
      <c r="I2368">
        <v>1</v>
      </c>
      <c r="J2368">
        <v>2013</v>
      </c>
      <c r="K2368" t="s">
        <v>2210</v>
      </c>
      <c r="L2368" t="str">
        <f>TEXT(maintable_2[[#This Row],[Order Date]],"mmmm")</f>
        <v>January</v>
      </c>
    </row>
    <row r="2369" spans="1:12" x14ac:dyDescent="0.3">
      <c r="A2369" s="1">
        <v>41304</v>
      </c>
      <c r="B2369" s="1">
        <v>41305</v>
      </c>
      <c r="C2369" t="s">
        <v>716</v>
      </c>
      <c r="D2369" t="s">
        <v>8</v>
      </c>
      <c r="E2369" t="s">
        <v>1044</v>
      </c>
      <c r="F2369">
        <v>26.01</v>
      </c>
      <c r="G2369">
        <v>9</v>
      </c>
      <c r="H2369">
        <v>12.2247</v>
      </c>
      <c r="I2369">
        <v>1</v>
      </c>
      <c r="J2369">
        <v>2013</v>
      </c>
      <c r="K2369" t="s">
        <v>2210</v>
      </c>
      <c r="L2369" t="str">
        <f>TEXT(maintable_2[[#This Row],[Order Date]],"mmmm")</f>
        <v>January</v>
      </c>
    </row>
    <row r="2370" spans="1:12" x14ac:dyDescent="0.3">
      <c r="A2370" s="1">
        <v>41297</v>
      </c>
      <c r="B2370" s="1">
        <v>41303</v>
      </c>
      <c r="C2370" t="s">
        <v>1967</v>
      </c>
      <c r="D2370" t="s">
        <v>11</v>
      </c>
      <c r="E2370" t="s">
        <v>1968</v>
      </c>
      <c r="F2370">
        <v>59.99</v>
      </c>
      <c r="G2370">
        <v>7</v>
      </c>
      <c r="H2370">
        <v>21.596399999999999</v>
      </c>
      <c r="I2370">
        <v>6</v>
      </c>
      <c r="J2370">
        <v>2013</v>
      </c>
      <c r="K2370" t="s">
        <v>2210</v>
      </c>
      <c r="L2370" t="str">
        <f>TEXT(maintable_2[[#This Row],[Order Date]],"mmmm")</f>
        <v>January</v>
      </c>
    </row>
    <row r="2371" spans="1:12" x14ac:dyDescent="0.3">
      <c r="A2371" s="1">
        <v>41055</v>
      </c>
      <c r="B2371" s="1">
        <v>41060</v>
      </c>
      <c r="C2371" t="s">
        <v>104</v>
      </c>
      <c r="D2371" t="s">
        <v>11</v>
      </c>
      <c r="E2371" t="s">
        <v>1969</v>
      </c>
      <c r="F2371">
        <v>20.239999999999998</v>
      </c>
      <c r="G2371">
        <v>1</v>
      </c>
      <c r="H2371">
        <v>7.8936000000000002</v>
      </c>
      <c r="I2371">
        <v>5</v>
      </c>
      <c r="J2371">
        <v>2012</v>
      </c>
      <c r="K2371" t="s">
        <v>2208</v>
      </c>
      <c r="L2371" t="str">
        <f>TEXT(maintable_2[[#This Row],[Order Date]],"mmmm")</f>
        <v>May</v>
      </c>
    </row>
    <row r="2372" spans="1:12" x14ac:dyDescent="0.3">
      <c r="A2372" s="1">
        <v>41584</v>
      </c>
      <c r="B2372" s="1">
        <v>41586</v>
      </c>
      <c r="C2372" t="s">
        <v>126</v>
      </c>
      <c r="D2372" t="s">
        <v>37</v>
      </c>
      <c r="E2372" t="s">
        <v>1675</v>
      </c>
      <c r="F2372">
        <v>72</v>
      </c>
      <c r="G2372">
        <v>4</v>
      </c>
      <c r="H2372">
        <v>12.96</v>
      </c>
      <c r="I2372">
        <v>2</v>
      </c>
      <c r="J2372">
        <v>2013</v>
      </c>
      <c r="K2372" t="s">
        <v>2209</v>
      </c>
      <c r="L2372" t="str">
        <f>TEXT(maintable_2[[#This Row],[Order Date]],"mmmm")</f>
        <v>November</v>
      </c>
    </row>
    <row r="2373" spans="1:12" x14ac:dyDescent="0.3">
      <c r="A2373" s="1">
        <v>41584</v>
      </c>
      <c r="B2373" s="1">
        <v>41586</v>
      </c>
      <c r="C2373" t="s">
        <v>126</v>
      </c>
      <c r="D2373" t="s">
        <v>71</v>
      </c>
      <c r="E2373" t="s">
        <v>1115</v>
      </c>
      <c r="F2373">
        <v>113.88800000000001</v>
      </c>
      <c r="G2373">
        <v>2</v>
      </c>
      <c r="H2373">
        <v>9.9651999999999994</v>
      </c>
      <c r="I2373">
        <v>2</v>
      </c>
      <c r="J2373">
        <v>2013</v>
      </c>
      <c r="K2373" t="s">
        <v>2209</v>
      </c>
      <c r="L2373" t="str">
        <f>TEXT(maintable_2[[#This Row],[Order Date]],"mmmm")</f>
        <v>November</v>
      </c>
    </row>
    <row r="2374" spans="1:12" x14ac:dyDescent="0.3">
      <c r="A2374" s="1">
        <v>41584</v>
      </c>
      <c r="B2374" s="1">
        <v>41586</v>
      </c>
      <c r="C2374" t="s">
        <v>126</v>
      </c>
      <c r="D2374" t="s">
        <v>86</v>
      </c>
      <c r="E2374" t="s">
        <v>1608</v>
      </c>
      <c r="F2374">
        <v>158.13</v>
      </c>
      <c r="G2374">
        <v>3</v>
      </c>
      <c r="H2374">
        <v>77.483699999999999</v>
      </c>
      <c r="I2374">
        <v>2</v>
      </c>
      <c r="J2374">
        <v>2013</v>
      </c>
      <c r="K2374" t="s">
        <v>2209</v>
      </c>
      <c r="L2374" t="str">
        <f>TEXT(maintable_2[[#This Row],[Order Date]],"mmmm")</f>
        <v>November</v>
      </c>
    </row>
    <row r="2375" spans="1:12" x14ac:dyDescent="0.3">
      <c r="A2375" s="1">
        <v>41961</v>
      </c>
      <c r="B2375" s="1">
        <v>41965</v>
      </c>
      <c r="C2375" t="s">
        <v>1970</v>
      </c>
      <c r="D2375" t="s">
        <v>44</v>
      </c>
      <c r="E2375" t="s">
        <v>1879</v>
      </c>
      <c r="F2375">
        <v>19.608000000000001</v>
      </c>
      <c r="G2375">
        <v>3</v>
      </c>
      <c r="H2375">
        <v>6.6177000000000001</v>
      </c>
      <c r="I2375">
        <v>4</v>
      </c>
      <c r="J2375">
        <v>2014</v>
      </c>
      <c r="K2375" t="s">
        <v>2209</v>
      </c>
      <c r="L2375" t="str">
        <f>TEXT(maintable_2[[#This Row],[Order Date]],"mmmm")</f>
        <v>November</v>
      </c>
    </row>
    <row r="2376" spans="1:12" x14ac:dyDescent="0.3">
      <c r="A2376" s="1">
        <v>41961</v>
      </c>
      <c r="B2376" s="1">
        <v>41965</v>
      </c>
      <c r="C2376" t="s">
        <v>1970</v>
      </c>
      <c r="D2376" t="s">
        <v>17</v>
      </c>
      <c r="E2376" t="s">
        <v>1374</v>
      </c>
      <c r="F2376">
        <v>4.1580000000000004</v>
      </c>
      <c r="G2376">
        <v>7</v>
      </c>
      <c r="H2376">
        <v>-3.4649999999999999</v>
      </c>
      <c r="I2376">
        <v>4</v>
      </c>
      <c r="J2376">
        <v>2014</v>
      </c>
      <c r="K2376" t="s">
        <v>2209</v>
      </c>
      <c r="L2376" t="str">
        <f>TEXT(maintable_2[[#This Row],[Order Date]],"mmmm")</f>
        <v>November</v>
      </c>
    </row>
    <row r="2377" spans="1:12" x14ac:dyDescent="0.3">
      <c r="A2377" s="1">
        <v>41954</v>
      </c>
      <c r="B2377" s="1">
        <v>41961</v>
      </c>
      <c r="C2377" t="s">
        <v>637</v>
      </c>
      <c r="D2377" t="s">
        <v>19</v>
      </c>
      <c r="E2377" t="s">
        <v>1971</v>
      </c>
      <c r="F2377">
        <v>400.8</v>
      </c>
      <c r="G2377">
        <v>5</v>
      </c>
      <c r="H2377">
        <v>112.224</v>
      </c>
      <c r="I2377">
        <v>7</v>
      </c>
      <c r="J2377">
        <v>2014</v>
      </c>
      <c r="K2377" t="s">
        <v>2209</v>
      </c>
      <c r="L2377" t="str">
        <f>TEXT(maintable_2[[#This Row],[Order Date]],"mmmm")</f>
        <v>November</v>
      </c>
    </row>
    <row r="2378" spans="1:12" x14ac:dyDescent="0.3">
      <c r="A2378" s="1">
        <v>41954</v>
      </c>
      <c r="B2378" s="1">
        <v>41961</v>
      </c>
      <c r="C2378" t="s">
        <v>637</v>
      </c>
      <c r="D2378" t="s">
        <v>17</v>
      </c>
      <c r="E2378" t="s">
        <v>1136</v>
      </c>
      <c r="F2378">
        <v>28.792000000000002</v>
      </c>
      <c r="G2378">
        <v>1</v>
      </c>
      <c r="H2378">
        <v>10.077199999999999</v>
      </c>
      <c r="I2378">
        <v>7</v>
      </c>
      <c r="J2378">
        <v>2014</v>
      </c>
      <c r="K2378" t="s">
        <v>2209</v>
      </c>
      <c r="L2378" t="str">
        <f>TEXT(maintable_2[[#This Row],[Order Date]],"mmmm")</f>
        <v>November</v>
      </c>
    </row>
    <row r="2379" spans="1:12" x14ac:dyDescent="0.3">
      <c r="A2379" s="1">
        <v>40620</v>
      </c>
      <c r="B2379" s="1">
        <v>40626</v>
      </c>
      <c r="C2379" t="s">
        <v>1568</v>
      </c>
      <c r="D2379" t="s">
        <v>11</v>
      </c>
      <c r="E2379" t="s">
        <v>1813</v>
      </c>
      <c r="F2379">
        <v>111</v>
      </c>
      <c r="G2379">
        <v>2</v>
      </c>
      <c r="H2379">
        <v>14.43</v>
      </c>
      <c r="I2379">
        <v>6</v>
      </c>
      <c r="J2379">
        <v>2011</v>
      </c>
      <c r="K2379" t="s">
        <v>2208</v>
      </c>
      <c r="L2379" t="str">
        <f>TEXT(maintable_2[[#This Row],[Order Date]],"mmmm")</f>
        <v>March</v>
      </c>
    </row>
    <row r="2380" spans="1:12" x14ac:dyDescent="0.3">
      <c r="A2380" s="1">
        <v>40620</v>
      </c>
      <c r="B2380" s="1">
        <v>40626</v>
      </c>
      <c r="C2380" t="s">
        <v>1568</v>
      </c>
      <c r="D2380" t="s">
        <v>494</v>
      </c>
      <c r="E2380" t="s">
        <v>1965</v>
      </c>
      <c r="F2380">
        <v>1279.9680000000001</v>
      </c>
      <c r="G2380">
        <v>4</v>
      </c>
      <c r="H2380">
        <v>415.9896</v>
      </c>
      <c r="I2380">
        <v>6</v>
      </c>
      <c r="J2380">
        <v>2011</v>
      </c>
      <c r="K2380" t="s">
        <v>2208</v>
      </c>
      <c r="L2380" t="str">
        <f>TEXT(maintable_2[[#This Row],[Order Date]],"mmmm")</f>
        <v>March</v>
      </c>
    </row>
    <row r="2381" spans="1:12" x14ac:dyDescent="0.3">
      <c r="A2381" s="1">
        <v>40620</v>
      </c>
      <c r="B2381" s="1">
        <v>40626</v>
      </c>
      <c r="C2381" t="s">
        <v>1568</v>
      </c>
      <c r="D2381" t="s">
        <v>27</v>
      </c>
      <c r="E2381" t="s">
        <v>843</v>
      </c>
      <c r="F2381">
        <v>1856.19</v>
      </c>
      <c r="G2381">
        <v>7</v>
      </c>
      <c r="H2381">
        <v>334.11419999999998</v>
      </c>
      <c r="I2381">
        <v>6</v>
      </c>
      <c r="J2381">
        <v>2011</v>
      </c>
      <c r="K2381" t="s">
        <v>2208</v>
      </c>
      <c r="L2381" t="str">
        <f>TEXT(maintable_2[[#This Row],[Order Date]],"mmmm")</f>
        <v>March</v>
      </c>
    </row>
    <row r="2382" spans="1:12" x14ac:dyDescent="0.3">
      <c r="A2382" s="1">
        <v>41904</v>
      </c>
      <c r="B2382" s="1">
        <v>41906</v>
      </c>
      <c r="C2382" t="s">
        <v>1897</v>
      </c>
      <c r="D2382" t="s">
        <v>27</v>
      </c>
      <c r="E2382" t="s">
        <v>1972</v>
      </c>
      <c r="F2382">
        <v>15.51</v>
      </c>
      <c r="G2382">
        <v>1</v>
      </c>
      <c r="H2382">
        <v>3.8774999999999999</v>
      </c>
      <c r="I2382">
        <v>2</v>
      </c>
      <c r="J2382">
        <v>2014</v>
      </c>
      <c r="K2382" t="s">
        <v>2209</v>
      </c>
      <c r="L2382" t="str">
        <f>TEXT(maintable_2[[#This Row],[Order Date]],"mmmm")</f>
        <v>September</v>
      </c>
    </row>
    <row r="2383" spans="1:12" x14ac:dyDescent="0.3">
      <c r="A2383" s="1">
        <v>41954</v>
      </c>
      <c r="B2383" s="1">
        <v>41960</v>
      </c>
      <c r="C2383" t="s">
        <v>641</v>
      </c>
      <c r="D2383" t="s">
        <v>37</v>
      </c>
      <c r="E2383" t="s">
        <v>1973</v>
      </c>
      <c r="F2383">
        <v>111.79</v>
      </c>
      <c r="G2383">
        <v>7</v>
      </c>
      <c r="H2383">
        <v>43.598100000000002</v>
      </c>
      <c r="I2383">
        <v>6</v>
      </c>
      <c r="J2383">
        <v>2014</v>
      </c>
      <c r="K2383" t="s">
        <v>2209</v>
      </c>
      <c r="L2383" t="str">
        <f>TEXT(maintable_2[[#This Row],[Order Date]],"mmmm")</f>
        <v>November</v>
      </c>
    </row>
    <row r="2384" spans="1:12" x14ac:dyDescent="0.3">
      <c r="A2384" s="1">
        <v>41677</v>
      </c>
      <c r="B2384" s="1">
        <v>41684</v>
      </c>
      <c r="C2384" t="s">
        <v>462</v>
      </c>
      <c r="D2384" t="s">
        <v>44</v>
      </c>
      <c r="E2384" t="s">
        <v>1796</v>
      </c>
      <c r="F2384">
        <v>29.9</v>
      </c>
      <c r="G2384">
        <v>5</v>
      </c>
      <c r="H2384">
        <v>13.455</v>
      </c>
      <c r="I2384">
        <v>7</v>
      </c>
      <c r="J2384">
        <v>2014</v>
      </c>
      <c r="K2384" t="s">
        <v>2210</v>
      </c>
      <c r="L2384" t="str">
        <f>TEXT(maintable_2[[#This Row],[Order Date]],"mmmm")</f>
        <v>February</v>
      </c>
    </row>
    <row r="2385" spans="1:12" x14ac:dyDescent="0.3">
      <c r="A2385" s="1">
        <v>41557</v>
      </c>
      <c r="B2385" s="1">
        <v>41562</v>
      </c>
      <c r="C2385" t="s">
        <v>910</v>
      </c>
      <c r="D2385" t="s">
        <v>13</v>
      </c>
      <c r="E2385" t="s">
        <v>653</v>
      </c>
      <c r="F2385">
        <v>1.4079999999999999</v>
      </c>
      <c r="G2385">
        <v>1</v>
      </c>
      <c r="H2385">
        <v>0.15840000000000001</v>
      </c>
      <c r="I2385">
        <v>5</v>
      </c>
      <c r="J2385">
        <v>2013</v>
      </c>
      <c r="K2385" t="s">
        <v>2209</v>
      </c>
      <c r="L2385" t="str">
        <f>TEXT(maintable_2[[#This Row],[Order Date]],"mmmm")</f>
        <v>October</v>
      </c>
    </row>
    <row r="2386" spans="1:12" x14ac:dyDescent="0.3">
      <c r="A2386" s="1">
        <v>41557</v>
      </c>
      <c r="B2386" s="1">
        <v>41562</v>
      </c>
      <c r="C2386" t="s">
        <v>910</v>
      </c>
      <c r="D2386" t="s">
        <v>11</v>
      </c>
      <c r="E2386" t="s">
        <v>1853</v>
      </c>
      <c r="F2386">
        <v>169.56800000000001</v>
      </c>
      <c r="G2386">
        <v>2</v>
      </c>
      <c r="H2386">
        <v>0</v>
      </c>
      <c r="I2386">
        <v>5</v>
      </c>
      <c r="J2386">
        <v>2013</v>
      </c>
      <c r="K2386" t="s">
        <v>2209</v>
      </c>
      <c r="L2386" t="str">
        <f>TEXT(maintable_2[[#This Row],[Order Date]],"mmmm")</f>
        <v>October</v>
      </c>
    </row>
    <row r="2387" spans="1:12" x14ac:dyDescent="0.3">
      <c r="A2387" s="1">
        <v>41377</v>
      </c>
      <c r="B2387" s="1">
        <v>41379</v>
      </c>
      <c r="C2387" t="s">
        <v>1015</v>
      </c>
      <c r="D2387" t="s">
        <v>44</v>
      </c>
      <c r="E2387" t="s">
        <v>1974</v>
      </c>
      <c r="F2387">
        <v>19.440000000000001</v>
      </c>
      <c r="G2387">
        <v>3</v>
      </c>
      <c r="H2387">
        <v>9.3312000000000008</v>
      </c>
      <c r="I2387">
        <v>2</v>
      </c>
      <c r="J2387">
        <v>2013</v>
      </c>
      <c r="K2387" t="s">
        <v>2208</v>
      </c>
      <c r="L2387" t="str">
        <f>TEXT(maintable_2[[#This Row],[Order Date]],"mmmm")</f>
        <v>April</v>
      </c>
    </row>
    <row r="2388" spans="1:12" x14ac:dyDescent="0.3">
      <c r="A2388" s="1">
        <v>41377</v>
      </c>
      <c r="B2388" s="1">
        <v>41379</v>
      </c>
      <c r="C2388" t="s">
        <v>1015</v>
      </c>
      <c r="D2388" t="s">
        <v>71</v>
      </c>
      <c r="E2388" t="s">
        <v>211</v>
      </c>
      <c r="F2388">
        <v>194.352</v>
      </c>
      <c r="G2388">
        <v>3</v>
      </c>
      <c r="H2388">
        <v>-36.441000000000003</v>
      </c>
      <c r="I2388">
        <v>2</v>
      </c>
      <c r="J2388">
        <v>2013</v>
      </c>
      <c r="K2388" t="s">
        <v>2208</v>
      </c>
      <c r="L2388" t="str">
        <f>TEXT(maintable_2[[#This Row],[Order Date]],"mmmm")</f>
        <v>April</v>
      </c>
    </row>
    <row r="2389" spans="1:12" x14ac:dyDescent="0.3">
      <c r="A2389" s="1">
        <v>41377</v>
      </c>
      <c r="B2389" s="1">
        <v>41379</v>
      </c>
      <c r="C2389" t="s">
        <v>1015</v>
      </c>
      <c r="D2389" t="s">
        <v>17</v>
      </c>
      <c r="E2389" t="s">
        <v>455</v>
      </c>
      <c r="F2389">
        <v>36.624000000000002</v>
      </c>
      <c r="G2389">
        <v>3</v>
      </c>
      <c r="H2389">
        <v>13.734</v>
      </c>
      <c r="I2389">
        <v>2</v>
      </c>
      <c r="J2389">
        <v>2013</v>
      </c>
      <c r="K2389" t="s">
        <v>2208</v>
      </c>
      <c r="L2389" t="str">
        <f>TEXT(maintable_2[[#This Row],[Order Date]],"mmmm")</f>
        <v>April</v>
      </c>
    </row>
    <row r="2390" spans="1:12" x14ac:dyDescent="0.3">
      <c r="A2390" s="1">
        <v>41647</v>
      </c>
      <c r="B2390" s="1">
        <v>41649</v>
      </c>
      <c r="C2390" t="s">
        <v>560</v>
      </c>
      <c r="D2390" t="s">
        <v>27</v>
      </c>
      <c r="E2390" t="s">
        <v>1131</v>
      </c>
      <c r="F2390">
        <v>153.78</v>
      </c>
      <c r="G2390">
        <v>11</v>
      </c>
      <c r="H2390">
        <v>44.596200000000003</v>
      </c>
      <c r="I2390">
        <v>2</v>
      </c>
      <c r="J2390">
        <v>2014</v>
      </c>
      <c r="K2390" t="s">
        <v>2210</v>
      </c>
      <c r="L2390" t="str">
        <f>TEXT(maintable_2[[#This Row],[Order Date]],"mmmm")</f>
        <v>January</v>
      </c>
    </row>
    <row r="2391" spans="1:12" x14ac:dyDescent="0.3">
      <c r="A2391" s="1">
        <v>41647</v>
      </c>
      <c r="B2391" s="1">
        <v>41649</v>
      </c>
      <c r="C2391" t="s">
        <v>560</v>
      </c>
      <c r="D2391" t="s">
        <v>27</v>
      </c>
      <c r="E2391" t="s">
        <v>1454</v>
      </c>
      <c r="F2391">
        <v>61.02</v>
      </c>
      <c r="G2391">
        <v>3</v>
      </c>
      <c r="H2391">
        <v>0.61019999999999996</v>
      </c>
      <c r="I2391">
        <v>2</v>
      </c>
      <c r="J2391">
        <v>2014</v>
      </c>
      <c r="K2391" t="s">
        <v>2210</v>
      </c>
      <c r="L2391" t="str">
        <f>TEXT(maintable_2[[#This Row],[Order Date]],"mmmm")</f>
        <v>January</v>
      </c>
    </row>
    <row r="2392" spans="1:12" x14ac:dyDescent="0.3">
      <c r="A2392" s="1">
        <v>41647</v>
      </c>
      <c r="B2392" s="1">
        <v>41649</v>
      </c>
      <c r="C2392" t="s">
        <v>560</v>
      </c>
      <c r="D2392" t="s">
        <v>81</v>
      </c>
      <c r="E2392" t="s">
        <v>1975</v>
      </c>
      <c r="F2392">
        <v>110.11</v>
      </c>
      <c r="G2392">
        <v>7</v>
      </c>
      <c r="H2392">
        <v>31.931899999999999</v>
      </c>
      <c r="I2392">
        <v>2</v>
      </c>
      <c r="J2392">
        <v>2014</v>
      </c>
      <c r="K2392" t="s">
        <v>2210</v>
      </c>
      <c r="L2392" t="str">
        <f>TEXT(maintable_2[[#This Row],[Order Date]],"mmmm")</f>
        <v>January</v>
      </c>
    </row>
    <row r="2393" spans="1:12" x14ac:dyDescent="0.3">
      <c r="A2393" s="1">
        <v>41647</v>
      </c>
      <c r="B2393" s="1">
        <v>41649</v>
      </c>
      <c r="C2393" t="s">
        <v>560</v>
      </c>
      <c r="D2393" t="s">
        <v>78</v>
      </c>
      <c r="E2393" t="s">
        <v>105</v>
      </c>
      <c r="F2393">
        <v>7.89</v>
      </c>
      <c r="G2393">
        <v>1</v>
      </c>
      <c r="H2393">
        <v>3.5505</v>
      </c>
      <c r="I2393">
        <v>2</v>
      </c>
      <c r="J2393">
        <v>2014</v>
      </c>
      <c r="K2393" t="s">
        <v>2210</v>
      </c>
      <c r="L2393" t="str">
        <f>TEXT(maintable_2[[#This Row],[Order Date]],"mmmm")</f>
        <v>January</v>
      </c>
    </row>
    <row r="2394" spans="1:12" x14ac:dyDescent="0.3">
      <c r="A2394" s="1">
        <v>41865</v>
      </c>
      <c r="B2394" s="1">
        <v>41872</v>
      </c>
      <c r="C2394" t="s">
        <v>1355</v>
      </c>
      <c r="D2394" t="s">
        <v>17</v>
      </c>
      <c r="E2394" t="s">
        <v>276</v>
      </c>
      <c r="F2394">
        <v>36.024000000000001</v>
      </c>
      <c r="G2394">
        <v>3</v>
      </c>
      <c r="H2394">
        <v>11.707800000000001</v>
      </c>
      <c r="I2394">
        <v>7</v>
      </c>
      <c r="J2394">
        <v>2014</v>
      </c>
      <c r="K2394" t="s">
        <v>2206</v>
      </c>
      <c r="L2394" t="str">
        <f>TEXT(maintable_2[[#This Row],[Order Date]],"mmmm")</f>
        <v>August</v>
      </c>
    </row>
    <row r="2395" spans="1:12" x14ac:dyDescent="0.3">
      <c r="A2395" s="1">
        <v>40805</v>
      </c>
      <c r="B2395" s="1">
        <v>40809</v>
      </c>
      <c r="C2395" t="s">
        <v>1463</v>
      </c>
      <c r="D2395" t="s">
        <v>27</v>
      </c>
      <c r="E2395" t="s">
        <v>226</v>
      </c>
      <c r="F2395">
        <v>92.52</v>
      </c>
      <c r="G2395">
        <v>6</v>
      </c>
      <c r="H2395">
        <v>24.980399999999999</v>
      </c>
      <c r="I2395">
        <v>4</v>
      </c>
      <c r="J2395">
        <v>2011</v>
      </c>
      <c r="K2395" t="s">
        <v>2209</v>
      </c>
      <c r="L2395" t="str">
        <f>TEXT(maintable_2[[#This Row],[Order Date]],"mmmm")</f>
        <v>September</v>
      </c>
    </row>
    <row r="2396" spans="1:12" x14ac:dyDescent="0.3">
      <c r="A2396" s="1">
        <v>41762</v>
      </c>
      <c r="B2396" s="1">
        <v>41766</v>
      </c>
      <c r="C2396" t="s">
        <v>1976</v>
      </c>
      <c r="D2396" t="s">
        <v>44</v>
      </c>
      <c r="E2396" t="s">
        <v>1031</v>
      </c>
      <c r="F2396">
        <v>15.7</v>
      </c>
      <c r="G2396">
        <v>5</v>
      </c>
      <c r="H2396">
        <v>7.0650000000000004</v>
      </c>
      <c r="I2396">
        <v>4</v>
      </c>
      <c r="J2396">
        <v>2014</v>
      </c>
      <c r="K2396" t="s">
        <v>2208</v>
      </c>
      <c r="L2396" t="str">
        <f>TEXT(maintable_2[[#This Row],[Order Date]],"mmmm")</f>
        <v>May</v>
      </c>
    </row>
    <row r="2397" spans="1:12" x14ac:dyDescent="0.3">
      <c r="A2397" s="1">
        <v>41762</v>
      </c>
      <c r="B2397" s="1">
        <v>41766</v>
      </c>
      <c r="C2397" t="s">
        <v>1976</v>
      </c>
      <c r="D2397" t="s">
        <v>13</v>
      </c>
      <c r="E2397" t="s">
        <v>1171</v>
      </c>
      <c r="F2397">
        <v>59.52</v>
      </c>
      <c r="G2397">
        <v>3</v>
      </c>
      <c r="H2397">
        <v>15.475199999999999</v>
      </c>
      <c r="I2397">
        <v>4</v>
      </c>
      <c r="J2397">
        <v>2014</v>
      </c>
      <c r="K2397" t="s">
        <v>2208</v>
      </c>
      <c r="L2397" t="str">
        <f>TEXT(maintable_2[[#This Row],[Order Date]],"mmmm")</f>
        <v>May</v>
      </c>
    </row>
    <row r="2398" spans="1:12" x14ac:dyDescent="0.3">
      <c r="A2398" s="1">
        <v>41762</v>
      </c>
      <c r="B2398" s="1">
        <v>41766</v>
      </c>
      <c r="C2398" t="s">
        <v>1976</v>
      </c>
      <c r="D2398" t="s">
        <v>44</v>
      </c>
      <c r="E2398" t="s">
        <v>1977</v>
      </c>
      <c r="F2398">
        <v>34.4</v>
      </c>
      <c r="G2398">
        <v>5</v>
      </c>
      <c r="H2398">
        <v>15.824</v>
      </c>
      <c r="I2398">
        <v>4</v>
      </c>
      <c r="J2398">
        <v>2014</v>
      </c>
      <c r="K2398" t="s">
        <v>2208</v>
      </c>
      <c r="L2398" t="str">
        <f>TEXT(maintable_2[[#This Row],[Order Date]],"mmmm")</f>
        <v>May</v>
      </c>
    </row>
    <row r="2399" spans="1:12" x14ac:dyDescent="0.3">
      <c r="A2399" s="1">
        <v>41526</v>
      </c>
      <c r="B2399" s="1">
        <v>41531</v>
      </c>
      <c r="C2399" t="s">
        <v>831</v>
      </c>
      <c r="D2399" t="s">
        <v>11</v>
      </c>
      <c r="E2399" t="s">
        <v>740</v>
      </c>
      <c r="F2399">
        <v>43.13</v>
      </c>
      <c r="G2399">
        <v>1</v>
      </c>
      <c r="H2399">
        <v>14.664199999999999</v>
      </c>
      <c r="I2399">
        <v>5</v>
      </c>
      <c r="J2399">
        <v>2013</v>
      </c>
      <c r="K2399" t="s">
        <v>2209</v>
      </c>
      <c r="L2399" t="str">
        <f>TEXT(maintable_2[[#This Row],[Order Date]],"mmmm")</f>
        <v>September</v>
      </c>
    </row>
    <row r="2400" spans="1:12" x14ac:dyDescent="0.3">
      <c r="A2400" s="1">
        <v>41526</v>
      </c>
      <c r="B2400" s="1">
        <v>41531</v>
      </c>
      <c r="C2400" t="s">
        <v>831</v>
      </c>
      <c r="D2400" t="s">
        <v>44</v>
      </c>
      <c r="E2400" t="s">
        <v>139</v>
      </c>
      <c r="F2400">
        <v>30.87</v>
      </c>
      <c r="G2400">
        <v>7</v>
      </c>
      <c r="H2400">
        <v>14.200200000000001</v>
      </c>
      <c r="I2400">
        <v>5</v>
      </c>
      <c r="J2400">
        <v>2013</v>
      </c>
      <c r="K2400" t="s">
        <v>2209</v>
      </c>
      <c r="L2400" t="str">
        <f>TEXT(maintable_2[[#This Row],[Order Date]],"mmmm")</f>
        <v>September</v>
      </c>
    </row>
    <row r="2401" spans="1:12" x14ac:dyDescent="0.3">
      <c r="A2401" s="1">
        <v>41043</v>
      </c>
      <c r="B2401" s="1">
        <v>41048</v>
      </c>
      <c r="C2401" t="s">
        <v>713</v>
      </c>
      <c r="D2401" t="s">
        <v>196</v>
      </c>
      <c r="E2401" t="s">
        <v>649</v>
      </c>
      <c r="F2401">
        <v>509.95749999999998</v>
      </c>
      <c r="G2401">
        <v>5</v>
      </c>
      <c r="H2401">
        <v>41.996499999999997</v>
      </c>
      <c r="I2401">
        <v>5</v>
      </c>
      <c r="J2401">
        <v>2012</v>
      </c>
      <c r="K2401" t="s">
        <v>2208</v>
      </c>
      <c r="L2401" t="str">
        <f>TEXT(maintable_2[[#This Row],[Order Date]],"mmmm")</f>
        <v>May</v>
      </c>
    </row>
    <row r="2402" spans="1:12" x14ac:dyDescent="0.3">
      <c r="A2402" s="1">
        <v>41043</v>
      </c>
      <c r="B2402" s="1">
        <v>41048</v>
      </c>
      <c r="C2402" t="s">
        <v>713</v>
      </c>
      <c r="D2402" t="s">
        <v>11</v>
      </c>
      <c r="E2402" t="s">
        <v>305</v>
      </c>
      <c r="F2402">
        <v>122.91</v>
      </c>
      <c r="G2402">
        <v>3</v>
      </c>
      <c r="H2402">
        <v>34.4148</v>
      </c>
      <c r="I2402">
        <v>5</v>
      </c>
      <c r="J2402">
        <v>2012</v>
      </c>
      <c r="K2402" t="s">
        <v>2208</v>
      </c>
      <c r="L2402" t="str">
        <f>TEXT(maintable_2[[#This Row],[Order Date]],"mmmm")</f>
        <v>May</v>
      </c>
    </row>
    <row r="2403" spans="1:12" x14ac:dyDescent="0.3">
      <c r="A2403" s="1">
        <v>41043</v>
      </c>
      <c r="B2403" s="1">
        <v>41048</v>
      </c>
      <c r="C2403" t="s">
        <v>713</v>
      </c>
      <c r="D2403" t="s">
        <v>71</v>
      </c>
      <c r="E2403" t="s">
        <v>821</v>
      </c>
      <c r="F2403">
        <v>97.567999999999998</v>
      </c>
      <c r="G2403">
        <v>2</v>
      </c>
      <c r="H2403">
        <v>-6.0979999999999999</v>
      </c>
      <c r="I2403">
        <v>5</v>
      </c>
      <c r="J2403">
        <v>2012</v>
      </c>
      <c r="K2403" t="s">
        <v>2208</v>
      </c>
      <c r="L2403" t="str">
        <f>TEXT(maintable_2[[#This Row],[Order Date]],"mmmm")</f>
        <v>May</v>
      </c>
    </row>
    <row r="2404" spans="1:12" x14ac:dyDescent="0.3">
      <c r="A2404" s="1">
        <v>41043</v>
      </c>
      <c r="B2404" s="1">
        <v>41048</v>
      </c>
      <c r="C2404" t="s">
        <v>713</v>
      </c>
      <c r="D2404" t="s">
        <v>71</v>
      </c>
      <c r="E2404" t="s">
        <v>1165</v>
      </c>
      <c r="F2404">
        <v>722.35199999999998</v>
      </c>
      <c r="G2404">
        <v>3</v>
      </c>
      <c r="H2404">
        <v>81.264600000000002</v>
      </c>
      <c r="I2404">
        <v>5</v>
      </c>
      <c r="J2404">
        <v>2012</v>
      </c>
      <c r="K2404" t="s">
        <v>2208</v>
      </c>
      <c r="L2404" t="str">
        <f>TEXT(maintable_2[[#This Row],[Order Date]],"mmmm")</f>
        <v>May</v>
      </c>
    </row>
    <row r="2405" spans="1:12" x14ac:dyDescent="0.3">
      <c r="A2405" s="1">
        <v>41425</v>
      </c>
      <c r="B2405" s="1">
        <v>41432</v>
      </c>
      <c r="C2405" t="s">
        <v>1802</v>
      </c>
      <c r="D2405" t="s">
        <v>11</v>
      </c>
      <c r="E2405" t="s">
        <v>1145</v>
      </c>
      <c r="F2405">
        <v>167.84</v>
      </c>
      <c r="G2405">
        <v>8</v>
      </c>
      <c r="H2405">
        <v>11.748799999999999</v>
      </c>
      <c r="I2405">
        <v>7</v>
      </c>
      <c r="J2405">
        <v>2013</v>
      </c>
      <c r="K2405" t="s">
        <v>2208</v>
      </c>
      <c r="L2405" t="str">
        <f>TEXT(maintable_2[[#This Row],[Order Date]],"mmmm")</f>
        <v>May</v>
      </c>
    </row>
    <row r="2406" spans="1:12" x14ac:dyDescent="0.3">
      <c r="A2406" s="1">
        <v>41790</v>
      </c>
      <c r="B2406" s="1">
        <v>41794</v>
      </c>
      <c r="C2406" t="s">
        <v>1004</v>
      </c>
      <c r="D2406" t="s">
        <v>15</v>
      </c>
      <c r="E2406" t="s">
        <v>1978</v>
      </c>
      <c r="F2406">
        <v>156.792</v>
      </c>
      <c r="G2406">
        <v>1</v>
      </c>
      <c r="H2406">
        <v>17.639099999999999</v>
      </c>
      <c r="I2406">
        <v>4</v>
      </c>
      <c r="J2406">
        <v>2014</v>
      </c>
      <c r="K2406" t="s">
        <v>2208</v>
      </c>
      <c r="L2406" t="str">
        <f>TEXT(maintable_2[[#This Row],[Order Date]],"mmmm")</f>
        <v>May</v>
      </c>
    </row>
    <row r="2407" spans="1:12" x14ac:dyDescent="0.3">
      <c r="A2407" s="1">
        <v>41790</v>
      </c>
      <c r="B2407" s="1">
        <v>41794</v>
      </c>
      <c r="C2407" t="s">
        <v>1004</v>
      </c>
      <c r="D2407" t="s">
        <v>37</v>
      </c>
      <c r="E2407" t="s">
        <v>113</v>
      </c>
      <c r="F2407">
        <v>35.36</v>
      </c>
      <c r="G2407">
        <v>2</v>
      </c>
      <c r="H2407">
        <v>-3.0939999999999999</v>
      </c>
      <c r="I2407">
        <v>4</v>
      </c>
      <c r="J2407">
        <v>2014</v>
      </c>
      <c r="K2407" t="s">
        <v>2208</v>
      </c>
      <c r="L2407" t="str">
        <f>TEXT(maintable_2[[#This Row],[Order Date]],"mmmm")</f>
        <v>May</v>
      </c>
    </row>
    <row r="2408" spans="1:12" x14ac:dyDescent="0.3">
      <c r="A2408" s="1">
        <v>41790</v>
      </c>
      <c r="B2408" s="1">
        <v>41794</v>
      </c>
      <c r="C2408" t="s">
        <v>1004</v>
      </c>
      <c r="D2408" t="s">
        <v>11</v>
      </c>
      <c r="E2408" t="s">
        <v>1979</v>
      </c>
      <c r="F2408">
        <v>13.592000000000001</v>
      </c>
      <c r="G2408">
        <v>1</v>
      </c>
      <c r="H2408">
        <v>-0.33979999999999999</v>
      </c>
      <c r="I2408">
        <v>4</v>
      </c>
      <c r="J2408">
        <v>2014</v>
      </c>
      <c r="K2408" t="s">
        <v>2208</v>
      </c>
      <c r="L2408" t="str">
        <f>TEXT(maintable_2[[#This Row],[Order Date]],"mmmm")</f>
        <v>May</v>
      </c>
    </row>
    <row r="2409" spans="1:12" x14ac:dyDescent="0.3">
      <c r="A2409" s="1">
        <v>40764</v>
      </c>
      <c r="B2409" s="1">
        <v>40768</v>
      </c>
      <c r="C2409" t="s">
        <v>1856</v>
      </c>
      <c r="D2409" t="s">
        <v>78</v>
      </c>
      <c r="E2409" t="s">
        <v>1477</v>
      </c>
      <c r="F2409">
        <v>4.4640000000000004</v>
      </c>
      <c r="G2409">
        <v>3</v>
      </c>
      <c r="H2409">
        <v>-0.9486</v>
      </c>
      <c r="I2409">
        <v>4</v>
      </c>
      <c r="J2409">
        <v>2011</v>
      </c>
      <c r="K2409" t="s">
        <v>2206</v>
      </c>
      <c r="L2409" t="str">
        <f>TEXT(maintable_2[[#This Row],[Order Date]],"mmmm")</f>
        <v>August</v>
      </c>
    </row>
    <row r="2410" spans="1:12" x14ac:dyDescent="0.3">
      <c r="A2410" s="1">
        <v>40764</v>
      </c>
      <c r="B2410" s="1">
        <v>40768</v>
      </c>
      <c r="C2410" t="s">
        <v>1856</v>
      </c>
      <c r="D2410" t="s">
        <v>17</v>
      </c>
      <c r="E2410" t="s">
        <v>458</v>
      </c>
      <c r="F2410">
        <v>9.3450000000000006</v>
      </c>
      <c r="G2410">
        <v>5</v>
      </c>
      <c r="H2410">
        <v>-6.5415000000000001</v>
      </c>
      <c r="I2410">
        <v>4</v>
      </c>
      <c r="J2410">
        <v>2011</v>
      </c>
      <c r="K2410" t="s">
        <v>2206</v>
      </c>
      <c r="L2410" t="str">
        <f>TEXT(maintable_2[[#This Row],[Order Date]],"mmmm")</f>
        <v>August</v>
      </c>
    </row>
    <row r="2411" spans="1:12" x14ac:dyDescent="0.3">
      <c r="A2411" s="1">
        <v>41116</v>
      </c>
      <c r="B2411" s="1">
        <v>41121</v>
      </c>
      <c r="C2411" t="s">
        <v>1427</v>
      </c>
      <c r="D2411" t="s">
        <v>17</v>
      </c>
      <c r="E2411" t="s">
        <v>309</v>
      </c>
      <c r="F2411">
        <v>9.1440000000000001</v>
      </c>
      <c r="G2411">
        <v>3</v>
      </c>
      <c r="H2411">
        <v>3.0861000000000001</v>
      </c>
      <c r="I2411">
        <v>5</v>
      </c>
      <c r="J2411">
        <v>2012</v>
      </c>
      <c r="K2411" t="s">
        <v>2206</v>
      </c>
      <c r="L2411" t="str">
        <f>TEXT(maintable_2[[#This Row],[Order Date]],"mmmm")</f>
        <v>July</v>
      </c>
    </row>
    <row r="2412" spans="1:12" x14ac:dyDescent="0.3">
      <c r="A2412" s="1">
        <v>41116</v>
      </c>
      <c r="B2412" s="1">
        <v>41121</v>
      </c>
      <c r="C2412" t="s">
        <v>1427</v>
      </c>
      <c r="D2412" t="s">
        <v>17</v>
      </c>
      <c r="E2412" t="s">
        <v>167</v>
      </c>
      <c r="F2412">
        <v>23.135999999999999</v>
      </c>
      <c r="G2412">
        <v>6</v>
      </c>
      <c r="H2412">
        <v>8.3867999999999991</v>
      </c>
      <c r="I2412">
        <v>5</v>
      </c>
      <c r="J2412">
        <v>2012</v>
      </c>
      <c r="K2412" t="s">
        <v>2206</v>
      </c>
      <c r="L2412" t="str">
        <f>TEXT(maintable_2[[#This Row],[Order Date]],"mmmm")</f>
        <v>July</v>
      </c>
    </row>
    <row r="2413" spans="1:12" x14ac:dyDescent="0.3">
      <c r="A2413" s="1">
        <v>41116</v>
      </c>
      <c r="B2413" s="1">
        <v>41121</v>
      </c>
      <c r="C2413" t="s">
        <v>1427</v>
      </c>
      <c r="D2413" t="s">
        <v>13</v>
      </c>
      <c r="E2413" t="s">
        <v>761</v>
      </c>
      <c r="F2413">
        <v>99.2</v>
      </c>
      <c r="G2413">
        <v>5</v>
      </c>
      <c r="H2413">
        <v>25.792000000000002</v>
      </c>
      <c r="I2413">
        <v>5</v>
      </c>
      <c r="J2413">
        <v>2012</v>
      </c>
      <c r="K2413" t="s">
        <v>2206</v>
      </c>
      <c r="L2413" t="str">
        <f>TEXT(maintable_2[[#This Row],[Order Date]],"mmmm")</f>
        <v>July</v>
      </c>
    </row>
    <row r="2414" spans="1:12" x14ac:dyDescent="0.3">
      <c r="A2414" s="1">
        <v>40590</v>
      </c>
      <c r="B2414" s="1">
        <v>40594</v>
      </c>
      <c r="C2414" t="s">
        <v>1619</v>
      </c>
      <c r="D2414" t="s">
        <v>17</v>
      </c>
      <c r="E2414" t="s">
        <v>1634</v>
      </c>
      <c r="F2414">
        <v>21.36</v>
      </c>
      <c r="G2414">
        <v>5</v>
      </c>
      <c r="H2414">
        <v>7.2089999999999996</v>
      </c>
      <c r="I2414">
        <v>4</v>
      </c>
      <c r="J2414">
        <v>2011</v>
      </c>
      <c r="K2414" t="s">
        <v>2210</v>
      </c>
      <c r="L2414" t="str">
        <f>TEXT(maintable_2[[#This Row],[Order Date]],"mmmm")</f>
        <v>February</v>
      </c>
    </row>
    <row r="2415" spans="1:12" x14ac:dyDescent="0.3">
      <c r="A2415" s="1">
        <v>40992</v>
      </c>
      <c r="B2415" s="1">
        <v>40995</v>
      </c>
      <c r="C2415" t="s">
        <v>1789</v>
      </c>
      <c r="D2415" t="s">
        <v>11</v>
      </c>
      <c r="E2415" t="s">
        <v>1980</v>
      </c>
      <c r="F2415">
        <v>46.9</v>
      </c>
      <c r="G2415">
        <v>5</v>
      </c>
      <c r="H2415">
        <v>13.132</v>
      </c>
      <c r="I2415">
        <v>3</v>
      </c>
      <c r="J2415">
        <v>2012</v>
      </c>
      <c r="K2415" t="s">
        <v>2208</v>
      </c>
      <c r="L2415" t="str">
        <f>TEXT(maintable_2[[#This Row],[Order Date]],"mmmm")</f>
        <v>March</v>
      </c>
    </row>
    <row r="2416" spans="1:12" x14ac:dyDescent="0.3">
      <c r="A2416" s="1">
        <v>41885</v>
      </c>
      <c r="B2416" s="1">
        <v>41889</v>
      </c>
      <c r="C2416" t="s">
        <v>1981</v>
      </c>
      <c r="D2416" t="s">
        <v>17</v>
      </c>
      <c r="E2416" t="s">
        <v>346</v>
      </c>
      <c r="F2416">
        <v>18.72</v>
      </c>
      <c r="G2416">
        <v>5</v>
      </c>
      <c r="H2416">
        <v>6.5519999999999996</v>
      </c>
      <c r="I2416">
        <v>4</v>
      </c>
      <c r="J2416">
        <v>2014</v>
      </c>
      <c r="K2416" t="s">
        <v>2209</v>
      </c>
      <c r="L2416" t="str">
        <f>TEXT(maintable_2[[#This Row],[Order Date]],"mmmm")</f>
        <v>September</v>
      </c>
    </row>
    <row r="2417" spans="1:12" x14ac:dyDescent="0.3">
      <c r="A2417" s="1">
        <v>41885</v>
      </c>
      <c r="B2417" s="1">
        <v>41889</v>
      </c>
      <c r="C2417" t="s">
        <v>1981</v>
      </c>
      <c r="D2417" t="s">
        <v>21</v>
      </c>
      <c r="E2417" t="s">
        <v>1982</v>
      </c>
      <c r="F2417">
        <v>236.52799999999999</v>
      </c>
      <c r="G2417">
        <v>2</v>
      </c>
      <c r="H2417">
        <v>-2.9565999999999999</v>
      </c>
      <c r="I2417">
        <v>4</v>
      </c>
      <c r="J2417">
        <v>2014</v>
      </c>
      <c r="K2417" t="s">
        <v>2209</v>
      </c>
      <c r="L2417" t="str">
        <f>TEXT(maintable_2[[#This Row],[Order Date]],"mmmm")</f>
        <v>September</v>
      </c>
    </row>
    <row r="2418" spans="1:12" x14ac:dyDescent="0.3">
      <c r="A2418" s="1">
        <v>41229</v>
      </c>
      <c r="B2418" s="1">
        <v>41231</v>
      </c>
      <c r="C2418" t="s">
        <v>1646</v>
      </c>
      <c r="D2418" t="s">
        <v>8</v>
      </c>
      <c r="E2418" t="s">
        <v>1630</v>
      </c>
      <c r="F2418">
        <v>18.899999999999999</v>
      </c>
      <c r="G2418">
        <v>3</v>
      </c>
      <c r="H2418">
        <v>8.6940000000000008</v>
      </c>
      <c r="I2418">
        <v>2</v>
      </c>
      <c r="J2418">
        <v>2012</v>
      </c>
      <c r="K2418" t="s">
        <v>2209</v>
      </c>
      <c r="L2418" t="str">
        <f>TEXT(maintable_2[[#This Row],[Order Date]],"mmmm")</f>
        <v>November</v>
      </c>
    </row>
    <row r="2419" spans="1:12" x14ac:dyDescent="0.3">
      <c r="A2419" s="1">
        <v>41010</v>
      </c>
      <c r="B2419" s="1">
        <v>41013</v>
      </c>
      <c r="C2419" t="s">
        <v>1638</v>
      </c>
      <c r="D2419" t="s">
        <v>163</v>
      </c>
      <c r="E2419" t="s">
        <v>1983</v>
      </c>
      <c r="F2419">
        <v>639.96799999999996</v>
      </c>
      <c r="G2419">
        <v>4</v>
      </c>
      <c r="H2419">
        <v>215.98920000000001</v>
      </c>
      <c r="I2419">
        <v>3</v>
      </c>
      <c r="J2419">
        <v>2012</v>
      </c>
      <c r="K2419" t="s">
        <v>2208</v>
      </c>
      <c r="L2419" t="str">
        <f>TEXT(maintable_2[[#This Row],[Order Date]],"mmmm")</f>
        <v>April</v>
      </c>
    </row>
    <row r="2420" spans="1:12" x14ac:dyDescent="0.3">
      <c r="A2420" s="1">
        <v>41010</v>
      </c>
      <c r="B2420" s="1">
        <v>41013</v>
      </c>
      <c r="C2420" t="s">
        <v>1638</v>
      </c>
      <c r="D2420" t="s">
        <v>44</v>
      </c>
      <c r="E2420" t="s">
        <v>105</v>
      </c>
      <c r="F2420">
        <v>52.76</v>
      </c>
      <c r="G2420">
        <v>2</v>
      </c>
      <c r="H2420">
        <v>24.269600000000001</v>
      </c>
      <c r="I2420">
        <v>3</v>
      </c>
      <c r="J2420">
        <v>2012</v>
      </c>
      <c r="K2420" t="s">
        <v>2208</v>
      </c>
      <c r="L2420" t="str">
        <f>TEXT(maintable_2[[#This Row],[Order Date]],"mmmm")</f>
        <v>April</v>
      </c>
    </row>
    <row r="2421" spans="1:12" x14ac:dyDescent="0.3">
      <c r="A2421" s="1">
        <v>40966</v>
      </c>
      <c r="B2421" s="1">
        <v>40969</v>
      </c>
      <c r="C2421" t="s">
        <v>1901</v>
      </c>
      <c r="D2421" t="s">
        <v>37</v>
      </c>
      <c r="E2421" t="s">
        <v>179</v>
      </c>
      <c r="F2421">
        <v>538.91999999999996</v>
      </c>
      <c r="G2421">
        <v>9</v>
      </c>
      <c r="H2421">
        <v>80.837999999999994</v>
      </c>
      <c r="I2421">
        <v>3</v>
      </c>
      <c r="J2421">
        <v>2012</v>
      </c>
      <c r="K2421" t="s">
        <v>2210</v>
      </c>
      <c r="L2421" t="str">
        <f>TEXT(maintable_2[[#This Row],[Order Date]],"mmmm")</f>
        <v>February</v>
      </c>
    </row>
    <row r="2422" spans="1:12" x14ac:dyDescent="0.3">
      <c r="A2422" s="1">
        <v>41526</v>
      </c>
      <c r="B2422" s="1">
        <v>41533</v>
      </c>
      <c r="C2422" t="s">
        <v>1457</v>
      </c>
      <c r="D2422" t="s">
        <v>13</v>
      </c>
      <c r="E2422" t="s">
        <v>1984</v>
      </c>
      <c r="F2422">
        <v>14.88</v>
      </c>
      <c r="G2422">
        <v>2</v>
      </c>
      <c r="H2422">
        <v>3.72</v>
      </c>
      <c r="I2422">
        <v>7</v>
      </c>
      <c r="J2422">
        <v>2013</v>
      </c>
      <c r="K2422" t="s">
        <v>2209</v>
      </c>
      <c r="L2422" t="str">
        <f>TEXT(maintable_2[[#This Row],[Order Date]],"mmmm")</f>
        <v>September</v>
      </c>
    </row>
    <row r="2423" spans="1:12" x14ac:dyDescent="0.3">
      <c r="A2423" s="1">
        <v>41526</v>
      </c>
      <c r="B2423" s="1">
        <v>41533</v>
      </c>
      <c r="C2423" t="s">
        <v>1457</v>
      </c>
      <c r="D2423" t="s">
        <v>44</v>
      </c>
      <c r="E2423" t="s">
        <v>1985</v>
      </c>
      <c r="F2423">
        <v>34.24</v>
      </c>
      <c r="G2423">
        <v>8</v>
      </c>
      <c r="H2423">
        <v>15.407999999999999</v>
      </c>
      <c r="I2423">
        <v>7</v>
      </c>
      <c r="J2423">
        <v>2013</v>
      </c>
      <c r="K2423" t="s">
        <v>2209</v>
      </c>
      <c r="L2423" t="str">
        <f>TEXT(maintable_2[[#This Row],[Order Date]],"mmmm")</f>
        <v>September</v>
      </c>
    </row>
    <row r="2424" spans="1:12" x14ac:dyDescent="0.3">
      <c r="A2424" s="1">
        <v>41526</v>
      </c>
      <c r="B2424" s="1">
        <v>41533</v>
      </c>
      <c r="C2424" t="s">
        <v>1457</v>
      </c>
      <c r="D2424" t="s">
        <v>27</v>
      </c>
      <c r="E2424" t="s">
        <v>1023</v>
      </c>
      <c r="F2424">
        <v>261.74</v>
      </c>
      <c r="G2424">
        <v>2</v>
      </c>
      <c r="H2424">
        <v>65.435000000000002</v>
      </c>
      <c r="I2424">
        <v>7</v>
      </c>
      <c r="J2424">
        <v>2013</v>
      </c>
      <c r="K2424" t="s">
        <v>2209</v>
      </c>
      <c r="L2424" t="str">
        <f>TEXT(maintable_2[[#This Row],[Order Date]],"mmmm")</f>
        <v>September</v>
      </c>
    </row>
    <row r="2425" spans="1:12" x14ac:dyDescent="0.3">
      <c r="A2425" s="1">
        <v>41414</v>
      </c>
      <c r="B2425" s="1">
        <v>41418</v>
      </c>
      <c r="C2425" t="s">
        <v>1428</v>
      </c>
      <c r="D2425" t="s">
        <v>19</v>
      </c>
      <c r="E2425" t="s">
        <v>105</v>
      </c>
      <c r="F2425">
        <v>87.84</v>
      </c>
      <c r="G2425">
        <v>8</v>
      </c>
      <c r="H2425">
        <v>23.716799999999999</v>
      </c>
      <c r="I2425">
        <v>4</v>
      </c>
      <c r="J2425">
        <v>2013</v>
      </c>
      <c r="K2425" t="s">
        <v>2208</v>
      </c>
      <c r="L2425" t="str">
        <f>TEXT(maintable_2[[#This Row],[Order Date]],"mmmm")</f>
        <v>May</v>
      </c>
    </row>
    <row r="2426" spans="1:12" x14ac:dyDescent="0.3">
      <c r="A2426" s="1">
        <v>41955</v>
      </c>
      <c r="B2426" s="1">
        <v>41959</v>
      </c>
      <c r="C2426" t="s">
        <v>1932</v>
      </c>
      <c r="D2426" t="s">
        <v>11</v>
      </c>
      <c r="E2426" t="s">
        <v>522</v>
      </c>
      <c r="F2426">
        <v>34.92</v>
      </c>
      <c r="G2426">
        <v>4</v>
      </c>
      <c r="H2426">
        <v>11.8728</v>
      </c>
      <c r="I2426">
        <v>4</v>
      </c>
      <c r="J2426">
        <v>2014</v>
      </c>
      <c r="K2426" t="s">
        <v>2209</v>
      </c>
      <c r="L2426" t="str">
        <f>TEXT(maintable_2[[#This Row],[Order Date]],"mmmm")</f>
        <v>November</v>
      </c>
    </row>
    <row r="2427" spans="1:12" x14ac:dyDescent="0.3">
      <c r="A2427" s="1">
        <v>41457</v>
      </c>
      <c r="B2427" s="1">
        <v>41459</v>
      </c>
      <c r="C2427" t="s">
        <v>1112</v>
      </c>
      <c r="D2427" t="s">
        <v>163</v>
      </c>
      <c r="E2427" t="s">
        <v>950</v>
      </c>
      <c r="F2427">
        <v>1499.95</v>
      </c>
      <c r="G2427">
        <v>5</v>
      </c>
      <c r="H2427">
        <v>449.98500000000001</v>
      </c>
      <c r="I2427">
        <v>2</v>
      </c>
      <c r="J2427">
        <v>2013</v>
      </c>
      <c r="K2427" t="s">
        <v>2206</v>
      </c>
      <c r="L2427" t="str">
        <f>TEXT(maintable_2[[#This Row],[Order Date]],"mmmm")</f>
        <v>July</v>
      </c>
    </row>
    <row r="2428" spans="1:12" x14ac:dyDescent="0.3">
      <c r="A2428" s="1">
        <v>41519</v>
      </c>
      <c r="B2428" s="1">
        <v>41521</v>
      </c>
      <c r="C2428" t="s">
        <v>1986</v>
      </c>
      <c r="D2428" t="s">
        <v>86</v>
      </c>
      <c r="E2428" t="s">
        <v>1987</v>
      </c>
      <c r="F2428">
        <v>12.78</v>
      </c>
      <c r="G2428">
        <v>1</v>
      </c>
      <c r="H2428">
        <v>5.7510000000000003</v>
      </c>
      <c r="I2428">
        <v>2</v>
      </c>
      <c r="J2428">
        <v>2013</v>
      </c>
      <c r="K2428" t="s">
        <v>2209</v>
      </c>
      <c r="L2428" t="str">
        <f>TEXT(maintable_2[[#This Row],[Order Date]],"mmmm")</f>
        <v>September</v>
      </c>
    </row>
    <row r="2429" spans="1:12" x14ac:dyDescent="0.3">
      <c r="A2429" s="1">
        <v>41949</v>
      </c>
      <c r="B2429" s="1">
        <v>41953</v>
      </c>
      <c r="C2429" t="s">
        <v>1435</v>
      </c>
      <c r="D2429" t="s">
        <v>44</v>
      </c>
      <c r="E2429" t="s">
        <v>538</v>
      </c>
      <c r="F2429">
        <v>12.96</v>
      </c>
      <c r="G2429">
        <v>2</v>
      </c>
      <c r="H2429">
        <v>6.2207999999999997</v>
      </c>
      <c r="I2429">
        <v>4</v>
      </c>
      <c r="J2429">
        <v>2014</v>
      </c>
      <c r="K2429" t="s">
        <v>2209</v>
      </c>
      <c r="L2429" t="str">
        <f>TEXT(maintable_2[[#This Row],[Order Date]],"mmmm")</f>
        <v>November</v>
      </c>
    </row>
    <row r="2430" spans="1:12" x14ac:dyDescent="0.3">
      <c r="A2430" s="1">
        <v>41162</v>
      </c>
      <c r="B2430" s="1">
        <v>41168</v>
      </c>
      <c r="C2430" t="s">
        <v>157</v>
      </c>
      <c r="D2430" t="s">
        <v>11</v>
      </c>
      <c r="E2430" t="s">
        <v>1988</v>
      </c>
      <c r="F2430">
        <v>106.68</v>
      </c>
      <c r="G2430">
        <v>6</v>
      </c>
      <c r="H2430">
        <v>33.070799999999998</v>
      </c>
      <c r="I2430">
        <v>6</v>
      </c>
      <c r="J2430">
        <v>2012</v>
      </c>
      <c r="K2430" t="s">
        <v>2209</v>
      </c>
      <c r="L2430" t="str">
        <f>TEXT(maintable_2[[#This Row],[Order Date]],"mmmm")</f>
        <v>September</v>
      </c>
    </row>
    <row r="2431" spans="1:12" x14ac:dyDescent="0.3">
      <c r="A2431" s="1">
        <v>41835</v>
      </c>
      <c r="B2431" s="1">
        <v>41839</v>
      </c>
      <c r="C2431" t="s">
        <v>1027</v>
      </c>
      <c r="D2431" t="s">
        <v>17</v>
      </c>
      <c r="E2431" t="s">
        <v>1567</v>
      </c>
      <c r="F2431">
        <v>4.4480000000000004</v>
      </c>
      <c r="G2431">
        <v>2</v>
      </c>
      <c r="H2431">
        <v>1.4456</v>
      </c>
      <c r="I2431">
        <v>4</v>
      </c>
      <c r="J2431">
        <v>2014</v>
      </c>
      <c r="K2431" t="s">
        <v>2206</v>
      </c>
      <c r="L2431" t="str">
        <f>TEXT(maintable_2[[#This Row],[Order Date]],"mmmm")</f>
        <v>July</v>
      </c>
    </row>
    <row r="2432" spans="1:12" x14ac:dyDescent="0.3">
      <c r="A2432" s="1">
        <v>41835</v>
      </c>
      <c r="B2432" s="1">
        <v>41839</v>
      </c>
      <c r="C2432" t="s">
        <v>1027</v>
      </c>
      <c r="D2432" t="s">
        <v>11</v>
      </c>
      <c r="E2432" t="s">
        <v>1989</v>
      </c>
      <c r="F2432">
        <v>276.69</v>
      </c>
      <c r="G2432">
        <v>3</v>
      </c>
      <c r="H2432">
        <v>49.804200000000002</v>
      </c>
      <c r="I2432">
        <v>4</v>
      </c>
      <c r="J2432">
        <v>2014</v>
      </c>
      <c r="K2432" t="s">
        <v>2206</v>
      </c>
      <c r="L2432" t="str">
        <f>TEXT(maintable_2[[#This Row],[Order Date]],"mmmm")</f>
        <v>July</v>
      </c>
    </row>
    <row r="2433" spans="1:12" x14ac:dyDescent="0.3">
      <c r="A2433" s="1">
        <v>41835</v>
      </c>
      <c r="B2433" s="1">
        <v>41839</v>
      </c>
      <c r="C2433" t="s">
        <v>1027</v>
      </c>
      <c r="D2433" t="s">
        <v>78</v>
      </c>
      <c r="E2433" t="s">
        <v>170</v>
      </c>
      <c r="F2433">
        <v>4.96</v>
      </c>
      <c r="G2433">
        <v>4</v>
      </c>
      <c r="H2433">
        <v>2.3311999999999999</v>
      </c>
      <c r="I2433">
        <v>4</v>
      </c>
      <c r="J2433">
        <v>2014</v>
      </c>
      <c r="K2433" t="s">
        <v>2206</v>
      </c>
      <c r="L2433" t="str">
        <f>TEXT(maintable_2[[#This Row],[Order Date]],"mmmm")</f>
        <v>July</v>
      </c>
    </row>
    <row r="2434" spans="1:12" x14ac:dyDescent="0.3">
      <c r="A2434" s="1">
        <v>41835</v>
      </c>
      <c r="B2434" s="1">
        <v>41839</v>
      </c>
      <c r="C2434" t="s">
        <v>1027</v>
      </c>
      <c r="D2434" t="s">
        <v>13</v>
      </c>
      <c r="E2434" t="s">
        <v>502</v>
      </c>
      <c r="F2434">
        <v>71.92</v>
      </c>
      <c r="G2434">
        <v>4</v>
      </c>
      <c r="H2434">
        <v>20.8568</v>
      </c>
      <c r="I2434">
        <v>4</v>
      </c>
      <c r="J2434">
        <v>2014</v>
      </c>
      <c r="K2434" t="s">
        <v>2206</v>
      </c>
      <c r="L2434" t="str">
        <f>TEXT(maintable_2[[#This Row],[Order Date]],"mmmm")</f>
        <v>July</v>
      </c>
    </row>
    <row r="2435" spans="1:12" x14ac:dyDescent="0.3">
      <c r="A2435" s="1">
        <v>41835</v>
      </c>
      <c r="B2435" s="1">
        <v>41839</v>
      </c>
      <c r="C2435" t="s">
        <v>1027</v>
      </c>
      <c r="D2435" t="s">
        <v>11</v>
      </c>
      <c r="E2435" t="s">
        <v>1990</v>
      </c>
      <c r="F2435">
        <v>18.84</v>
      </c>
      <c r="G2435">
        <v>3</v>
      </c>
      <c r="H2435">
        <v>7.9127999999999998</v>
      </c>
      <c r="I2435">
        <v>4</v>
      </c>
      <c r="J2435">
        <v>2014</v>
      </c>
      <c r="K2435" t="s">
        <v>2206</v>
      </c>
      <c r="L2435" t="str">
        <f>TEXT(maintable_2[[#This Row],[Order Date]],"mmmm")</f>
        <v>July</v>
      </c>
    </row>
    <row r="2436" spans="1:12" x14ac:dyDescent="0.3">
      <c r="A2436" s="1">
        <v>41835</v>
      </c>
      <c r="B2436" s="1">
        <v>41839</v>
      </c>
      <c r="C2436" t="s">
        <v>1027</v>
      </c>
      <c r="D2436" t="s">
        <v>37</v>
      </c>
      <c r="E2436" t="s">
        <v>237</v>
      </c>
      <c r="F2436">
        <v>140.97</v>
      </c>
      <c r="G2436">
        <v>3</v>
      </c>
      <c r="H2436">
        <v>19.735800000000001</v>
      </c>
      <c r="I2436">
        <v>4</v>
      </c>
      <c r="J2436">
        <v>2014</v>
      </c>
      <c r="K2436" t="s">
        <v>2206</v>
      </c>
      <c r="L2436" t="str">
        <f>TEXT(maintable_2[[#This Row],[Order Date]],"mmmm")</f>
        <v>July</v>
      </c>
    </row>
    <row r="2437" spans="1:12" x14ac:dyDescent="0.3">
      <c r="A2437" s="1">
        <v>41835</v>
      </c>
      <c r="B2437" s="1">
        <v>41839</v>
      </c>
      <c r="C2437" t="s">
        <v>1027</v>
      </c>
      <c r="D2437" t="s">
        <v>15</v>
      </c>
      <c r="E2437" t="s">
        <v>294</v>
      </c>
      <c r="F2437">
        <v>470.37599999999998</v>
      </c>
      <c r="G2437">
        <v>3</v>
      </c>
      <c r="H2437">
        <v>52.917299999999997</v>
      </c>
      <c r="I2437">
        <v>4</v>
      </c>
      <c r="J2437">
        <v>2014</v>
      </c>
      <c r="K2437" t="s">
        <v>2206</v>
      </c>
      <c r="L2437" t="str">
        <f>TEXT(maintable_2[[#This Row],[Order Date]],"mmmm")</f>
        <v>July</v>
      </c>
    </row>
    <row r="2438" spans="1:12" x14ac:dyDescent="0.3">
      <c r="A2438" s="1">
        <v>41729</v>
      </c>
      <c r="B2438" s="1">
        <v>41729</v>
      </c>
      <c r="C2438" t="s">
        <v>638</v>
      </c>
      <c r="D2438" t="s">
        <v>13</v>
      </c>
      <c r="E2438" t="s">
        <v>1991</v>
      </c>
      <c r="F2438">
        <v>6.08</v>
      </c>
      <c r="G2438">
        <v>2</v>
      </c>
      <c r="H2438">
        <v>2.0672000000000001</v>
      </c>
      <c r="I2438">
        <v>0</v>
      </c>
      <c r="J2438">
        <v>2014</v>
      </c>
      <c r="K2438" t="s">
        <v>2208</v>
      </c>
      <c r="L2438" t="str">
        <f>TEXT(maintable_2[[#This Row],[Order Date]],"mmmm")</f>
        <v>March</v>
      </c>
    </row>
    <row r="2439" spans="1:12" x14ac:dyDescent="0.3">
      <c r="A2439" s="1">
        <v>41729</v>
      </c>
      <c r="B2439" s="1">
        <v>41729</v>
      </c>
      <c r="C2439" t="s">
        <v>638</v>
      </c>
      <c r="D2439" t="s">
        <v>15</v>
      </c>
      <c r="E2439" t="s">
        <v>1992</v>
      </c>
      <c r="F2439">
        <v>164.792</v>
      </c>
      <c r="G2439">
        <v>1</v>
      </c>
      <c r="H2439">
        <v>18.539100000000001</v>
      </c>
      <c r="I2439">
        <v>0</v>
      </c>
      <c r="J2439">
        <v>2014</v>
      </c>
      <c r="K2439" t="s">
        <v>2208</v>
      </c>
      <c r="L2439" t="str">
        <f>TEXT(maintable_2[[#This Row],[Order Date]],"mmmm")</f>
        <v>March</v>
      </c>
    </row>
    <row r="2440" spans="1:12" x14ac:dyDescent="0.3">
      <c r="A2440" s="1">
        <v>40849</v>
      </c>
      <c r="B2440" s="1">
        <v>40853</v>
      </c>
      <c r="C2440" t="s">
        <v>1993</v>
      </c>
      <c r="D2440" t="s">
        <v>15</v>
      </c>
      <c r="E2440" t="s">
        <v>1994</v>
      </c>
      <c r="F2440">
        <v>46.384</v>
      </c>
      <c r="G2440">
        <v>2</v>
      </c>
      <c r="H2440">
        <v>5.2182000000000004</v>
      </c>
      <c r="I2440">
        <v>4</v>
      </c>
      <c r="J2440">
        <v>2011</v>
      </c>
      <c r="K2440" t="s">
        <v>2209</v>
      </c>
      <c r="L2440" t="str">
        <f>TEXT(maintable_2[[#This Row],[Order Date]],"mmmm")</f>
        <v>November</v>
      </c>
    </row>
    <row r="2441" spans="1:12" x14ac:dyDescent="0.3">
      <c r="A2441" s="1">
        <v>40849</v>
      </c>
      <c r="B2441" s="1">
        <v>40853</v>
      </c>
      <c r="C2441" t="s">
        <v>1993</v>
      </c>
      <c r="D2441" t="s">
        <v>27</v>
      </c>
      <c r="E2441" t="s">
        <v>134</v>
      </c>
      <c r="F2441">
        <v>362.92</v>
      </c>
      <c r="G2441">
        <v>2</v>
      </c>
      <c r="H2441">
        <v>105.24679999999999</v>
      </c>
      <c r="I2441">
        <v>4</v>
      </c>
      <c r="J2441">
        <v>2011</v>
      </c>
      <c r="K2441" t="s">
        <v>2209</v>
      </c>
      <c r="L2441" t="str">
        <f>TEXT(maintable_2[[#This Row],[Order Date]],"mmmm")</f>
        <v>November</v>
      </c>
    </row>
    <row r="2442" spans="1:12" x14ac:dyDescent="0.3">
      <c r="A2442" s="1">
        <v>40796</v>
      </c>
      <c r="B2442" s="1">
        <v>40802</v>
      </c>
      <c r="C2442" t="s">
        <v>361</v>
      </c>
      <c r="D2442" t="s">
        <v>86</v>
      </c>
      <c r="E2442" t="s">
        <v>1726</v>
      </c>
      <c r="F2442">
        <v>21.728000000000002</v>
      </c>
      <c r="G2442">
        <v>7</v>
      </c>
      <c r="H2442">
        <v>7.6048</v>
      </c>
      <c r="I2442">
        <v>6</v>
      </c>
      <c r="J2442">
        <v>2011</v>
      </c>
      <c r="K2442" t="s">
        <v>2209</v>
      </c>
      <c r="L2442" t="str">
        <f>TEXT(maintable_2[[#This Row],[Order Date]],"mmmm")</f>
        <v>September</v>
      </c>
    </row>
    <row r="2443" spans="1:12" x14ac:dyDescent="0.3">
      <c r="A2443" s="1">
        <v>40796</v>
      </c>
      <c r="B2443" s="1">
        <v>40802</v>
      </c>
      <c r="C2443" t="s">
        <v>361</v>
      </c>
      <c r="D2443" t="s">
        <v>71</v>
      </c>
      <c r="E2443" t="s">
        <v>513</v>
      </c>
      <c r="F2443">
        <v>1487.04</v>
      </c>
      <c r="G2443">
        <v>5</v>
      </c>
      <c r="H2443">
        <v>148.70400000000001</v>
      </c>
      <c r="I2443">
        <v>6</v>
      </c>
      <c r="J2443">
        <v>2011</v>
      </c>
      <c r="K2443" t="s">
        <v>2209</v>
      </c>
      <c r="L2443" t="str">
        <f>TEXT(maintable_2[[#This Row],[Order Date]],"mmmm")</f>
        <v>September</v>
      </c>
    </row>
    <row r="2444" spans="1:12" x14ac:dyDescent="0.3">
      <c r="A2444" s="1">
        <v>41909</v>
      </c>
      <c r="B2444" s="1">
        <v>41909</v>
      </c>
      <c r="C2444" t="s">
        <v>39</v>
      </c>
      <c r="D2444" t="s">
        <v>86</v>
      </c>
      <c r="E2444" t="s">
        <v>105</v>
      </c>
      <c r="F2444">
        <v>71.88</v>
      </c>
      <c r="G2444">
        <v>6</v>
      </c>
      <c r="H2444">
        <v>33.064799999999998</v>
      </c>
      <c r="I2444">
        <v>0</v>
      </c>
      <c r="J2444">
        <v>2014</v>
      </c>
      <c r="K2444" t="s">
        <v>2209</v>
      </c>
      <c r="L2444" t="str">
        <f>TEXT(maintable_2[[#This Row],[Order Date]],"mmmm")</f>
        <v>September</v>
      </c>
    </row>
    <row r="2445" spans="1:12" x14ac:dyDescent="0.3">
      <c r="A2445" s="1">
        <v>41909</v>
      </c>
      <c r="B2445" s="1">
        <v>41909</v>
      </c>
      <c r="C2445" t="s">
        <v>39</v>
      </c>
      <c r="D2445" t="s">
        <v>11</v>
      </c>
      <c r="E2445" t="s">
        <v>1691</v>
      </c>
      <c r="F2445">
        <v>9.24</v>
      </c>
      <c r="G2445">
        <v>3</v>
      </c>
      <c r="H2445">
        <v>2.9567999999999999</v>
      </c>
      <c r="I2445">
        <v>0</v>
      </c>
      <c r="J2445">
        <v>2014</v>
      </c>
      <c r="K2445" t="s">
        <v>2209</v>
      </c>
      <c r="L2445" t="str">
        <f>TEXT(maintable_2[[#This Row],[Order Date]],"mmmm")</f>
        <v>September</v>
      </c>
    </row>
    <row r="2446" spans="1:12" x14ac:dyDescent="0.3">
      <c r="A2446" s="1">
        <v>41909</v>
      </c>
      <c r="B2446" s="1">
        <v>41909</v>
      </c>
      <c r="C2446" t="s">
        <v>39</v>
      </c>
      <c r="D2446" t="s">
        <v>44</v>
      </c>
      <c r="E2446" t="s">
        <v>1330</v>
      </c>
      <c r="F2446">
        <v>35.880000000000003</v>
      </c>
      <c r="G2446">
        <v>6</v>
      </c>
      <c r="H2446">
        <v>16.146000000000001</v>
      </c>
      <c r="I2446">
        <v>0</v>
      </c>
      <c r="J2446">
        <v>2014</v>
      </c>
      <c r="K2446" t="s">
        <v>2209</v>
      </c>
      <c r="L2446" t="str">
        <f>TEXT(maintable_2[[#This Row],[Order Date]],"mmmm")</f>
        <v>September</v>
      </c>
    </row>
    <row r="2447" spans="1:12" x14ac:dyDescent="0.3">
      <c r="A2447" s="1">
        <v>41909</v>
      </c>
      <c r="B2447" s="1">
        <v>41909</v>
      </c>
      <c r="C2447" t="s">
        <v>39</v>
      </c>
      <c r="D2447" t="s">
        <v>17</v>
      </c>
      <c r="E2447" t="s">
        <v>32</v>
      </c>
      <c r="F2447">
        <v>17.04</v>
      </c>
      <c r="G2447">
        <v>3</v>
      </c>
      <c r="H2447">
        <v>5.5380000000000003</v>
      </c>
      <c r="I2447">
        <v>0</v>
      </c>
      <c r="J2447">
        <v>2014</v>
      </c>
      <c r="K2447" t="s">
        <v>2209</v>
      </c>
      <c r="L2447" t="str">
        <f>TEXT(maintable_2[[#This Row],[Order Date]],"mmmm")</f>
        <v>September</v>
      </c>
    </row>
    <row r="2448" spans="1:12" x14ac:dyDescent="0.3">
      <c r="A2448" s="1">
        <v>41909</v>
      </c>
      <c r="B2448" s="1">
        <v>41909</v>
      </c>
      <c r="C2448" t="s">
        <v>39</v>
      </c>
      <c r="D2448" t="s">
        <v>17</v>
      </c>
      <c r="E2448" t="s">
        <v>1806</v>
      </c>
      <c r="F2448">
        <v>931.17600000000004</v>
      </c>
      <c r="G2448">
        <v>3</v>
      </c>
      <c r="H2448">
        <v>314.27190000000002</v>
      </c>
      <c r="I2448">
        <v>0</v>
      </c>
      <c r="J2448">
        <v>2014</v>
      </c>
      <c r="K2448" t="s">
        <v>2209</v>
      </c>
      <c r="L2448" t="str">
        <f>TEXT(maintable_2[[#This Row],[Order Date]],"mmmm")</f>
        <v>September</v>
      </c>
    </row>
    <row r="2449" spans="1:12" x14ac:dyDescent="0.3">
      <c r="A2449" s="1">
        <v>41443</v>
      </c>
      <c r="B2449" s="1">
        <v>41445</v>
      </c>
      <c r="C2449" t="s">
        <v>74</v>
      </c>
      <c r="D2449" t="s">
        <v>11</v>
      </c>
      <c r="E2449" t="s">
        <v>1308</v>
      </c>
      <c r="F2449">
        <v>266.35199999999998</v>
      </c>
      <c r="G2449">
        <v>3</v>
      </c>
      <c r="H2449">
        <v>-13.317600000000001</v>
      </c>
      <c r="I2449">
        <v>2</v>
      </c>
      <c r="J2449">
        <v>2013</v>
      </c>
      <c r="K2449" t="s">
        <v>2206</v>
      </c>
      <c r="L2449" t="str">
        <f>TEXT(maintable_2[[#This Row],[Order Date]],"mmmm")</f>
        <v>June</v>
      </c>
    </row>
    <row r="2450" spans="1:12" x14ac:dyDescent="0.3">
      <c r="A2450" s="1">
        <v>41443</v>
      </c>
      <c r="B2450" s="1">
        <v>41445</v>
      </c>
      <c r="C2450" t="s">
        <v>74</v>
      </c>
      <c r="D2450" t="s">
        <v>71</v>
      </c>
      <c r="E2450" t="s">
        <v>1995</v>
      </c>
      <c r="F2450">
        <v>483.13600000000002</v>
      </c>
      <c r="G2450">
        <v>4</v>
      </c>
      <c r="H2450">
        <v>54.352800000000002</v>
      </c>
      <c r="I2450">
        <v>2</v>
      </c>
      <c r="J2450">
        <v>2013</v>
      </c>
      <c r="K2450" t="s">
        <v>2206</v>
      </c>
      <c r="L2450" t="str">
        <f>TEXT(maintable_2[[#This Row],[Order Date]],"mmmm")</f>
        <v>June</v>
      </c>
    </row>
    <row r="2451" spans="1:12" x14ac:dyDescent="0.3">
      <c r="A2451" s="1">
        <v>41730</v>
      </c>
      <c r="B2451" s="1">
        <v>41737</v>
      </c>
      <c r="C2451" t="s">
        <v>552</v>
      </c>
      <c r="D2451" t="s">
        <v>81</v>
      </c>
      <c r="E2451" t="s">
        <v>851</v>
      </c>
      <c r="F2451">
        <v>29.7</v>
      </c>
      <c r="G2451">
        <v>3</v>
      </c>
      <c r="H2451">
        <v>8.0190000000000001</v>
      </c>
      <c r="I2451">
        <v>7</v>
      </c>
      <c r="J2451">
        <v>2014</v>
      </c>
      <c r="K2451" t="s">
        <v>2208</v>
      </c>
      <c r="L2451" t="str">
        <f>TEXT(maintable_2[[#This Row],[Order Date]],"mmmm")</f>
        <v>April</v>
      </c>
    </row>
    <row r="2452" spans="1:12" x14ac:dyDescent="0.3">
      <c r="A2452" s="1">
        <v>41324</v>
      </c>
      <c r="B2452" s="1">
        <v>41327</v>
      </c>
      <c r="C2452" t="s">
        <v>1101</v>
      </c>
      <c r="D2452" t="s">
        <v>44</v>
      </c>
      <c r="E2452" t="s">
        <v>76</v>
      </c>
      <c r="F2452">
        <v>70.88</v>
      </c>
      <c r="G2452">
        <v>2</v>
      </c>
      <c r="H2452">
        <v>33.313600000000001</v>
      </c>
      <c r="I2452">
        <v>3</v>
      </c>
      <c r="J2452">
        <v>2013</v>
      </c>
      <c r="K2452" t="s">
        <v>2210</v>
      </c>
      <c r="L2452" t="str">
        <f>TEXT(maintable_2[[#This Row],[Order Date]],"mmmm")</f>
        <v>February</v>
      </c>
    </row>
    <row r="2453" spans="1:12" x14ac:dyDescent="0.3">
      <c r="A2453" s="1">
        <v>41976</v>
      </c>
      <c r="B2453" s="1">
        <v>41980</v>
      </c>
      <c r="C2453" t="s">
        <v>1486</v>
      </c>
      <c r="D2453" t="s">
        <v>27</v>
      </c>
      <c r="E2453" t="s">
        <v>534</v>
      </c>
      <c r="F2453">
        <v>114.288</v>
      </c>
      <c r="G2453">
        <v>1</v>
      </c>
      <c r="H2453">
        <v>12.8574</v>
      </c>
      <c r="I2453">
        <v>4</v>
      </c>
      <c r="J2453">
        <v>2014</v>
      </c>
      <c r="K2453" t="s">
        <v>2207</v>
      </c>
      <c r="L2453" t="str">
        <f>TEXT(maintable_2[[#This Row],[Order Date]],"mmmm")</f>
        <v>December</v>
      </c>
    </row>
    <row r="2454" spans="1:12" x14ac:dyDescent="0.3">
      <c r="A2454" s="1">
        <v>41976</v>
      </c>
      <c r="B2454" s="1">
        <v>41980</v>
      </c>
      <c r="C2454" t="s">
        <v>1486</v>
      </c>
      <c r="D2454" t="s">
        <v>17</v>
      </c>
      <c r="E2454" t="s">
        <v>455</v>
      </c>
      <c r="F2454">
        <v>36.624000000000002</v>
      </c>
      <c r="G2454">
        <v>8</v>
      </c>
      <c r="H2454">
        <v>-24.416</v>
      </c>
      <c r="I2454">
        <v>4</v>
      </c>
      <c r="J2454">
        <v>2014</v>
      </c>
      <c r="K2454" t="s">
        <v>2207</v>
      </c>
      <c r="L2454" t="str">
        <f>TEXT(maintable_2[[#This Row],[Order Date]],"mmmm")</f>
        <v>December</v>
      </c>
    </row>
    <row r="2455" spans="1:12" x14ac:dyDescent="0.3">
      <c r="A2455" s="1">
        <v>41976</v>
      </c>
      <c r="B2455" s="1">
        <v>41980</v>
      </c>
      <c r="C2455" t="s">
        <v>1486</v>
      </c>
      <c r="D2455" t="s">
        <v>196</v>
      </c>
      <c r="E2455" t="s">
        <v>1996</v>
      </c>
      <c r="F2455">
        <v>242.352</v>
      </c>
      <c r="G2455">
        <v>8</v>
      </c>
      <c r="H2455">
        <v>-363.52800000000002</v>
      </c>
      <c r="I2455">
        <v>4</v>
      </c>
      <c r="J2455">
        <v>2014</v>
      </c>
      <c r="K2455" t="s">
        <v>2207</v>
      </c>
      <c r="L2455" t="str">
        <f>TEXT(maintable_2[[#This Row],[Order Date]],"mmmm")</f>
        <v>December</v>
      </c>
    </row>
    <row r="2456" spans="1:12" x14ac:dyDescent="0.3">
      <c r="A2456" s="1">
        <v>41976</v>
      </c>
      <c r="B2456" s="1">
        <v>41980</v>
      </c>
      <c r="C2456" t="s">
        <v>1486</v>
      </c>
      <c r="D2456" t="s">
        <v>15</v>
      </c>
      <c r="E2456" t="s">
        <v>1451</v>
      </c>
      <c r="F2456">
        <v>49.616</v>
      </c>
      <c r="G2456">
        <v>2</v>
      </c>
      <c r="H2456">
        <v>4.9615999999999998</v>
      </c>
      <c r="I2456">
        <v>4</v>
      </c>
      <c r="J2456">
        <v>2014</v>
      </c>
      <c r="K2456" t="s">
        <v>2207</v>
      </c>
      <c r="L2456" t="str">
        <f>TEXT(maintable_2[[#This Row],[Order Date]],"mmmm")</f>
        <v>December</v>
      </c>
    </row>
    <row r="2457" spans="1:12" x14ac:dyDescent="0.3">
      <c r="A2457" s="1">
        <v>41976</v>
      </c>
      <c r="B2457" s="1">
        <v>41980</v>
      </c>
      <c r="C2457" t="s">
        <v>1486</v>
      </c>
      <c r="D2457" t="s">
        <v>11</v>
      </c>
      <c r="E2457" t="s">
        <v>1853</v>
      </c>
      <c r="F2457">
        <v>508.70400000000001</v>
      </c>
      <c r="G2457">
        <v>6</v>
      </c>
      <c r="H2457">
        <v>0</v>
      </c>
      <c r="I2457">
        <v>4</v>
      </c>
      <c r="J2457">
        <v>2014</v>
      </c>
      <c r="K2457" t="s">
        <v>2207</v>
      </c>
      <c r="L2457" t="str">
        <f>TEXT(maintable_2[[#This Row],[Order Date]],"mmmm")</f>
        <v>December</v>
      </c>
    </row>
    <row r="2458" spans="1:12" x14ac:dyDescent="0.3">
      <c r="A2458" s="1">
        <v>41976</v>
      </c>
      <c r="B2458" s="1">
        <v>41980</v>
      </c>
      <c r="C2458" t="s">
        <v>1486</v>
      </c>
      <c r="D2458" t="s">
        <v>15</v>
      </c>
      <c r="E2458" t="s">
        <v>1251</v>
      </c>
      <c r="F2458">
        <v>57.36</v>
      </c>
      <c r="G2458">
        <v>6</v>
      </c>
      <c r="H2458">
        <v>-14.34</v>
      </c>
      <c r="I2458">
        <v>4</v>
      </c>
      <c r="J2458">
        <v>2014</v>
      </c>
      <c r="K2458" t="s">
        <v>2207</v>
      </c>
      <c r="L2458" t="str">
        <f>TEXT(maintable_2[[#This Row],[Order Date]],"mmmm")</f>
        <v>December</v>
      </c>
    </row>
    <row r="2459" spans="1:12" x14ac:dyDescent="0.3">
      <c r="A2459" s="1">
        <v>41976</v>
      </c>
      <c r="B2459" s="1">
        <v>41980</v>
      </c>
      <c r="C2459" t="s">
        <v>1486</v>
      </c>
      <c r="D2459" t="s">
        <v>71</v>
      </c>
      <c r="E2459" t="s">
        <v>358</v>
      </c>
      <c r="F2459">
        <v>906.68</v>
      </c>
      <c r="G2459">
        <v>5</v>
      </c>
      <c r="H2459">
        <v>68.001000000000005</v>
      </c>
      <c r="I2459">
        <v>4</v>
      </c>
      <c r="J2459">
        <v>2014</v>
      </c>
      <c r="K2459" t="s">
        <v>2207</v>
      </c>
      <c r="L2459" t="str">
        <f>TEXT(maintable_2[[#This Row],[Order Date]],"mmmm")</f>
        <v>December</v>
      </c>
    </row>
    <row r="2460" spans="1:12" x14ac:dyDescent="0.3">
      <c r="A2460" s="1">
        <v>41918</v>
      </c>
      <c r="B2460" s="1">
        <v>41920</v>
      </c>
      <c r="C2460" t="s">
        <v>968</v>
      </c>
      <c r="D2460" t="s">
        <v>37</v>
      </c>
      <c r="E2460" t="s">
        <v>1919</v>
      </c>
      <c r="F2460">
        <v>63.823999999999998</v>
      </c>
      <c r="G2460">
        <v>2</v>
      </c>
      <c r="H2460">
        <v>13.5626</v>
      </c>
      <c r="I2460">
        <v>2</v>
      </c>
      <c r="J2460">
        <v>2014</v>
      </c>
      <c r="K2460" t="s">
        <v>2209</v>
      </c>
      <c r="L2460" t="str">
        <f>TEXT(maintable_2[[#This Row],[Order Date]],"mmmm")</f>
        <v>October</v>
      </c>
    </row>
    <row r="2461" spans="1:12" x14ac:dyDescent="0.3">
      <c r="A2461" s="1">
        <v>41304</v>
      </c>
      <c r="B2461" s="1">
        <v>41306</v>
      </c>
      <c r="C2461" t="s">
        <v>1238</v>
      </c>
      <c r="D2461" t="s">
        <v>71</v>
      </c>
      <c r="E2461" t="s">
        <v>979</v>
      </c>
      <c r="F2461">
        <v>435.16800000000001</v>
      </c>
      <c r="G2461">
        <v>4</v>
      </c>
      <c r="H2461">
        <v>-59.835599999999999</v>
      </c>
      <c r="I2461">
        <v>2</v>
      </c>
      <c r="J2461">
        <v>2013</v>
      </c>
      <c r="K2461" t="s">
        <v>2210</v>
      </c>
      <c r="L2461" t="str">
        <f>TEXT(maintable_2[[#This Row],[Order Date]],"mmmm")</f>
        <v>January</v>
      </c>
    </row>
    <row r="2462" spans="1:12" x14ac:dyDescent="0.3">
      <c r="A2462" s="1">
        <v>41304</v>
      </c>
      <c r="B2462" s="1">
        <v>41306</v>
      </c>
      <c r="C2462" t="s">
        <v>1238</v>
      </c>
      <c r="D2462" t="s">
        <v>196</v>
      </c>
      <c r="E2462" t="s">
        <v>1673</v>
      </c>
      <c r="F2462">
        <v>48.58</v>
      </c>
      <c r="G2462">
        <v>1</v>
      </c>
      <c r="H2462">
        <v>7.7728000000000002</v>
      </c>
      <c r="I2462">
        <v>2</v>
      </c>
      <c r="J2462">
        <v>2013</v>
      </c>
      <c r="K2462" t="s">
        <v>2210</v>
      </c>
      <c r="L2462" t="str">
        <f>TEXT(maintable_2[[#This Row],[Order Date]],"mmmm")</f>
        <v>January</v>
      </c>
    </row>
    <row r="2463" spans="1:12" x14ac:dyDescent="0.3">
      <c r="A2463" s="1">
        <v>40882</v>
      </c>
      <c r="B2463" s="1">
        <v>40887</v>
      </c>
      <c r="C2463" t="s">
        <v>1958</v>
      </c>
      <c r="D2463" t="s">
        <v>13</v>
      </c>
      <c r="E2463" t="s">
        <v>738</v>
      </c>
      <c r="F2463">
        <v>26.46</v>
      </c>
      <c r="G2463">
        <v>9</v>
      </c>
      <c r="H2463">
        <v>11.907</v>
      </c>
      <c r="I2463">
        <v>5</v>
      </c>
      <c r="J2463">
        <v>2011</v>
      </c>
      <c r="K2463" t="s">
        <v>2207</v>
      </c>
      <c r="L2463" t="str">
        <f>TEXT(maintable_2[[#This Row],[Order Date]],"mmmm")</f>
        <v>December</v>
      </c>
    </row>
    <row r="2464" spans="1:12" x14ac:dyDescent="0.3">
      <c r="A2464" s="1">
        <v>40882</v>
      </c>
      <c r="B2464" s="1">
        <v>40887</v>
      </c>
      <c r="C2464" t="s">
        <v>1958</v>
      </c>
      <c r="D2464" t="s">
        <v>44</v>
      </c>
      <c r="E2464" t="s">
        <v>1584</v>
      </c>
      <c r="F2464">
        <v>49.12</v>
      </c>
      <c r="G2464">
        <v>4</v>
      </c>
      <c r="H2464">
        <v>23.086400000000001</v>
      </c>
      <c r="I2464">
        <v>5</v>
      </c>
      <c r="J2464">
        <v>2011</v>
      </c>
      <c r="K2464" t="s">
        <v>2207</v>
      </c>
      <c r="L2464" t="str">
        <f>TEXT(maintable_2[[#This Row],[Order Date]],"mmmm")</f>
        <v>December</v>
      </c>
    </row>
    <row r="2465" spans="1:12" x14ac:dyDescent="0.3">
      <c r="A2465" s="1">
        <v>40882</v>
      </c>
      <c r="B2465" s="1">
        <v>40887</v>
      </c>
      <c r="C2465" t="s">
        <v>1958</v>
      </c>
      <c r="D2465" t="s">
        <v>78</v>
      </c>
      <c r="E2465" t="s">
        <v>911</v>
      </c>
      <c r="F2465">
        <v>15</v>
      </c>
      <c r="G2465">
        <v>3</v>
      </c>
      <c r="H2465">
        <v>7.2</v>
      </c>
      <c r="I2465">
        <v>5</v>
      </c>
      <c r="J2465">
        <v>2011</v>
      </c>
      <c r="K2465" t="s">
        <v>2207</v>
      </c>
      <c r="L2465" t="str">
        <f>TEXT(maintable_2[[#This Row],[Order Date]],"mmmm")</f>
        <v>December</v>
      </c>
    </row>
    <row r="2466" spans="1:12" x14ac:dyDescent="0.3">
      <c r="A2466" s="1">
        <v>41251</v>
      </c>
      <c r="B2466" s="1">
        <v>41255</v>
      </c>
      <c r="C2466" t="s">
        <v>678</v>
      </c>
      <c r="D2466" t="s">
        <v>27</v>
      </c>
      <c r="E2466" t="s">
        <v>1616</v>
      </c>
      <c r="F2466">
        <v>221.96</v>
      </c>
      <c r="G2466">
        <v>2</v>
      </c>
      <c r="H2466">
        <v>4.4391999999999996</v>
      </c>
      <c r="I2466">
        <v>4</v>
      </c>
      <c r="J2466">
        <v>2012</v>
      </c>
      <c r="K2466" t="s">
        <v>2207</v>
      </c>
      <c r="L2466" t="str">
        <f>TEXT(maintable_2[[#This Row],[Order Date]],"mmmm")</f>
        <v>December</v>
      </c>
    </row>
    <row r="2467" spans="1:12" x14ac:dyDescent="0.3">
      <c r="A2467" s="1">
        <v>41251</v>
      </c>
      <c r="B2467" s="1">
        <v>41255</v>
      </c>
      <c r="C2467" t="s">
        <v>678</v>
      </c>
      <c r="D2467" t="s">
        <v>37</v>
      </c>
      <c r="E2467" t="s">
        <v>620</v>
      </c>
      <c r="F2467">
        <v>236</v>
      </c>
      <c r="G2467">
        <v>4</v>
      </c>
      <c r="H2467">
        <v>40.119999999999997</v>
      </c>
      <c r="I2467">
        <v>4</v>
      </c>
      <c r="J2467">
        <v>2012</v>
      </c>
      <c r="K2467" t="s">
        <v>2207</v>
      </c>
      <c r="L2467" t="str">
        <f>TEXT(maintable_2[[#This Row],[Order Date]],"mmmm")</f>
        <v>December</v>
      </c>
    </row>
    <row r="2468" spans="1:12" x14ac:dyDescent="0.3">
      <c r="A2468" s="1">
        <v>40849</v>
      </c>
      <c r="B2468" s="1">
        <v>40854</v>
      </c>
      <c r="C2468" t="s">
        <v>1997</v>
      </c>
      <c r="D2468" t="s">
        <v>37</v>
      </c>
      <c r="E2468" t="s">
        <v>1998</v>
      </c>
      <c r="F2468">
        <v>41.94</v>
      </c>
      <c r="G2468">
        <v>2</v>
      </c>
      <c r="H2468">
        <v>15.0984</v>
      </c>
      <c r="I2468">
        <v>5</v>
      </c>
      <c r="J2468">
        <v>2011</v>
      </c>
      <c r="K2468" t="s">
        <v>2209</v>
      </c>
      <c r="L2468" t="str">
        <f>TEXT(maintable_2[[#This Row],[Order Date]],"mmmm")</f>
        <v>November</v>
      </c>
    </row>
    <row r="2469" spans="1:12" x14ac:dyDescent="0.3">
      <c r="A2469" s="1">
        <v>40849</v>
      </c>
      <c r="B2469" s="1">
        <v>40854</v>
      </c>
      <c r="C2469" t="s">
        <v>1997</v>
      </c>
      <c r="D2469" t="s">
        <v>15</v>
      </c>
      <c r="E2469" t="s">
        <v>596</v>
      </c>
      <c r="F2469">
        <v>52.792000000000002</v>
      </c>
      <c r="G2469">
        <v>1</v>
      </c>
      <c r="H2469">
        <v>4.6193</v>
      </c>
      <c r="I2469">
        <v>5</v>
      </c>
      <c r="J2469">
        <v>2011</v>
      </c>
      <c r="K2469" t="s">
        <v>2209</v>
      </c>
      <c r="L2469" t="str">
        <f>TEXT(maintable_2[[#This Row],[Order Date]],"mmmm")</f>
        <v>November</v>
      </c>
    </row>
    <row r="2470" spans="1:12" x14ac:dyDescent="0.3">
      <c r="A2470" s="1">
        <v>41960</v>
      </c>
      <c r="B2470" s="1">
        <v>41966</v>
      </c>
      <c r="C2470" t="s">
        <v>1588</v>
      </c>
      <c r="D2470" t="s">
        <v>11</v>
      </c>
      <c r="E2470" t="s">
        <v>1353</v>
      </c>
      <c r="F2470">
        <v>17.309999999999999</v>
      </c>
      <c r="G2470">
        <v>3</v>
      </c>
      <c r="H2470">
        <v>5.1929999999999996</v>
      </c>
      <c r="I2470">
        <v>6</v>
      </c>
      <c r="J2470">
        <v>2014</v>
      </c>
      <c r="K2470" t="s">
        <v>2209</v>
      </c>
      <c r="L2470" t="str">
        <f>TEXT(maintable_2[[#This Row],[Order Date]],"mmmm")</f>
        <v>November</v>
      </c>
    </row>
    <row r="2471" spans="1:12" x14ac:dyDescent="0.3">
      <c r="A2471" s="1">
        <v>41075</v>
      </c>
      <c r="B2471" s="1">
        <v>41079</v>
      </c>
      <c r="C2471" t="s">
        <v>159</v>
      </c>
      <c r="D2471" t="s">
        <v>15</v>
      </c>
      <c r="E2471" t="s">
        <v>313</v>
      </c>
      <c r="F2471">
        <v>225.57599999999999</v>
      </c>
      <c r="G2471">
        <v>3</v>
      </c>
      <c r="H2471">
        <v>22.557600000000001</v>
      </c>
      <c r="I2471">
        <v>4</v>
      </c>
      <c r="J2471">
        <v>2012</v>
      </c>
      <c r="K2471" t="s">
        <v>2206</v>
      </c>
      <c r="L2471" t="str">
        <f>TEXT(maintable_2[[#This Row],[Order Date]],"mmmm")</f>
        <v>June</v>
      </c>
    </row>
    <row r="2472" spans="1:12" x14ac:dyDescent="0.3">
      <c r="A2472" s="1">
        <v>40803</v>
      </c>
      <c r="B2472" s="1">
        <v>40808</v>
      </c>
      <c r="C2472" t="s">
        <v>419</v>
      </c>
      <c r="D2472" t="s">
        <v>13</v>
      </c>
      <c r="E2472" t="s">
        <v>1520</v>
      </c>
      <c r="F2472">
        <v>5.2480000000000002</v>
      </c>
      <c r="G2472">
        <v>2</v>
      </c>
      <c r="H2472">
        <v>0.4592</v>
      </c>
      <c r="I2472">
        <v>5</v>
      </c>
      <c r="J2472">
        <v>2011</v>
      </c>
      <c r="K2472" t="s">
        <v>2209</v>
      </c>
      <c r="L2472" t="str">
        <f>TEXT(maintable_2[[#This Row],[Order Date]],"mmmm")</f>
        <v>September</v>
      </c>
    </row>
    <row r="2473" spans="1:12" x14ac:dyDescent="0.3">
      <c r="A2473" s="1">
        <v>40803</v>
      </c>
      <c r="B2473" s="1">
        <v>40808</v>
      </c>
      <c r="C2473" t="s">
        <v>419</v>
      </c>
      <c r="D2473" t="s">
        <v>13</v>
      </c>
      <c r="E2473" t="s">
        <v>1999</v>
      </c>
      <c r="F2473">
        <v>38.256</v>
      </c>
      <c r="G2473">
        <v>3</v>
      </c>
      <c r="H2473">
        <v>4.782</v>
      </c>
      <c r="I2473">
        <v>5</v>
      </c>
      <c r="J2473">
        <v>2011</v>
      </c>
      <c r="K2473" t="s">
        <v>2209</v>
      </c>
      <c r="L2473" t="str">
        <f>TEXT(maintable_2[[#This Row],[Order Date]],"mmmm")</f>
        <v>September</v>
      </c>
    </row>
    <row r="2474" spans="1:12" x14ac:dyDescent="0.3">
      <c r="A2474" s="1">
        <v>40803</v>
      </c>
      <c r="B2474" s="1">
        <v>40808</v>
      </c>
      <c r="C2474" t="s">
        <v>419</v>
      </c>
      <c r="D2474" t="s">
        <v>44</v>
      </c>
      <c r="E2474" t="s">
        <v>1336</v>
      </c>
      <c r="F2474">
        <v>40.24</v>
      </c>
      <c r="G2474">
        <v>5</v>
      </c>
      <c r="H2474">
        <v>13.077999999999999</v>
      </c>
      <c r="I2474">
        <v>5</v>
      </c>
      <c r="J2474">
        <v>2011</v>
      </c>
      <c r="K2474" t="s">
        <v>2209</v>
      </c>
      <c r="L2474" t="str">
        <f>TEXT(maintable_2[[#This Row],[Order Date]],"mmmm")</f>
        <v>September</v>
      </c>
    </row>
    <row r="2475" spans="1:12" x14ac:dyDescent="0.3">
      <c r="A2475" s="1">
        <v>40803</v>
      </c>
      <c r="B2475" s="1">
        <v>40808</v>
      </c>
      <c r="C2475" t="s">
        <v>419</v>
      </c>
      <c r="D2475" t="s">
        <v>494</v>
      </c>
      <c r="E2475" t="s">
        <v>2000</v>
      </c>
      <c r="F2475">
        <v>29.925000000000001</v>
      </c>
      <c r="G2475">
        <v>5</v>
      </c>
      <c r="H2475">
        <v>-21.945</v>
      </c>
      <c r="I2475">
        <v>5</v>
      </c>
      <c r="J2475">
        <v>2011</v>
      </c>
      <c r="K2475" t="s">
        <v>2209</v>
      </c>
      <c r="L2475" t="str">
        <f>TEXT(maintable_2[[#This Row],[Order Date]],"mmmm")</f>
        <v>September</v>
      </c>
    </row>
    <row r="2476" spans="1:12" x14ac:dyDescent="0.3">
      <c r="A2476" s="1">
        <v>40803</v>
      </c>
      <c r="B2476" s="1">
        <v>40808</v>
      </c>
      <c r="C2476" t="s">
        <v>419</v>
      </c>
      <c r="D2476" t="s">
        <v>44</v>
      </c>
      <c r="E2476" t="s">
        <v>644</v>
      </c>
      <c r="F2476">
        <v>148.70400000000001</v>
      </c>
      <c r="G2476">
        <v>6</v>
      </c>
      <c r="H2476">
        <v>46.47</v>
      </c>
      <c r="I2476">
        <v>5</v>
      </c>
      <c r="J2476">
        <v>2011</v>
      </c>
      <c r="K2476" t="s">
        <v>2209</v>
      </c>
      <c r="L2476" t="str">
        <f>TEXT(maintable_2[[#This Row],[Order Date]],"mmmm")</f>
        <v>September</v>
      </c>
    </row>
    <row r="2477" spans="1:12" x14ac:dyDescent="0.3">
      <c r="A2477" s="1">
        <v>40803</v>
      </c>
      <c r="B2477" s="1">
        <v>40808</v>
      </c>
      <c r="C2477" t="s">
        <v>419</v>
      </c>
      <c r="D2477" t="s">
        <v>37</v>
      </c>
      <c r="E2477" t="s">
        <v>42</v>
      </c>
      <c r="F2477">
        <v>55.92</v>
      </c>
      <c r="G2477">
        <v>10</v>
      </c>
      <c r="H2477">
        <v>16.776</v>
      </c>
      <c r="I2477">
        <v>5</v>
      </c>
      <c r="J2477">
        <v>2011</v>
      </c>
      <c r="K2477" t="s">
        <v>2209</v>
      </c>
      <c r="L2477" t="str">
        <f>TEXT(maintable_2[[#This Row],[Order Date]],"mmmm")</f>
        <v>September</v>
      </c>
    </row>
    <row r="2478" spans="1:12" x14ac:dyDescent="0.3">
      <c r="A2478" s="1">
        <v>41763</v>
      </c>
      <c r="B2478" s="1">
        <v>41767</v>
      </c>
      <c r="C2478" t="s">
        <v>615</v>
      </c>
      <c r="D2478" t="s">
        <v>44</v>
      </c>
      <c r="E2478" t="s">
        <v>687</v>
      </c>
      <c r="F2478">
        <v>25.92</v>
      </c>
      <c r="G2478">
        <v>4</v>
      </c>
      <c r="H2478">
        <v>12.441599999999999</v>
      </c>
      <c r="I2478">
        <v>4</v>
      </c>
      <c r="J2478">
        <v>2014</v>
      </c>
      <c r="K2478" t="s">
        <v>2208</v>
      </c>
      <c r="L2478" t="str">
        <f>TEXT(maintable_2[[#This Row],[Order Date]],"mmmm")</f>
        <v>May</v>
      </c>
    </row>
    <row r="2479" spans="1:12" x14ac:dyDescent="0.3">
      <c r="A2479" s="1">
        <v>41763</v>
      </c>
      <c r="B2479" s="1">
        <v>41767</v>
      </c>
      <c r="C2479" t="s">
        <v>615</v>
      </c>
      <c r="D2479" t="s">
        <v>13</v>
      </c>
      <c r="E2479" t="s">
        <v>2001</v>
      </c>
      <c r="F2479">
        <v>22.96</v>
      </c>
      <c r="G2479">
        <v>7</v>
      </c>
      <c r="H2479">
        <v>6.6584000000000003</v>
      </c>
      <c r="I2479">
        <v>4</v>
      </c>
      <c r="J2479">
        <v>2014</v>
      </c>
      <c r="K2479" t="s">
        <v>2208</v>
      </c>
      <c r="L2479" t="str">
        <f>TEXT(maintable_2[[#This Row],[Order Date]],"mmmm")</f>
        <v>May</v>
      </c>
    </row>
    <row r="2480" spans="1:12" x14ac:dyDescent="0.3">
      <c r="A2480" s="1">
        <v>40597</v>
      </c>
      <c r="B2480" s="1">
        <v>40599</v>
      </c>
      <c r="C2480" t="s">
        <v>750</v>
      </c>
      <c r="D2480" t="s">
        <v>44</v>
      </c>
      <c r="E2480" t="s">
        <v>508</v>
      </c>
      <c r="F2480">
        <v>19.440000000000001</v>
      </c>
      <c r="G2480">
        <v>3</v>
      </c>
      <c r="H2480">
        <v>9.3312000000000008</v>
      </c>
      <c r="I2480">
        <v>2</v>
      </c>
      <c r="J2480">
        <v>2011</v>
      </c>
      <c r="K2480" t="s">
        <v>2210</v>
      </c>
      <c r="L2480" t="str">
        <f>TEXT(maintable_2[[#This Row],[Order Date]],"mmmm")</f>
        <v>February</v>
      </c>
    </row>
    <row r="2481" spans="1:12" x14ac:dyDescent="0.3">
      <c r="A2481" s="1">
        <v>41940</v>
      </c>
      <c r="B2481" s="1">
        <v>41942</v>
      </c>
      <c r="C2481" t="s">
        <v>1011</v>
      </c>
      <c r="D2481" t="s">
        <v>21</v>
      </c>
      <c r="E2481" t="s">
        <v>22</v>
      </c>
      <c r="F2481">
        <v>189.57599999999999</v>
      </c>
      <c r="G2481">
        <v>1</v>
      </c>
      <c r="H2481">
        <v>9.4787999999999997</v>
      </c>
      <c r="I2481">
        <v>2</v>
      </c>
      <c r="J2481">
        <v>2014</v>
      </c>
      <c r="K2481" t="s">
        <v>2209</v>
      </c>
      <c r="L2481" t="str">
        <f>TEXT(maintable_2[[#This Row],[Order Date]],"mmmm")</f>
        <v>October</v>
      </c>
    </row>
    <row r="2482" spans="1:12" x14ac:dyDescent="0.3">
      <c r="A2482" s="1">
        <v>41940</v>
      </c>
      <c r="B2482" s="1">
        <v>41942</v>
      </c>
      <c r="C2482" t="s">
        <v>1011</v>
      </c>
      <c r="D2482" t="s">
        <v>15</v>
      </c>
      <c r="E2482" t="s">
        <v>1736</v>
      </c>
      <c r="F2482">
        <v>71.959999999999994</v>
      </c>
      <c r="G2482">
        <v>5</v>
      </c>
      <c r="H2482">
        <v>7.1959999999999997</v>
      </c>
      <c r="I2482">
        <v>2</v>
      </c>
      <c r="J2482">
        <v>2014</v>
      </c>
      <c r="K2482" t="s">
        <v>2209</v>
      </c>
      <c r="L2482" t="str">
        <f>TEXT(maintable_2[[#This Row],[Order Date]],"mmmm")</f>
        <v>October</v>
      </c>
    </row>
    <row r="2483" spans="1:12" x14ac:dyDescent="0.3">
      <c r="A2483" s="1">
        <v>40872</v>
      </c>
      <c r="B2483" s="1">
        <v>40876</v>
      </c>
      <c r="C2483" t="s">
        <v>1506</v>
      </c>
      <c r="D2483" t="s">
        <v>15</v>
      </c>
      <c r="E2483" t="s">
        <v>371</v>
      </c>
      <c r="F2483">
        <v>539.91999999999996</v>
      </c>
      <c r="G2483">
        <v>5</v>
      </c>
      <c r="H2483">
        <v>47.243000000000002</v>
      </c>
      <c r="I2483">
        <v>4</v>
      </c>
      <c r="J2483">
        <v>2011</v>
      </c>
      <c r="K2483" t="s">
        <v>2209</v>
      </c>
      <c r="L2483" t="str">
        <f>TEXT(maintable_2[[#This Row],[Order Date]],"mmmm")</f>
        <v>November</v>
      </c>
    </row>
    <row r="2484" spans="1:12" x14ac:dyDescent="0.3">
      <c r="A2484" s="1">
        <v>40872</v>
      </c>
      <c r="B2484" s="1">
        <v>40876</v>
      </c>
      <c r="C2484" t="s">
        <v>1506</v>
      </c>
      <c r="D2484" t="s">
        <v>71</v>
      </c>
      <c r="E2484" t="s">
        <v>358</v>
      </c>
      <c r="F2484">
        <v>725.34400000000005</v>
      </c>
      <c r="G2484">
        <v>4</v>
      </c>
      <c r="H2484">
        <v>54.400799999999997</v>
      </c>
      <c r="I2484">
        <v>4</v>
      </c>
      <c r="J2484">
        <v>2011</v>
      </c>
      <c r="K2484" t="s">
        <v>2209</v>
      </c>
      <c r="L2484" t="str">
        <f>TEXT(maintable_2[[#This Row],[Order Date]],"mmmm")</f>
        <v>November</v>
      </c>
    </row>
    <row r="2485" spans="1:12" x14ac:dyDescent="0.3">
      <c r="A2485" s="1">
        <v>40872</v>
      </c>
      <c r="B2485" s="1">
        <v>40876</v>
      </c>
      <c r="C2485" t="s">
        <v>1506</v>
      </c>
      <c r="D2485" t="s">
        <v>13</v>
      </c>
      <c r="E2485" t="s">
        <v>105</v>
      </c>
      <c r="F2485">
        <v>7.44</v>
      </c>
      <c r="G2485">
        <v>3</v>
      </c>
      <c r="H2485">
        <v>2.6040000000000001</v>
      </c>
      <c r="I2485">
        <v>4</v>
      </c>
      <c r="J2485">
        <v>2011</v>
      </c>
      <c r="K2485" t="s">
        <v>2209</v>
      </c>
      <c r="L2485" t="str">
        <f>TEXT(maintable_2[[#This Row],[Order Date]],"mmmm")</f>
        <v>November</v>
      </c>
    </row>
    <row r="2486" spans="1:12" x14ac:dyDescent="0.3">
      <c r="A2486" s="1">
        <v>41234</v>
      </c>
      <c r="B2486" s="1">
        <v>41236</v>
      </c>
      <c r="C2486" t="s">
        <v>385</v>
      </c>
      <c r="D2486" t="s">
        <v>19</v>
      </c>
      <c r="E2486" t="s">
        <v>1213</v>
      </c>
      <c r="F2486">
        <v>325.63200000000001</v>
      </c>
      <c r="G2486">
        <v>6</v>
      </c>
      <c r="H2486">
        <v>28.492799999999999</v>
      </c>
      <c r="I2486">
        <v>2</v>
      </c>
      <c r="J2486">
        <v>2012</v>
      </c>
      <c r="K2486" t="s">
        <v>2209</v>
      </c>
      <c r="L2486" t="str">
        <f>TEXT(maintable_2[[#This Row],[Order Date]],"mmmm")</f>
        <v>November</v>
      </c>
    </row>
    <row r="2487" spans="1:12" x14ac:dyDescent="0.3">
      <c r="A2487" s="1">
        <v>41234</v>
      </c>
      <c r="B2487" s="1">
        <v>41236</v>
      </c>
      <c r="C2487" t="s">
        <v>385</v>
      </c>
      <c r="D2487" t="s">
        <v>37</v>
      </c>
      <c r="E2487" t="s">
        <v>2002</v>
      </c>
      <c r="F2487">
        <v>23.344000000000001</v>
      </c>
      <c r="G2487">
        <v>2</v>
      </c>
      <c r="H2487">
        <v>-1.4590000000000001</v>
      </c>
      <c r="I2487">
        <v>2</v>
      </c>
      <c r="J2487">
        <v>2012</v>
      </c>
      <c r="K2487" t="s">
        <v>2209</v>
      </c>
      <c r="L2487" t="str">
        <f>TEXT(maintable_2[[#This Row],[Order Date]],"mmmm")</f>
        <v>November</v>
      </c>
    </row>
    <row r="2488" spans="1:12" x14ac:dyDescent="0.3">
      <c r="A2488" s="1">
        <v>41234</v>
      </c>
      <c r="B2488" s="1">
        <v>41236</v>
      </c>
      <c r="C2488" t="s">
        <v>385</v>
      </c>
      <c r="D2488" t="s">
        <v>8</v>
      </c>
      <c r="E2488" t="s">
        <v>2003</v>
      </c>
      <c r="F2488">
        <v>16.52</v>
      </c>
      <c r="G2488">
        <v>5</v>
      </c>
      <c r="H2488">
        <v>5.3689999999999998</v>
      </c>
      <c r="I2488">
        <v>2</v>
      </c>
      <c r="J2488">
        <v>2012</v>
      </c>
      <c r="K2488" t="s">
        <v>2209</v>
      </c>
      <c r="L2488" t="str">
        <f>TEXT(maintable_2[[#This Row],[Order Date]],"mmmm")</f>
        <v>November</v>
      </c>
    </row>
    <row r="2489" spans="1:12" x14ac:dyDescent="0.3">
      <c r="A2489" s="1">
        <v>41554</v>
      </c>
      <c r="B2489" s="1">
        <v>41555</v>
      </c>
      <c r="C2489" t="s">
        <v>1986</v>
      </c>
      <c r="D2489" t="s">
        <v>494</v>
      </c>
      <c r="E2489" t="s">
        <v>2004</v>
      </c>
      <c r="F2489">
        <v>703.71</v>
      </c>
      <c r="G2489">
        <v>6</v>
      </c>
      <c r="H2489">
        <v>-938.28</v>
      </c>
      <c r="I2489">
        <v>1</v>
      </c>
      <c r="J2489">
        <v>2013</v>
      </c>
      <c r="K2489" t="s">
        <v>2209</v>
      </c>
      <c r="L2489" t="str">
        <f>TEXT(maintable_2[[#This Row],[Order Date]],"mmmm")</f>
        <v>October</v>
      </c>
    </row>
    <row r="2490" spans="1:12" x14ac:dyDescent="0.3">
      <c r="A2490" s="1">
        <v>41554</v>
      </c>
      <c r="B2490" s="1">
        <v>41555</v>
      </c>
      <c r="C2490" t="s">
        <v>1986</v>
      </c>
      <c r="D2490" t="s">
        <v>17</v>
      </c>
      <c r="E2490" t="s">
        <v>1941</v>
      </c>
      <c r="F2490">
        <v>17.904</v>
      </c>
      <c r="G2490">
        <v>4</v>
      </c>
      <c r="H2490">
        <v>-14.92</v>
      </c>
      <c r="I2490">
        <v>1</v>
      </c>
      <c r="J2490">
        <v>2013</v>
      </c>
      <c r="K2490" t="s">
        <v>2209</v>
      </c>
      <c r="L2490" t="str">
        <f>TEXT(maintable_2[[#This Row],[Order Date]],"mmmm")</f>
        <v>October</v>
      </c>
    </row>
    <row r="2491" spans="1:12" x14ac:dyDescent="0.3">
      <c r="A2491" s="1">
        <v>41554</v>
      </c>
      <c r="B2491" s="1">
        <v>41555</v>
      </c>
      <c r="C2491" t="s">
        <v>1986</v>
      </c>
      <c r="D2491" t="s">
        <v>17</v>
      </c>
      <c r="E2491" t="s">
        <v>818</v>
      </c>
      <c r="F2491">
        <v>11.976000000000001</v>
      </c>
      <c r="G2491">
        <v>4</v>
      </c>
      <c r="H2491">
        <v>-9.1815999999999995</v>
      </c>
      <c r="I2491">
        <v>1</v>
      </c>
      <c r="J2491">
        <v>2013</v>
      </c>
      <c r="K2491" t="s">
        <v>2209</v>
      </c>
      <c r="L2491" t="str">
        <f>TEXT(maintable_2[[#This Row],[Order Date]],"mmmm")</f>
        <v>October</v>
      </c>
    </row>
    <row r="2492" spans="1:12" x14ac:dyDescent="0.3">
      <c r="A2492" s="1">
        <v>41554</v>
      </c>
      <c r="B2492" s="1">
        <v>41555</v>
      </c>
      <c r="C2492" t="s">
        <v>1986</v>
      </c>
      <c r="D2492" t="s">
        <v>37</v>
      </c>
      <c r="E2492" t="s">
        <v>2005</v>
      </c>
      <c r="F2492">
        <v>67.959999999999994</v>
      </c>
      <c r="G2492">
        <v>5</v>
      </c>
      <c r="H2492">
        <v>0.84950000000000003</v>
      </c>
      <c r="I2492">
        <v>1</v>
      </c>
      <c r="J2492">
        <v>2013</v>
      </c>
      <c r="K2492" t="s">
        <v>2209</v>
      </c>
      <c r="L2492" t="str">
        <f>TEXT(maintable_2[[#This Row],[Order Date]],"mmmm")</f>
        <v>October</v>
      </c>
    </row>
    <row r="2493" spans="1:12" x14ac:dyDescent="0.3">
      <c r="A2493" s="1">
        <v>41004</v>
      </c>
      <c r="B2493" s="1">
        <v>41010</v>
      </c>
      <c r="C2493" t="s">
        <v>2006</v>
      </c>
      <c r="D2493" t="s">
        <v>71</v>
      </c>
      <c r="E2493" t="s">
        <v>513</v>
      </c>
      <c r="F2493">
        <v>892.22400000000005</v>
      </c>
      <c r="G2493">
        <v>3</v>
      </c>
      <c r="H2493">
        <v>89.222399999999993</v>
      </c>
      <c r="I2493">
        <v>6</v>
      </c>
      <c r="J2493">
        <v>2012</v>
      </c>
      <c r="K2493" t="s">
        <v>2208</v>
      </c>
      <c r="L2493" t="str">
        <f>TEXT(maintable_2[[#This Row],[Order Date]],"mmmm")</f>
        <v>April</v>
      </c>
    </row>
    <row r="2494" spans="1:12" x14ac:dyDescent="0.3">
      <c r="A2494" s="1">
        <v>41349</v>
      </c>
      <c r="B2494" s="1">
        <v>41350</v>
      </c>
      <c r="C2494" t="s">
        <v>1604</v>
      </c>
      <c r="D2494" t="s">
        <v>17</v>
      </c>
      <c r="E2494" t="s">
        <v>2007</v>
      </c>
      <c r="F2494">
        <v>4.5439999999999996</v>
      </c>
      <c r="G2494">
        <v>2</v>
      </c>
      <c r="H2494">
        <v>1.6472</v>
      </c>
      <c r="I2494">
        <v>1</v>
      </c>
      <c r="J2494">
        <v>2013</v>
      </c>
      <c r="K2494" t="s">
        <v>2208</v>
      </c>
      <c r="L2494" t="str">
        <f>TEXT(maintable_2[[#This Row],[Order Date]],"mmmm")</f>
        <v>March</v>
      </c>
    </row>
    <row r="2495" spans="1:12" x14ac:dyDescent="0.3">
      <c r="A2495" s="1">
        <v>41349</v>
      </c>
      <c r="B2495" s="1">
        <v>41350</v>
      </c>
      <c r="C2495" t="s">
        <v>1604</v>
      </c>
      <c r="D2495" t="s">
        <v>71</v>
      </c>
      <c r="E2495" t="s">
        <v>2008</v>
      </c>
      <c r="F2495">
        <v>1352.0319999999999</v>
      </c>
      <c r="G2495">
        <v>4</v>
      </c>
      <c r="H2495">
        <v>84.501999999999995</v>
      </c>
      <c r="I2495">
        <v>1</v>
      </c>
      <c r="J2495">
        <v>2013</v>
      </c>
      <c r="K2495" t="s">
        <v>2208</v>
      </c>
      <c r="L2495" t="str">
        <f>TEXT(maintable_2[[#This Row],[Order Date]],"mmmm")</f>
        <v>March</v>
      </c>
    </row>
    <row r="2496" spans="1:12" x14ac:dyDescent="0.3">
      <c r="A2496" s="1">
        <v>41243</v>
      </c>
      <c r="B2496" s="1">
        <v>41245</v>
      </c>
      <c r="C2496" t="s">
        <v>998</v>
      </c>
      <c r="D2496" t="s">
        <v>11</v>
      </c>
      <c r="E2496" t="s">
        <v>1741</v>
      </c>
      <c r="F2496">
        <v>80.959999999999994</v>
      </c>
      <c r="G2496">
        <v>4</v>
      </c>
      <c r="H2496">
        <v>29.145600000000002</v>
      </c>
      <c r="I2496">
        <v>2</v>
      </c>
      <c r="J2496">
        <v>2012</v>
      </c>
      <c r="K2496" t="s">
        <v>2209</v>
      </c>
      <c r="L2496" t="str">
        <f>TEXT(maintable_2[[#This Row],[Order Date]],"mmmm")</f>
        <v>November</v>
      </c>
    </row>
    <row r="2497" spans="1:12" x14ac:dyDescent="0.3">
      <c r="A2497" s="1">
        <v>41243</v>
      </c>
      <c r="B2497" s="1">
        <v>41245</v>
      </c>
      <c r="C2497" t="s">
        <v>998</v>
      </c>
      <c r="D2497" t="s">
        <v>44</v>
      </c>
      <c r="E2497" t="s">
        <v>1909</v>
      </c>
      <c r="F2497">
        <v>25.92</v>
      </c>
      <c r="G2497">
        <v>4</v>
      </c>
      <c r="H2497">
        <v>12.441599999999999</v>
      </c>
      <c r="I2497">
        <v>2</v>
      </c>
      <c r="J2497">
        <v>2012</v>
      </c>
      <c r="K2497" t="s">
        <v>2209</v>
      </c>
      <c r="L2497" t="str">
        <f>TEXT(maintable_2[[#This Row],[Order Date]],"mmmm")</f>
        <v>November</v>
      </c>
    </row>
    <row r="2498" spans="1:12" x14ac:dyDescent="0.3">
      <c r="A2498" s="1">
        <v>40648</v>
      </c>
      <c r="B2498" s="1">
        <v>40648</v>
      </c>
      <c r="C2498" t="s">
        <v>2009</v>
      </c>
      <c r="D2498" t="s">
        <v>19</v>
      </c>
      <c r="E2498" t="s">
        <v>378</v>
      </c>
      <c r="F2498">
        <v>106.96</v>
      </c>
      <c r="G2498">
        <v>2</v>
      </c>
      <c r="H2498">
        <v>31.0184</v>
      </c>
      <c r="I2498">
        <v>0</v>
      </c>
      <c r="J2498">
        <v>2011</v>
      </c>
      <c r="K2498" t="s">
        <v>2208</v>
      </c>
      <c r="L2498" t="str">
        <f>TEXT(maintable_2[[#This Row],[Order Date]],"mmmm")</f>
        <v>April</v>
      </c>
    </row>
    <row r="2499" spans="1:12" x14ac:dyDescent="0.3">
      <c r="A2499" s="1">
        <v>40648</v>
      </c>
      <c r="B2499" s="1">
        <v>40648</v>
      </c>
      <c r="C2499" t="s">
        <v>2009</v>
      </c>
      <c r="D2499" t="s">
        <v>11</v>
      </c>
      <c r="E2499" t="s">
        <v>147</v>
      </c>
      <c r="F2499">
        <v>187.76</v>
      </c>
      <c r="G2499">
        <v>4</v>
      </c>
      <c r="H2499">
        <v>76.9816</v>
      </c>
      <c r="I2499">
        <v>0</v>
      </c>
      <c r="J2499">
        <v>2011</v>
      </c>
      <c r="K2499" t="s">
        <v>2208</v>
      </c>
      <c r="L2499" t="str">
        <f>TEXT(maintable_2[[#This Row],[Order Date]],"mmmm")</f>
        <v>April</v>
      </c>
    </row>
    <row r="2500" spans="1:12" x14ac:dyDescent="0.3">
      <c r="A2500" s="1">
        <v>41912</v>
      </c>
      <c r="B2500" s="1">
        <v>41914</v>
      </c>
      <c r="C2500" t="s">
        <v>2010</v>
      </c>
      <c r="D2500" t="s">
        <v>13</v>
      </c>
      <c r="E2500" t="s">
        <v>761</v>
      </c>
      <c r="F2500">
        <v>99.2</v>
      </c>
      <c r="G2500">
        <v>5</v>
      </c>
      <c r="H2500">
        <v>25.792000000000002</v>
      </c>
      <c r="I2500">
        <v>2</v>
      </c>
      <c r="J2500">
        <v>2014</v>
      </c>
      <c r="K2500" t="s">
        <v>2209</v>
      </c>
      <c r="L2500" t="str">
        <f>TEXT(maintable_2[[#This Row],[Order Date]],"mmmm")</f>
        <v>September</v>
      </c>
    </row>
    <row r="2501" spans="1:12" x14ac:dyDescent="0.3">
      <c r="A2501" s="1">
        <v>41766</v>
      </c>
      <c r="B2501" s="1">
        <v>41769</v>
      </c>
      <c r="C2501" t="s">
        <v>2011</v>
      </c>
      <c r="D2501" t="s">
        <v>19</v>
      </c>
      <c r="E2501" t="s">
        <v>2012</v>
      </c>
      <c r="F2501">
        <v>152.94</v>
      </c>
      <c r="G2501">
        <v>3</v>
      </c>
      <c r="H2501">
        <v>41.293799999999997</v>
      </c>
      <c r="I2501">
        <v>3</v>
      </c>
      <c r="J2501">
        <v>2014</v>
      </c>
      <c r="K2501" t="s">
        <v>2208</v>
      </c>
      <c r="L2501" t="str">
        <f>TEXT(maintable_2[[#This Row],[Order Date]],"mmmm")</f>
        <v>May</v>
      </c>
    </row>
    <row r="2502" spans="1:12" x14ac:dyDescent="0.3">
      <c r="A2502" s="1">
        <v>40906</v>
      </c>
      <c r="B2502" s="1">
        <v>40911</v>
      </c>
      <c r="C2502" t="s">
        <v>1580</v>
      </c>
      <c r="D2502" t="s">
        <v>8</v>
      </c>
      <c r="E2502" t="s">
        <v>233</v>
      </c>
      <c r="F2502">
        <v>88.8</v>
      </c>
      <c r="G2502">
        <v>6</v>
      </c>
      <c r="H2502">
        <v>44.4</v>
      </c>
      <c r="I2502">
        <v>5</v>
      </c>
      <c r="J2502">
        <v>2011</v>
      </c>
      <c r="K2502" t="s">
        <v>2207</v>
      </c>
      <c r="L2502" t="str">
        <f>TEXT(maintable_2[[#This Row],[Order Date]],"mmmm")</f>
        <v>December</v>
      </c>
    </row>
    <row r="2503" spans="1:12" x14ac:dyDescent="0.3">
      <c r="A2503" s="1">
        <v>40906</v>
      </c>
      <c r="B2503" s="1">
        <v>40911</v>
      </c>
      <c r="C2503" t="s">
        <v>1580</v>
      </c>
      <c r="D2503" t="s">
        <v>15</v>
      </c>
      <c r="E2503" t="s">
        <v>891</v>
      </c>
      <c r="F2503">
        <v>319.96800000000002</v>
      </c>
      <c r="G2503">
        <v>4</v>
      </c>
      <c r="H2503">
        <v>35.996400000000001</v>
      </c>
      <c r="I2503">
        <v>5</v>
      </c>
      <c r="J2503">
        <v>2011</v>
      </c>
      <c r="K2503" t="s">
        <v>2207</v>
      </c>
      <c r="L2503" t="str">
        <f>TEXT(maintable_2[[#This Row],[Order Date]],"mmmm")</f>
        <v>December</v>
      </c>
    </row>
    <row r="2504" spans="1:12" x14ac:dyDescent="0.3">
      <c r="A2504" s="1">
        <v>41356</v>
      </c>
      <c r="B2504" s="1">
        <v>41356</v>
      </c>
      <c r="C2504" t="s">
        <v>810</v>
      </c>
      <c r="D2504" t="s">
        <v>71</v>
      </c>
      <c r="E2504" t="s">
        <v>1895</v>
      </c>
      <c r="F2504">
        <v>167.88800000000001</v>
      </c>
      <c r="G2504">
        <v>7</v>
      </c>
      <c r="H2504">
        <v>14.690200000000001</v>
      </c>
      <c r="I2504">
        <v>0</v>
      </c>
      <c r="J2504">
        <v>2013</v>
      </c>
      <c r="K2504" t="s">
        <v>2208</v>
      </c>
      <c r="L2504" t="str">
        <f>TEXT(maintable_2[[#This Row],[Order Date]],"mmmm")</f>
        <v>March</v>
      </c>
    </row>
    <row r="2505" spans="1:12" x14ac:dyDescent="0.3">
      <c r="A2505" s="1">
        <v>41928</v>
      </c>
      <c r="B2505" s="1">
        <v>41932</v>
      </c>
      <c r="C2505" t="s">
        <v>2013</v>
      </c>
      <c r="D2505" t="s">
        <v>13</v>
      </c>
      <c r="E2505" t="s">
        <v>2014</v>
      </c>
      <c r="F2505">
        <v>11.68</v>
      </c>
      <c r="G2505">
        <v>2</v>
      </c>
      <c r="H2505">
        <v>4.2047999999999996</v>
      </c>
      <c r="I2505">
        <v>4</v>
      </c>
      <c r="J2505">
        <v>2014</v>
      </c>
      <c r="K2505" t="s">
        <v>2209</v>
      </c>
      <c r="L2505" t="str">
        <f>TEXT(maintable_2[[#This Row],[Order Date]],"mmmm")</f>
        <v>October</v>
      </c>
    </row>
    <row r="2506" spans="1:12" x14ac:dyDescent="0.3">
      <c r="A2506" s="1">
        <v>41001</v>
      </c>
      <c r="B2506" s="1">
        <v>41006</v>
      </c>
      <c r="C2506" t="s">
        <v>414</v>
      </c>
      <c r="D2506" t="s">
        <v>15</v>
      </c>
      <c r="E2506" t="s">
        <v>1285</v>
      </c>
      <c r="F2506">
        <v>87.8</v>
      </c>
      <c r="G2506">
        <v>5</v>
      </c>
      <c r="H2506">
        <v>32.924999999999997</v>
      </c>
      <c r="I2506">
        <v>5</v>
      </c>
      <c r="J2506">
        <v>2012</v>
      </c>
      <c r="K2506" t="s">
        <v>2208</v>
      </c>
      <c r="L2506" t="str">
        <f>TEXT(maintable_2[[#This Row],[Order Date]],"mmmm")</f>
        <v>April</v>
      </c>
    </row>
    <row r="2507" spans="1:12" x14ac:dyDescent="0.3">
      <c r="A2507" s="1">
        <v>40882</v>
      </c>
      <c r="B2507" s="1">
        <v>40884</v>
      </c>
      <c r="C2507" t="s">
        <v>2015</v>
      </c>
      <c r="D2507" t="s">
        <v>19</v>
      </c>
      <c r="E2507" t="s">
        <v>1873</v>
      </c>
      <c r="F2507">
        <v>250.26</v>
      </c>
      <c r="G2507">
        <v>6</v>
      </c>
      <c r="H2507">
        <v>72.575400000000002</v>
      </c>
      <c r="I2507">
        <v>2</v>
      </c>
      <c r="J2507">
        <v>2011</v>
      </c>
      <c r="K2507" t="s">
        <v>2207</v>
      </c>
      <c r="L2507" t="str">
        <f>TEXT(maintable_2[[#This Row],[Order Date]],"mmmm")</f>
        <v>December</v>
      </c>
    </row>
    <row r="2508" spans="1:12" x14ac:dyDescent="0.3">
      <c r="A2508" s="1">
        <v>40914</v>
      </c>
      <c r="B2508" s="1">
        <v>40920</v>
      </c>
      <c r="C2508" t="s">
        <v>744</v>
      </c>
      <c r="D2508" t="s">
        <v>44</v>
      </c>
      <c r="E2508" t="s">
        <v>2016</v>
      </c>
      <c r="F2508">
        <v>29.6</v>
      </c>
      <c r="G2508">
        <v>5</v>
      </c>
      <c r="H2508">
        <v>9.25</v>
      </c>
      <c r="I2508">
        <v>6</v>
      </c>
      <c r="J2508">
        <v>2012</v>
      </c>
      <c r="K2508" t="s">
        <v>2210</v>
      </c>
      <c r="L2508" t="str">
        <f>TEXT(maintable_2[[#This Row],[Order Date]],"mmmm")</f>
        <v>January</v>
      </c>
    </row>
    <row r="2509" spans="1:12" x14ac:dyDescent="0.3">
      <c r="A2509" s="1">
        <v>40914</v>
      </c>
      <c r="B2509" s="1">
        <v>40920</v>
      </c>
      <c r="C2509" t="s">
        <v>744</v>
      </c>
      <c r="D2509" t="s">
        <v>17</v>
      </c>
      <c r="E2509" t="s">
        <v>297</v>
      </c>
      <c r="F2509">
        <v>1.9379999999999999</v>
      </c>
      <c r="G2509">
        <v>2</v>
      </c>
      <c r="H2509">
        <v>-1.3566</v>
      </c>
      <c r="I2509">
        <v>6</v>
      </c>
      <c r="J2509">
        <v>2012</v>
      </c>
      <c r="K2509" t="s">
        <v>2210</v>
      </c>
      <c r="L2509" t="str">
        <f>TEXT(maintable_2[[#This Row],[Order Date]],"mmmm")</f>
        <v>January</v>
      </c>
    </row>
    <row r="2510" spans="1:12" x14ac:dyDescent="0.3">
      <c r="A2510" s="1">
        <v>41892</v>
      </c>
      <c r="B2510" s="1">
        <v>41897</v>
      </c>
      <c r="C2510" t="s">
        <v>1647</v>
      </c>
      <c r="D2510" t="s">
        <v>37</v>
      </c>
      <c r="E2510" t="s">
        <v>1874</v>
      </c>
      <c r="F2510">
        <v>159.96</v>
      </c>
      <c r="G2510">
        <v>4</v>
      </c>
      <c r="H2510">
        <v>51.187199999999997</v>
      </c>
      <c r="I2510">
        <v>5</v>
      </c>
      <c r="J2510">
        <v>2014</v>
      </c>
      <c r="K2510" t="s">
        <v>2209</v>
      </c>
      <c r="L2510" t="str">
        <f>TEXT(maintable_2[[#This Row],[Order Date]],"mmmm")</f>
        <v>September</v>
      </c>
    </row>
    <row r="2511" spans="1:12" x14ac:dyDescent="0.3">
      <c r="A2511" s="1">
        <v>41746</v>
      </c>
      <c r="B2511" s="1">
        <v>41750</v>
      </c>
      <c r="C2511" t="s">
        <v>661</v>
      </c>
      <c r="D2511" t="s">
        <v>19</v>
      </c>
      <c r="E2511" t="s">
        <v>2017</v>
      </c>
      <c r="F2511">
        <v>40.74</v>
      </c>
      <c r="G2511">
        <v>3</v>
      </c>
      <c r="H2511">
        <v>12.222</v>
      </c>
      <c r="I2511">
        <v>4</v>
      </c>
      <c r="J2511">
        <v>2014</v>
      </c>
      <c r="K2511" t="s">
        <v>2208</v>
      </c>
      <c r="L2511" t="str">
        <f>TEXT(maintable_2[[#This Row],[Order Date]],"mmmm")</f>
        <v>April</v>
      </c>
    </row>
    <row r="2512" spans="1:12" x14ac:dyDescent="0.3">
      <c r="A2512" s="1">
        <v>41804</v>
      </c>
      <c r="B2512" s="1">
        <v>41810</v>
      </c>
      <c r="C2512" t="s">
        <v>91</v>
      </c>
      <c r="D2512" t="s">
        <v>71</v>
      </c>
      <c r="E2512" t="s">
        <v>1904</v>
      </c>
      <c r="F2512">
        <v>291.13600000000002</v>
      </c>
      <c r="G2512">
        <v>4</v>
      </c>
      <c r="H2512">
        <v>-25.474399999999999</v>
      </c>
      <c r="I2512">
        <v>6</v>
      </c>
      <c r="J2512">
        <v>2014</v>
      </c>
      <c r="K2512" t="s">
        <v>2206</v>
      </c>
      <c r="L2512" t="str">
        <f>TEXT(maintable_2[[#This Row],[Order Date]],"mmmm")</f>
        <v>June</v>
      </c>
    </row>
    <row r="2513" spans="1:12" x14ac:dyDescent="0.3">
      <c r="A2513" s="1">
        <v>41898</v>
      </c>
      <c r="B2513" s="1">
        <v>41903</v>
      </c>
      <c r="C2513" t="s">
        <v>808</v>
      </c>
      <c r="D2513" t="s">
        <v>13</v>
      </c>
      <c r="E2513" t="s">
        <v>1462</v>
      </c>
      <c r="F2513">
        <v>12.42</v>
      </c>
      <c r="G2513">
        <v>3</v>
      </c>
      <c r="H2513">
        <v>5.2164000000000001</v>
      </c>
      <c r="I2513">
        <v>5</v>
      </c>
      <c r="J2513">
        <v>2014</v>
      </c>
      <c r="K2513" t="s">
        <v>2209</v>
      </c>
      <c r="L2513" t="str">
        <f>TEXT(maintable_2[[#This Row],[Order Date]],"mmmm")</f>
        <v>September</v>
      </c>
    </row>
    <row r="2514" spans="1:12" x14ac:dyDescent="0.3">
      <c r="A2514" s="1">
        <v>41509</v>
      </c>
      <c r="B2514" s="1">
        <v>41513</v>
      </c>
      <c r="C2514" t="s">
        <v>2018</v>
      </c>
      <c r="D2514" t="s">
        <v>44</v>
      </c>
      <c r="E2514" t="s">
        <v>392</v>
      </c>
      <c r="F2514">
        <v>19.440000000000001</v>
      </c>
      <c r="G2514">
        <v>3</v>
      </c>
      <c r="H2514">
        <v>9.3312000000000008</v>
      </c>
      <c r="I2514">
        <v>4</v>
      </c>
      <c r="J2514">
        <v>2013</v>
      </c>
      <c r="K2514" t="s">
        <v>2206</v>
      </c>
      <c r="L2514" t="str">
        <f>TEXT(maintable_2[[#This Row],[Order Date]],"mmmm")</f>
        <v>August</v>
      </c>
    </row>
    <row r="2515" spans="1:12" x14ac:dyDescent="0.3">
      <c r="A2515" s="1">
        <v>40868</v>
      </c>
      <c r="B2515" s="1">
        <v>40873</v>
      </c>
      <c r="C2515" t="s">
        <v>1755</v>
      </c>
      <c r="D2515" t="s">
        <v>44</v>
      </c>
      <c r="E2515" t="s">
        <v>1507</v>
      </c>
      <c r="F2515">
        <v>6.58</v>
      </c>
      <c r="G2515">
        <v>2</v>
      </c>
      <c r="H2515">
        <v>3.0268000000000002</v>
      </c>
      <c r="I2515">
        <v>5</v>
      </c>
      <c r="J2515">
        <v>2011</v>
      </c>
      <c r="K2515" t="s">
        <v>2209</v>
      </c>
      <c r="L2515" t="str">
        <f>TEXT(maintable_2[[#This Row],[Order Date]],"mmmm")</f>
        <v>November</v>
      </c>
    </row>
    <row r="2516" spans="1:12" x14ac:dyDescent="0.3">
      <c r="A2516" s="1">
        <v>40868</v>
      </c>
      <c r="B2516" s="1">
        <v>40873</v>
      </c>
      <c r="C2516" t="s">
        <v>1755</v>
      </c>
      <c r="D2516" t="s">
        <v>37</v>
      </c>
      <c r="E2516" t="s">
        <v>1696</v>
      </c>
      <c r="F2516">
        <v>94.99</v>
      </c>
      <c r="G2516">
        <v>1</v>
      </c>
      <c r="H2516">
        <v>28.497</v>
      </c>
      <c r="I2516">
        <v>5</v>
      </c>
      <c r="J2516">
        <v>2011</v>
      </c>
      <c r="K2516" t="s">
        <v>2209</v>
      </c>
      <c r="L2516" t="str">
        <f>TEXT(maintable_2[[#This Row],[Order Date]],"mmmm")</f>
        <v>November</v>
      </c>
    </row>
    <row r="2517" spans="1:12" x14ac:dyDescent="0.3">
      <c r="A2517" s="1">
        <v>41176</v>
      </c>
      <c r="B2517" s="1">
        <v>41178</v>
      </c>
      <c r="C2517" t="s">
        <v>2019</v>
      </c>
      <c r="D2517" t="s">
        <v>15</v>
      </c>
      <c r="E2517" t="s">
        <v>1285</v>
      </c>
      <c r="F2517">
        <v>35.119999999999997</v>
      </c>
      <c r="G2517">
        <v>2</v>
      </c>
      <c r="H2517">
        <v>13.17</v>
      </c>
      <c r="I2517">
        <v>2</v>
      </c>
      <c r="J2517">
        <v>2012</v>
      </c>
      <c r="K2517" t="s">
        <v>2209</v>
      </c>
      <c r="L2517" t="str">
        <f>TEXT(maintable_2[[#This Row],[Order Date]],"mmmm")</f>
        <v>September</v>
      </c>
    </row>
    <row r="2518" spans="1:12" x14ac:dyDescent="0.3">
      <c r="A2518" s="1">
        <v>41872</v>
      </c>
      <c r="B2518" s="1">
        <v>41879</v>
      </c>
      <c r="C2518" t="s">
        <v>842</v>
      </c>
      <c r="D2518" t="s">
        <v>44</v>
      </c>
      <c r="E2518" t="s">
        <v>1743</v>
      </c>
      <c r="F2518">
        <v>25.92</v>
      </c>
      <c r="G2518">
        <v>4</v>
      </c>
      <c r="H2518">
        <v>12.441599999999999</v>
      </c>
      <c r="I2518">
        <v>7</v>
      </c>
      <c r="J2518">
        <v>2014</v>
      </c>
      <c r="K2518" t="s">
        <v>2206</v>
      </c>
      <c r="L2518" t="str">
        <f>TEXT(maintable_2[[#This Row],[Order Date]],"mmmm")</f>
        <v>August</v>
      </c>
    </row>
    <row r="2519" spans="1:12" x14ac:dyDescent="0.3">
      <c r="A2519" s="1">
        <v>41909</v>
      </c>
      <c r="B2519" s="1">
        <v>41911</v>
      </c>
      <c r="C2519" t="s">
        <v>2020</v>
      </c>
      <c r="D2519" t="s">
        <v>13</v>
      </c>
      <c r="E2519" t="s">
        <v>1041</v>
      </c>
      <c r="F2519">
        <v>2.2240000000000002</v>
      </c>
      <c r="G2519">
        <v>1</v>
      </c>
      <c r="H2519">
        <v>0.55600000000000005</v>
      </c>
      <c r="I2519">
        <v>2</v>
      </c>
      <c r="J2519">
        <v>2014</v>
      </c>
      <c r="K2519" t="s">
        <v>2209</v>
      </c>
      <c r="L2519" t="str">
        <f>TEXT(maintable_2[[#This Row],[Order Date]],"mmmm")</f>
        <v>September</v>
      </c>
    </row>
    <row r="2520" spans="1:12" x14ac:dyDescent="0.3">
      <c r="A2520" s="1">
        <v>41145</v>
      </c>
      <c r="B2520" s="1">
        <v>41147</v>
      </c>
      <c r="C2520" t="s">
        <v>1291</v>
      </c>
      <c r="D2520" t="s">
        <v>13</v>
      </c>
      <c r="E2520" t="s">
        <v>51</v>
      </c>
      <c r="F2520">
        <v>7.1520000000000001</v>
      </c>
      <c r="G2520">
        <v>3</v>
      </c>
      <c r="H2520">
        <v>0.71519999999999995</v>
      </c>
      <c r="I2520">
        <v>2</v>
      </c>
      <c r="J2520">
        <v>2012</v>
      </c>
      <c r="K2520" t="s">
        <v>2206</v>
      </c>
      <c r="L2520" t="str">
        <f>TEXT(maintable_2[[#This Row],[Order Date]],"mmmm")</f>
        <v>August</v>
      </c>
    </row>
    <row r="2521" spans="1:12" x14ac:dyDescent="0.3">
      <c r="A2521" s="1">
        <v>41488</v>
      </c>
      <c r="B2521" s="1">
        <v>41488</v>
      </c>
      <c r="C2521" t="s">
        <v>1196</v>
      </c>
      <c r="D2521" t="s">
        <v>15</v>
      </c>
      <c r="E2521" t="s">
        <v>1784</v>
      </c>
      <c r="F2521">
        <v>1039.7280000000001</v>
      </c>
      <c r="G2521">
        <v>2</v>
      </c>
      <c r="H2521">
        <v>90.976200000000006</v>
      </c>
      <c r="I2521">
        <v>0</v>
      </c>
      <c r="J2521">
        <v>2013</v>
      </c>
      <c r="K2521" t="s">
        <v>2206</v>
      </c>
      <c r="L2521" t="str">
        <f>TEXT(maintable_2[[#This Row],[Order Date]],"mmmm")</f>
        <v>August</v>
      </c>
    </row>
    <row r="2522" spans="1:12" x14ac:dyDescent="0.3">
      <c r="A2522" s="1">
        <v>41488</v>
      </c>
      <c r="B2522" s="1">
        <v>41488</v>
      </c>
      <c r="C2522" t="s">
        <v>1196</v>
      </c>
      <c r="D2522" t="s">
        <v>19</v>
      </c>
      <c r="E2522" t="s">
        <v>20</v>
      </c>
      <c r="F2522">
        <v>45.96</v>
      </c>
      <c r="G2522">
        <v>2</v>
      </c>
      <c r="H2522">
        <v>13.788</v>
      </c>
      <c r="I2522">
        <v>0</v>
      </c>
      <c r="J2522">
        <v>2013</v>
      </c>
      <c r="K2522" t="s">
        <v>2206</v>
      </c>
      <c r="L2522" t="str">
        <f>TEXT(maintable_2[[#This Row],[Order Date]],"mmmm")</f>
        <v>August</v>
      </c>
    </row>
    <row r="2523" spans="1:12" x14ac:dyDescent="0.3">
      <c r="A2523" s="1">
        <v>41378</v>
      </c>
      <c r="B2523" s="1">
        <v>41380</v>
      </c>
      <c r="C2523" t="s">
        <v>1347</v>
      </c>
      <c r="D2523" t="s">
        <v>86</v>
      </c>
      <c r="E2523" t="s">
        <v>115</v>
      </c>
      <c r="F2523">
        <v>6.12</v>
      </c>
      <c r="G2523">
        <v>3</v>
      </c>
      <c r="H2523">
        <v>2.8763999999999998</v>
      </c>
      <c r="I2523">
        <v>2</v>
      </c>
      <c r="J2523">
        <v>2013</v>
      </c>
      <c r="K2523" t="s">
        <v>2208</v>
      </c>
      <c r="L2523" t="str">
        <f>TEXT(maintable_2[[#This Row],[Order Date]],"mmmm")</f>
        <v>April</v>
      </c>
    </row>
    <row r="2524" spans="1:12" x14ac:dyDescent="0.3">
      <c r="A2524" s="1">
        <v>40904</v>
      </c>
      <c r="B2524" s="1">
        <v>40908</v>
      </c>
      <c r="C2524" t="s">
        <v>717</v>
      </c>
      <c r="D2524" t="s">
        <v>19</v>
      </c>
      <c r="E2524" t="s">
        <v>105</v>
      </c>
      <c r="F2524">
        <v>10.98</v>
      </c>
      <c r="G2524">
        <v>1</v>
      </c>
      <c r="H2524">
        <v>2.9645999999999999</v>
      </c>
      <c r="I2524">
        <v>4</v>
      </c>
      <c r="J2524">
        <v>2011</v>
      </c>
      <c r="K2524" t="s">
        <v>2207</v>
      </c>
      <c r="L2524" t="str">
        <f>TEXT(maintable_2[[#This Row],[Order Date]],"mmmm")</f>
        <v>December</v>
      </c>
    </row>
    <row r="2525" spans="1:12" x14ac:dyDescent="0.3">
      <c r="A2525" s="1">
        <v>40904</v>
      </c>
      <c r="B2525" s="1">
        <v>40908</v>
      </c>
      <c r="C2525" t="s">
        <v>717</v>
      </c>
      <c r="D2525" t="s">
        <v>78</v>
      </c>
      <c r="E2525" t="s">
        <v>105</v>
      </c>
      <c r="F2525">
        <v>7.86</v>
      </c>
      <c r="G2525">
        <v>3</v>
      </c>
      <c r="H2525">
        <v>3.6156000000000001</v>
      </c>
      <c r="I2525">
        <v>4</v>
      </c>
      <c r="J2525">
        <v>2011</v>
      </c>
      <c r="K2525" t="s">
        <v>2207</v>
      </c>
      <c r="L2525" t="str">
        <f>TEXT(maintable_2[[#This Row],[Order Date]],"mmmm")</f>
        <v>December</v>
      </c>
    </row>
    <row r="2526" spans="1:12" x14ac:dyDescent="0.3">
      <c r="A2526" s="1">
        <v>40904</v>
      </c>
      <c r="B2526" s="1">
        <v>40908</v>
      </c>
      <c r="C2526" t="s">
        <v>717</v>
      </c>
      <c r="D2526" t="s">
        <v>27</v>
      </c>
      <c r="E2526" t="s">
        <v>253</v>
      </c>
      <c r="F2526">
        <v>51.45</v>
      </c>
      <c r="G2526">
        <v>3</v>
      </c>
      <c r="H2526">
        <v>13.891500000000001</v>
      </c>
      <c r="I2526">
        <v>4</v>
      </c>
      <c r="J2526">
        <v>2011</v>
      </c>
      <c r="K2526" t="s">
        <v>2207</v>
      </c>
      <c r="L2526" t="str">
        <f>TEXT(maintable_2[[#This Row],[Order Date]],"mmmm")</f>
        <v>December</v>
      </c>
    </row>
    <row r="2527" spans="1:12" x14ac:dyDescent="0.3">
      <c r="A2527" s="1">
        <v>40904</v>
      </c>
      <c r="B2527" s="1">
        <v>40908</v>
      </c>
      <c r="C2527" t="s">
        <v>717</v>
      </c>
      <c r="D2527" t="s">
        <v>17</v>
      </c>
      <c r="E2527" t="s">
        <v>1753</v>
      </c>
      <c r="F2527">
        <v>37.055999999999997</v>
      </c>
      <c r="G2527">
        <v>3</v>
      </c>
      <c r="H2527">
        <v>13.896000000000001</v>
      </c>
      <c r="I2527">
        <v>4</v>
      </c>
      <c r="J2527">
        <v>2011</v>
      </c>
      <c r="K2527" t="s">
        <v>2207</v>
      </c>
      <c r="L2527" t="str">
        <f>TEXT(maintable_2[[#This Row],[Order Date]],"mmmm")</f>
        <v>December</v>
      </c>
    </row>
    <row r="2528" spans="1:12" x14ac:dyDescent="0.3">
      <c r="A2528" s="1">
        <v>41255</v>
      </c>
      <c r="B2528" s="1">
        <v>41258</v>
      </c>
      <c r="C2528" t="s">
        <v>1309</v>
      </c>
      <c r="D2528" t="s">
        <v>44</v>
      </c>
      <c r="E2528" t="s">
        <v>1447</v>
      </c>
      <c r="F2528">
        <v>32.4</v>
      </c>
      <c r="G2528">
        <v>5</v>
      </c>
      <c r="H2528">
        <v>15.875999999999999</v>
      </c>
      <c r="I2528">
        <v>3</v>
      </c>
      <c r="J2528">
        <v>2012</v>
      </c>
      <c r="K2528" t="s">
        <v>2207</v>
      </c>
      <c r="L2528" t="str">
        <f>TEXT(maintable_2[[#This Row],[Order Date]],"mmmm")</f>
        <v>December</v>
      </c>
    </row>
    <row r="2529" spans="1:12" x14ac:dyDescent="0.3">
      <c r="A2529" s="1">
        <v>41255</v>
      </c>
      <c r="B2529" s="1">
        <v>41258</v>
      </c>
      <c r="C2529" t="s">
        <v>1309</v>
      </c>
      <c r="D2529" t="s">
        <v>44</v>
      </c>
      <c r="E2529" t="s">
        <v>1931</v>
      </c>
      <c r="F2529">
        <v>97.88</v>
      </c>
      <c r="G2529">
        <v>2</v>
      </c>
      <c r="H2529">
        <v>48.94</v>
      </c>
      <c r="I2529">
        <v>3</v>
      </c>
      <c r="J2529">
        <v>2012</v>
      </c>
      <c r="K2529" t="s">
        <v>2207</v>
      </c>
      <c r="L2529" t="str">
        <f>TEXT(maintable_2[[#This Row],[Order Date]],"mmmm")</f>
        <v>December</v>
      </c>
    </row>
    <row r="2530" spans="1:12" x14ac:dyDescent="0.3">
      <c r="A2530" s="1">
        <v>40626</v>
      </c>
      <c r="B2530" s="1">
        <v>40631</v>
      </c>
      <c r="C2530" t="s">
        <v>466</v>
      </c>
      <c r="D2530" t="s">
        <v>11</v>
      </c>
      <c r="E2530" t="s">
        <v>1741</v>
      </c>
      <c r="F2530">
        <v>40.479999999999997</v>
      </c>
      <c r="G2530">
        <v>2</v>
      </c>
      <c r="H2530">
        <v>14.572800000000001</v>
      </c>
      <c r="I2530">
        <v>5</v>
      </c>
      <c r="J2530">
        <v>2011</v>
      </c>
      <c r="K2530" t="s">
        <v>2208</v>
      </c>
      <c r="L2530" t="str">
        <f>TEXT(maintable_2[[#This Row],[Order Date]],"mmmm")</f>
        <v>March</v>
      </c>
    </row>
    <row r="2531" spans="1:12" x14ac:dyDescent="0.3">
      <c r="A2531" s="1">
        <v>41799</v>
      </c>
      <c r="B2531" s="1">
        <v>41801</v>
      </c>
      <c r="C2531" t="s">
        <v>2021</v>
      </c>
      <c r="D2531" t="s">
        <v>196</v>
      </c>
      <c r="E2531" t="s">
        <v>2022</v>
      </c>
      <c r="F2531">
        <v>1497.6659999999999</v>
      </c>
      <c r="G2531">
        <v>2</v>
      </c>
      <c r="H2531">
        <v>140.95679999999999</v>
      </c>
      <c r="I2531">
        <v>2</v>
      </c>
      <c r="J2531">
        <v>2014</v>
      </c>
      <c r="K2531" t="s">
        <v>2206</v>
      </c>
      <c r="L2531" t="str">
        <f>TEXT(maintable_2[[#This Row],[Order Date]],"mmmm")</f>
        <v>June</v>
      </c>
    </row>
    <row r="2532" spans="1:12" x14ac:dyDescent="0.3">
      <c r="A2532" s="1">
        <v>41799</v>
      </c>
      <c r="B2532" s="1">
        <v>41801</v>
      </c>
      <c r="C2532" t="s">
        <v>2021</v>
      </c>
      <c r="D2532" t="s">
        <v>15</v>
      </c>
      <c r="E2532" t="s">
        <v>2023</v>
      </c>
      <c r="F2532">
        <v>17.52</v>
      </c>
      <c r="G2532">
        <v>2</v>
      </c>
      <c r="H2532">
        <v>-3.504</v>
      </c>
      <c r="I2532">
        <v>2</v>
      </c>
      <c r="J2532">
        <v>2014</v>
      </c>
      <c r="K2532" t="s">
        <v>2206</v>
      </c>
      <c r="L2532" t="str">
        <f>TEXT(maintable_2[[#This Row],[Order Date]],"mmmm")</f>
        <v>June</v>
      </c>
    </row>
    <row r="2533" spans="1:12" x14ac:dyDescent="0.3">
      <c r="A2533" s="1">
        <v>41569</v>
      </c>
      <c r="B2533" s="1">
        <v>41574</v>
      </c>
      <c r="C2533" t="s">
        <v>1240</v>
      </c>
      <c r="D2533" t="s">
        <v>13</v>
      </c>
      <c r="E2533" t="s">
        <v>2024</v>
      </c>
      <c r="F2533">
        <v>113.22</v>
      </c>
      <c r="G2533">
        <v>3</v>
      </c>
      <c r="H2533">
        <v>29.437200000000001</v>
      </c>
      <c r="I2533">
        <v>5</v>
      </c>
      <c r="J2533">
        <v>2013</v>
      </c>
      <c r="K2533" t="s">
        <v>2209</v>
      </c>
      <c r="L2533" t="str">
        <f>TEXT(maintable_2[[#This Row],[Order Date]],"mmmm")</f>
        <v>October</v>
      </c>
    </row>
    <row r="2534" spans="1:12" x14ac:dyDescent="0.3">
      <c r="A2534" s="1">
        <v>41569</v>
      </c>
      <c r="B2534" s="1">
        <v>41574</v>
      </c>
      <c r="C2534" t="s">
        <v>1240</v>
      </c>
      <c r="D2534" t="s">
        <v>44</v>
      </c>
      <c r="E2534" t="s">
        <v>2025</v>
      </c>
      <c r="F2534">
        <v>35.880000000000003</v>
      </c>
      <c r="G2534">
        <v>6</v>
      </c>
      <c r="H2534">
        <v>17.581199999999999</v>
      </c>
      <c r="I2534">
        <v>5</v>
      </c>
      <c r="J2534">
        <v>2013</v>
      </c>
      <c r="K2534" t="s">
        <v>2209</v>
      </c>
      <c r="L2534" t="str">
        <f>TEXT(maintable_2[[#This Row],[Order Date]],"mmmm")</f>
        <v>October</v>
      </c>
    </row>
    <row r="2535" spans="1:12" x14ac:dyDescent="0.3">
      <c r="A2535" s="1">
        <v>41569</v>
      </c>
      <c r="B2535" s="1">
        <v>41574</v>
      </c>
      <c r="C2535" t="s">
        <v>1240</v>
      </c>
      <c r="D2535" t="s">
        <v>17</v>
      </c>
      <c r="E2535" t="s">
        <v>2026</v>
      </c>
      <c r="F2535">
        <v>4535.9759999999997</v>
      </c>
      <c r="G2535">
        <v>3</v>
      </c>
      <c r="H2535">
        <v>1644.2913000000001</v>
      </c>
      <c r="I2535">
        <v>5</v>
      </c>
      <c r="J2535">
        <v>2013</v>
      </c>
      <c r="K2535" t="s">
        <v>2209</v>
      </c>
      <c r="L2535" t="str">
        <f>TEXT(maintable_2[[#This Row],[Order Date]],"mmmm")</f>
        <v>October</v>
      </c>
    </row>
    <row r="2536" spans="1:12" x14ac:dyDescent="0.3">
      <c r="A2536" s="1">
        <v>41666</v>
      </c>
      <c r="B2536" s="1">
        <v>41670</v>
      </c>
      <c r="C2536" t="s">
        <v>201</v>
      </c>
      <c r="D2536" t="s">
        <v>78</v>
      </c>
      <c r="E2536" t="s">
        <v>699</v>
      </c>
      <c r="F2536">
        <v>11.84</v>
      </c>
      <c r="G2536">
        <v>8</v>
      </c>
      <c r="H2536">
        <v>5.6832000000000003</v>
      </c>
      <c r="I2536">
        <v>4</v>
      </c>
      <c r="J2536">
        <v>2014</v>
      </c>
      <c r="K2536" t="s">
        <v>2210</v>
      </c>
      <c r="L2536" t="str">
        <f>TEXT(maintable_2[[#This Row],[Order Date]],"mmmm")</f>
        <v>January</v>
      </c>
    </row>
    <row r="2537" spans="1:12" x14ac:dyDescent="0.3">
      <c r="A2537" s="1">
        <v>40679</v>
      </c>
      <c r="B2537" s="1">
        <v>40686</v>
      </c>
      <c r="C2537" t="s">
        <v>2027</v>
      </c>
      <c r="D2537" t="s">
        <v>71</v>
      </c>
      <c r="E2537" t="s">
        <v>1636</v>
      </c>
      <c r="F2537">
        <v>232.88</v>
      </c>
      <c r="G2537">
        <v>5</v>
      </c>
      <c r="H2537">
        <v>17.466000000000001</v>
      </c>
      <c r="I2537">
        <v>7</v>
      </c>
      <c r="J2537">
        <v>2011</v>
      </c>
      <c r="K2537" t="s">
        <v>2208</v>
      </c>
      <c r="L2537" t="str">
        <f>TEXT(maintable_2[[#This Row],[Order Date]],"mmmm")</f>
        <v>May</v>
      </c>
    </row>
    <row r="2538" spans="1:12" x14ac:dyDescent="0.3">
      <c r="A2538" s="1">
        <v>41025</v>
      </c>
      <c r="B2538" s="1">
        <v>41030</v>
      </c>
      <c r="C2538" t="s">
        <v>1845</v>
      </c>
      <c r="D2538" t="s">
        <v>71</v>
      </c>
      <c r="E2538" t="s">
        <v>1017</v>
      </c>
      <c r="F2538">
        <v>63.936</v>
      </c>
      <c r="G2538">
        <v>3</v>
      </c>
      <c r="H2538">
        <v>6.3936000000000002</v>
      </c>
      <c r="I2538">
        <v>5</v>
      </c>
      <c r="J2538">
        <v>2012</v>
      </c>
      <c r="K2538" t="s">
        <v>2208</v>
      </c>
      <c r="L2538" t="str">
        <f>TEXT(maintable_2[[#This Row],[Order Date]],"mmmm")</f>
        <v>April</v>
      </c>
    </row>
    <row r="2539" spans="1:12" x14ac:dyDescent="0.3">
      <c r="A2539" s="1">
        <v>41025</v>
      </c>
      <c r="B2539" s="1">
        <v>41030</v>
      </c>
      <c r="C2539" t="s">
        <v>1845</v>
      </c>
      <c r="D2539" t="s">
        <v>13</v>
      </c>
      <c r="E2539" t="s">
        <v>1084</v>
      </c>
      <c r="F2539">
        <v>59.52</v>
      </c>
      <c r="G2539">
        <v>3</v>
      </c>
      <c r="H2539">
        <v>15.475199999999999</v>
      </c>
      <c r="I2539">
        <v>5</v>
      </c>
      <c r="J2539">
        <v>2012</v>
      </c>
      <c r="K2539" t="s">
        <v>2208</v>
      </c>
      <c r="L2539" t="str">
        <f>TEXT(maintable_2[[#This Row],[Order Date]],"mmmm")</f>
        <v>April</v>
      </c>
    </row>
    <row r="2540" spans="1:12" x14ac:dyDescent="0.3">
      <c r="A2540" s="1">
        <v>41025</v>
      </c>
      <c r="B2540" s="1">
        <v>41030</v>
      </c>
      <c r="C2540" t="s">
        <v>1845</v>
      </c>
      <c r="D2540" t="s">
        <v>15</v>
      </c>
      <c r="E2540" t="s">
        <v>1739</v>
      </c>
      <c r="F2540">
        <v>311.976</v>
      </c>
      <c r="G2540">
        <v>3</v>
      </c>
      <c r="H2540">
        <v>38.997</v>
      </c>
      <c r="I2540">
        <v>5</v>
      </c>
      <c r="J2540">
        <v>2012</v>
      </c>
      <c r="K2540" t="s">
        <v>2208</v>
      </c>
      <c r="L2540" t="str">
        <f>TEXT(maintable_2[[#This Row],[Order Date]],"mmmm")</f>
        <v>April</v>
      </c>
    </row>
    <row r="2541" spans="1:12" x14ac:dyDescent="0.3">
      <c r="A2541" s="1">
        <v>41025</v>
      </c>
      <c r="B2541" s="1">
        <v>41030</v>
      </c>
      <c r="C2541" t="s">
        <v>1845</v>
      </c>
      <c r="D2541" t="s">
        <v>17</v>
      </c>
      <c r="E2541" t="s">
        <v>1411</v>
      </c>
      <c r="F2541">
        <v>50.351999999999997</v>
      </c>
      <c r="G2541">
        <v>3</v>
      </c>
      <c r="H2541">
        <v>17.623200000000001</v>
      </c>
      <c r="I2541">
        <v>5</v>
      </c>
      <c r="J2541">
        <v>2012</v>
      </c>
      <c r="K2541" t="s">
        <v>2208</v>
      </c>
      <c r="L2541" t="str">
        <f>TEXT(maintable_2[[#This Row],[Order Date]],"mmmm")</f>
        <v>April</v>
      </c>
    </row>
    <row r="2542" spans="1:12" x14ac:dyDescent="0.3">
      <c r="A2542" s="1">
        <v>41012</v>
      </c>
      <c r="B2542" s="1">
        <v>41016</v>
      </c>
      <c r="C2542" t="s">
        <v>1615</v>
      </c>
      <c r="D2542" t="s">
        <v>21</v>
      </c>
      <c r="E2542" t="s">
        <v>1701</v>
      </c>
      <c r="F2542">
        <v>241.56800000000001</v>
      </c>
      <c r="G2542">
        <v>2</v>
      </c>
      <c r="H2542">
        <v>-15.098000000000001</v>
      </c>
      <c r="I2542">
        <v>4</v>
      </c>
      <c r="J2542">
        <v>2012</v>
      </c>
      <c r="K2542" t="s">
        <v>2208</v>
      </c>
      <c r="L2542" t="str">
        <f>TEXT(maintable_2[[#This Row],[Order Date]],"mmmm")</f>
        <v>April</v>
      </c>
    </row>
    <row r="2543" spans="1:12" x14ac:dyDescent="0.3">
      <c r="A2543" s="1">
        <v>41012</v>
      </c>
      <c r="B2543" s="1">
        <v>41016</v>
      </c>
      <c r="C2543" t="s">
        <v>1615</v>
      </c>
      <c r="D2543" t="s">
        <v>15</v>
      </c>
      <c r="E2543" t="s">
        <v>2028</v>
      </c>
      <c r="F2543">
        <v>479.92</v>
      </c>
      <c r="G2543">
        <v>2</v>
      </c>
      <c r="H2543">
        <v>41.993000000000002</v>
      </c>
      <c r="I2543">
        <v>4</v>
      </c>
      <c r="J2543">
        <v>2012</v>
      </c>
      <c r="K2543" t="s">
        <v>2208</v>
      </c>
      <c r="L2543" t="str">
        <f>TEXT(maintable_2[[#This Row],[Order Date]],"mmmm")</f>
        <v>April</v>
      </c>
    </row>
    <row r="2544" spans="1:12" x14ac:dyDescent="0.3">
      <c r="A2544" s="1">
        <v>41177</v>
      </c>
      <c r="B2544" s="1">
        <v>41182</v>
      </c>
      <c r="C2544" t="s">
        <v>84</v>
      </c>
      <c r="D2544" t="s">
        <v>71</v>
      </c>
      <c r="E2544" t="s">
        <v>922</v>
      </c>
      <c r="F2544">
        <v>307.13600000000002</v>
      </c>
      <c r="G2544">
        <v>4</v>
      </c>
      <c r="H2544">
        <v>-11.5176</v>
      </c>
      <c r="I2544">
        <v>5</v>
      </c>
      <c r="J2544">
        <v>2012</v>
      </c>
      <c r="K2544" t="s">
        <v>2209</v>
      </c>
      <c r="L2544" t="str">
        <f>TEXT(maintable_2[[#This Row],[Order Date]],"mmmm")</f>
        <v>September</v>
      </c>
    </row>
    <row r="2545" spans="1:12" x14ac:dyDescent="0.3">
      <c r="A2545" s="1">
        <v>41177</v>
      </c>
      <c r="B2545" s="1">
        <v>41182</v>
      </c>
      <c r="C2545" t="s">
        <v>84</v>
      </c>
      <c r="D2545" t="s">
        <v>8</v>
      </c>
      <c r="E2545" t="s">
        <v>2029</v>
      </c>
      <c r="F2545">
        <v>12.6</v>
      </c>
      <c r="G2545">
        <v>2</v>
      </c>
      <c r="H2545">
        <v>5.7960000000000003</v>
      </c>
      <c r="I2545">
        <v>5</v>
      </c>
      <c r="J2545">
        <v>2012</v>
      </c>
      <c r="K2545" t="s">
        <v>2209</v>
      </c>
      <c r="L2545" t="str">
        <f>TEXT(maintable_2[[#This Row],[Order Date]],"mmmm")</f>
        <v>September</v>
      </c>
    </row>
    <row r="2546" spans="1:12" x14ac:dyDescent="0.3">
      <c r="A2546" s="1">
        <v>41177</v>
      </c>
      <c r="B2546" s="1">
        <v>41182</v>
      </c>
      <c r="C2546" t="s">
        <v>84</v>
      </c>
      <c r="D2546" t="s">
        <v>37</v>
      </c>
      <c r="E2546" t="s">
        <v>2030</v>
      </c>
      <c r="F2546">
        <v>159.97999999999999</v>
      </c>
      <c r="G2546">
        <v>2</v>
      </c>
      <c r="H2546">
        <v>57.592799999999997</v>
      </c>
      <c r="I2546">
        <v>5</v>
      </c>
      <c r="J2546">
        <v>2012</v>
      </c>
      <c r="K2546" t="s">
        <v>2209</v>
      </c>
      <c r="L2546" t="str">
        <f>TEXT(maintable_2[[#This Row],[Order Date]],"mmmm")</f>
        <v>September</v>
      </c>
    </row>
    <row r="2547" spans="1:12" x14ac:dyDescent="0.3">
      <c r="A2547" s="1">
        <v>41268</v>
      </c>
      <c r="B2547" s="1">
        <v>41272</v>
      </c>
      <c r="C2547" t="s">
        <v>2031</v>
      </c>
      <c r="D2547" t="s">
        <v>44</v>
      </c>
      <c r="E2547" t="s">
        <v>2032</v>
      </c>
      <c r="F2547">
        <v>9.9600000000000009</v>
      </c>
      <c r="G2547">
        <v>2</v>
      </c>
      <c r="H2547">
        <v>4.8803999999999998</v>
      </c>
      <c r="I2547">
        <v>4</v>
      </c>
      <c r="J2547">
        <v>2012</v>
      </c>
      <c r="K2547" t="s">
        <v>2207</v>
      </c>
      <c r="L2547" t="str">
        <f>TEXT(maintable_2[[#This Row],[Order Date]],"mmmm")</f>
        <v>December</v>
      </c>
    </row>
    <row r="2548" spans="1:12" x14ac:dyDescent="0.3">
      <c r="A2548" s="1">
        <v>41194</v>
      </c>
      <c r="B2548" s="1">
        <v>41199</v>
      </c>
      <c r="C2548" t="s">
        <v>826</v>
      </c>
      <c r="D2548" t="s">
        <v>37</v>
      </c>
      <c r="E2548" t="s">
        <v>727</v>
      </c>
      <c r="F2548">
        <v>17.899999999999999</v>
      </c>
      <c r="G2548">
        <v>2</v>
      </c>
      <c r="H2548">
        <v>3.4009999999999998</v>
      </c>
      <c r="I2548">
        <v>5</v>
      </c>
      <c r="J2548">
        <v>2012</v>
      </c>
      <c r="K2548" t="s">
        <v>2209</v>
      </c>
      <c r="L2548" t="str">
        <f>TEXT(maintable_2[[#This Row],[Order Date]],"mmmm")</f>
        <v>October</v>
      </c>
    </row>
    <row r="2549" spans="1:12" x14ac:dyDescent="0.3">
      <c r="A2549" s="1">
        <v>41194</v>
      </c>
      <c r="B2549" s="1">
        <v>41199</v>
      </c>
      <c r="C2549" t="s">
        <v>826</v>
      </c>
      <c r="D2549" t="s">
        <v>27</v>
      </c>
      <c r="E2549" t="s">
        <v>2033</v>
      </c>
      <c r="F2549">
        <v>81.96</v>
      </c>
      <c r="G2549">
        <v>2</v>
      </c>
      <c r="H2549">
        <v>0</v>
      </c>
      <c r="I2549">
        <v>5</v>
      </c>
      <c r="J2549">
        <v>2012</v>
      </c>
      <c r="K2549" t="s">
        <v>2209</v>
      </c>
      <c r="L2549" t="str">
        <f>TEXT(maintable_2[[#This Row],[Order Date]],"mmmm")</f>
        <v>October</v>
      </c>
    </row>
    <row r="2550" spans="1:12" x14ac:dyDescent="0.3">
      <c r="A2550" s="1">
        <v>41104</v>
      </c>
      <c r="B2550" s="1">
        <v>41109</v>
      </c>
      <c r="C2550" t="s">
        <v>894</v>
      </c>
      <c r="D2550" t="s">
        <v>27</v>
      </c>
      <c r="E2550" t="s">
        <v>223</v>
      </c>
      <c r="F2550">
        <v>272.73599999999999</v>
      </c>
      <c r="G2550">
        <v>3</v>
      </c>
      <c r="H2550">
        <v>-64.774799999999999</v>
      </c>
      <c r="I2550">
        <v>5</v>
      </c>
      <c r="J2550">
        <v>2012</v>
      </c>
      <c r="K2550" t="s">
        <v>2206</v>
      </c>
      <c r="L2550" t="str">
        <f>TEXT(maintable_2[[#This Row],[Order Date]],"mmmm")</f>
        <v>July</v>
      </c>
    </row>
    <row r="2551" spans="1:12" x14ac:dyDescent="0.3">
      <c r="A2551" s="1">
        <v>41104</v>
      </c>
      <c r="B2551" s="1">
        <v>41109</v>
      </c>
      <c r="C2551" t="s">
        <v>894</v>
      </c>
      <c r="D2551" t="s">
        <v>44</v>
      </c>
      <c r="E2551" t="s">
        <v>2034</v>
      </c>
      <c r="F2551">
        <v>18.495999999999999</v>
      </c>
      <c r="G2551">
        <v>4</v>
      </c>
      <c r="H2551">
        <v>6.7047999999999996</v>
      </c>
      <c r="I2551">
        <v>5</v>
      </c>
      <c r="J2551">
        <v>2012</v>
      </c>
      <c r="K2551" t="s">
        <v>2206</v>
      </c>
      <c r="L2551" t="str">
        <f>TEXT(maintable_2[[#This Row],[Order Date]],"mmmm")</f>
        <v>July</v>
      </c>
    </row>
    <row r="2552" spans="1:12" x14ac:dyDescent="0.3">
      <c r="A2552" s="1">
        <v>41104</v>
      </c>
      <c r="B2552" s="1">
        <v>41109</v>
      </c>
      <c r="C2552" t="s">
        <v>894</v>
      </c>
      <c r="D2552" t="s">
        <v>71</v>
      </c>
      <c r="E2552" t="s">
        <v>794</v>
      </c>
      <c r="F2552">
        <v>441.92</v>
      </c>
      <c r="G2552">
        <v>2</v>
      </c>
      <c r="H2552">
        <v>49.716000000000001</v>
      </c>
      <c r="I2552">
        <v>5</v>
      </c>
      <c r="J2552">
        <v>2012</v>
      </c>
      <c r="K2552" t="s">
        <v>2206</v>
      </c>
      <c r="L2552" t="str">
        <f>TEXT(maintable_2[[#This Row],[Order Date]],"mmmm")</f>
        <v>July</v>
      </c>
    </row>
    <row r="2553" spans="1:12" x14ac:dyDescent="0.3">
      <c r="A2553" s="1">
        <v>41104</v>
      </c>
      <c r="B2553" s="1">
        <v>41109</v>
      </c>
      <c r="C2553" t="s">
        <v>894</v>
      </c>
      <c r="D2553" t="s">
        <v>196</v>
      </c>
      <c r="E2553" t="s">
        <v>2035</v>
      </c>
      <c r="F2553">
        <v>127.764</v>
      </c>
      <c r="G2553">
        <v>6</v>
      </c>
      <c r="H2553">
        <v>-191.64599999999999</v>
      </c>
      <c r="I2553">
        <v>5</v>
      </c>
      <c r="J2553">
        <v>2012</v>
      </c>
      <c r="K2553" t="s">
        <v>2206</v>
      </c>
      <c r="L2553" t="str">
        <f>TEXT(maintable_2[[#This Row],[Order Date]],"mmmm")</f>
        <v>July</v>
      </c>
    </row>
    <row r="2554" spans="1:12" x14ac:dyDescent="0.3">
      <c r="A2554" s="1">
        <v>40866</v>
      </c>
      <c r="B2554" s="1">
        <v>40871</v>
      </c>
      <c r="C2554" t="s">
        <v>2036</v>
      </c>
      <c r="D2554" t="s">
        <v>44</v>
      </c>
      <c r="E2554" t="s">
        <v>1028</v>
      </c>
      <c r="F2554">
        <v>166.44</v>
      </c>
      <c r="G2554">
        <v>3</v>
      </c>
      <c r="H2554">
        <v>79.891199999999998</v>
      </c>
      <c r="I2554">
        <v>5</v>
      </c>
      <c r="J2554">
        <v>2011</v>
      </c>
      <c r="K2554" t="s">
        <v>2209</v>
      </c>
      <c r="L2554" t="str">
        <f>TEXT(maintable_2[[#This Row],[Order Date]],"mmmm")</f>
        <v>November</v>
      </c>
    </row>
    <row r="2555" spans="1:12" x14ac:dyDescent="0.3">
      <c r="A2555" s="1">
        <v>41422</v>
      </c>
      <c r="B2555" s="1">
        <v>41428</v>
      </c>
      <c r="C2555" t="s">
        <v>1748</v>
      </c>
      <c r="D2555" t="s">
        <v>44</v>
      </c>
      <c r="E2555" t="s">
        <v>798</v>
      </c>
      <c r="F2555">
        <v>13.38</v>
      </c>
      <c r="G2555">
        <v>2</v>
      </c>
      <c r="H2555">
        <v>6.1547999999999998</v>
      </c>
      <c r="I2555">
        <v>6</v>
      </c>
      <c r="J2555">
        <v>2013</v>
      </c>
      <c r="K2555" t="s">
        <v>2208</v>
      </c>
      <c r="L2555" t="str">
        <f>TEXT(maintable_2[[#This Row],[Order Date]],"mmmm")</f>
        <v>May</v>
      </c>
    </row>
    <row r="2556" spans="1:12" x14ac:dyDescent="0.3">
      <c r="A2556" s="1">
        <v>41551</v>
      </c>
      <c r="B2556" s="1">
        <v>41555</v>
      </c>
      <c r="C2556" t="s">
        <v>1937</v>
      </c>
      <c r="D2556" t="s">
        <v>8</v>
      </c>
      <c r="E2556" t="s">
        <v>1388</v>
      </c>
      <c r="F2556">
        <v>6.16</v>
      </c>
      <c r="G2556">
        <v>2</v>
      </c>
      <c r="H2556">
        <v>2.9567999999999999</v>
      </c>
      <c r="I2556">
        <v>4</v>
      </c>
      <c r="J2556">
        <v>2013</v>
      </c>
      <c r="K2556" t="s">
        <v>2209</v>
      </c>
      <c r="L2556" t="str">
        <f>TEXT(maintable_2[[#This Row],[Order Date]],"mmmm")</f>
        <v>October</v>
      </c>
    </row>
    <row r="2557" spans="1:12" x14ac:dyDescent="0.3">
      <c r="A2557" s="1">
        <v>41551</v>
      </c>
      <c r="B2557" s="1">
        <v>41555</v>
      </c>
      <c r="C2557" t="s">
        <v>1937</v>
      </c>
      <c r="D2557" t="s">
        <v>71</v>
      </c>
      <c r="E2557" t="s">
        <v>101</v>
      </c>
      <c r="F2557">
        <v>915.13599999999997</v>
      </c>
      <c r="G2557">
        <v>4</v>
      </c>
      <c r="H2557">
        <v>102.9528</v>
      </c>
      <c r="I2557">
        <v>4</v>
      </c>
      <c r="J2557">
        <v>2013</v>
      </c>
      <c r="K2557" t="s">
        <v>2209</v>
      </c>
      <c r="L2557" t="str">
        <f>TEXT(maintable_2[[#This Row],[Order Date]],"mmmm")</f>
        <v>October</v>
      </c>
    </row>
    <row r="2558" spans="1:12" x14ac:dyDescent="0.3">
      <c r="A2558" s="1">
        <v>41551</v>
      </c>
      <c r="B2558" s="1">
        <v>41555</v>
      </c>
      <c r="C2558" t="s">
        <v>1937</v>
      </c>
      <c r="D2558" t="s">
        <v>44</v>
      </c>
      <c r="E2558" t="s">
        <v>1985</v>
      </c>
      <c r="F2558">
        <v>8.56</v>
      </c>
      <c r="G2558">
        <v>2</v>
      </c>
      <c r="H2558">
        <v>3.8519999999999999</v>
      </c>
      <c r="I2558">
        <v>4</v>
      </c>
      <c r="J2558">
        <v>2013</v>
      </c>
      <c r="K2558" t="s">
        <v>2209</v>
      </c>
      <c r="L2558" t="str">
        <f>TEXT(maintable_2[[#This Row],[Order Date]],"mmmm")</f>
        <v>October</v>
      </c>
    </row>
    <row r="2559" spans="1:12" x14ac:dyDescent="0.3">
      <c r="A2559" s="1">
        <v>41551</v>
      </c>
      <c r="B2559" s="1">
        <v>41555</v>
      </c>
      <c r="C2559" t="s">
        <v>1937</v>
      </c>
      <c r="D2559" t="s">
        <v>44</v>
      </c>
      <c r="E2559" t="s">
        <v>1000</v>
      </c>
      <c r="F2559">
        <v>97.82</v>
      </c>
      <c r="G2559">
        <v>2</v>
      </c>
      <c r="H2559">
        <v>45.9754</v>
      </c>
      <c r="I2559">
        <v>4</v>
      </c>
      <c r="J2559">
        <v>2013</v>
      </c>
      <c r="K2559" t="s">
        <v>2209</v>
      </c>
      <c r="L2559" t="str">
        <f>TEXT(maintable_2[[#This Row],[Order Date]],"mmmm")</f>
        <v>October</v>
      </c>
    </row>
    <row r="2560" spans="1:12" x14ac:dyDescent="0.3">
      <c r="A2560" s="1">
        <v>41892</v>
      </c>
      <c r="B2560" s="1">
        <v>41898</v>
      </c>
      <c r="C2560" t="s">
        <v>597</v>
      </c>
      <c r="D2560" t="s">
        <v>44</v>
      </c>
      <c r="E2560" t="s">
        <v>1447</v>
      </c>
      <c r="F2560">
        <v>31.103999999999999</v>
      </c>
      <c r="G2560">
        <v>6</v>
      </c>
      <c r="H2560">
        <v>11.2752</v>
      </c>
      <c r="I2560">
        <v>6</v>
      </c>
      <c r="J2560">
        <v>2014</v>
      </c>
      <c r="K2560" t="s">
        <v>2209</v>
      </c>
      <c r="L2560" t="str">
        <f>TEXT(maintable_2[[#This Row],[Order Date]],"mmmm")</f>
        <v>September</v>
      </c>
    </row>
    <row r="2561" spans="1:12" x14ac:dyDescent="0.3">
      <c r="A2561" s="1">
        <v>41892</v>
      </c>
      <c r="B2561" s="1">
        <v>41898</v>
      </c>
      <c r="C2561" t="s">
        <v>597</v>
      </c>
      <c r="D2561" t="s">
        <v>19</v>
      </c>
      <c r="E2561" t="s">
        <v>2037</v>
      </c>
      <c r="F2561">
        <v>11.176</v>
      </c>
      <c r="G2561">
        <v>1</v>
      </c>
      <c r="H2561">
        <v>0.83819999999999995</v>
      </c>
      <c r="I2561">
        <v>6</v>
      </c>
      <c r="J2561">
        <v>2014</v>
      </c>
      <c r="K2561" t="s">
        <v>2209</v>
      </c>
      <c r="L2561" t="str">
        <f>TEXT(maintable_2[[#This Row],[Order Date]],"mmmm")</f>
        <v>September</v>
      </c>
    </row>
    <row r="2562" spans="1:12" x14ac:dyDescent="0.3">
      <c r="A2562" s="1">
        <v>41977</v>
      </c>
      <c r="B2562" s="1">
        <v>41980</v>
      </c>
      <c r="C2562" t="s">
        <v>61</v>
      </c>
      <c r="D2562" t="s">
        <v>13</v>
      </c>
      <c r="E2562" t="s">
        <v>898</v>
      </c>
      <c r="F2562">
        <v>13.343999999999999</v>
      </c>
      <c r="G2562">
        <v>6</v>
      </c>
      <c r="H2562">
        <v>1.0007999999999999</v>
      </c>
      <c r="I2562">
        <v>3</v>
      </c>
      <c r="J2562">
        <v>2014</v>
      </c>
      <c r="K2562" t="s">
        <v>2207</v>
      </c>
      <c r="L2562" t="str">
        <f>TEXT(maintable_2[[#This Row],[Order Date]],"mmmm")</f>
        <v>December</v>
      </c>
    </row>
    <row r="2563" spans="1:12" x14ac:dyDescent="0.3">
      <c r="A2563" s="1">
        <v>41977</v>
      </c>
      <c r="B2563" s="1">
        <v>41980</v>
      </c>
      <c r="C2563" t="s">
        <v>61</v>
      </c>
      <c r="D2563" t="s">
        <v>37</v>
      </c>
      <c r="E2563" t="s">
        <v>1846</v>
      </c>
      <c r="F2563">
        <v>76.751999999999995</v>
      </c>
      <c r="G2563">
        <v>6</v>
      </c>
      <c r="H2563">
        <v>10.5534</v>
      </c>
      <c r="I2563">
        <v>3</v>
      </c>
      <c r="J2563">
        <v>2014</v>
      </c>
      <c r="K2563" t="s">
        <v>2207</v>
      </c>
      <c r="L2563" t="str">
        <f>TEXT(maintable_2[[#This Row],[Order Date]],"mmmm")</f>
        <v>December</v>
      </c>
    </row>
    <row r="2564" spans="1:12" x14ac:dyDescent="0.3">
      <c r="A2564" s="1">
        <v>41977</v>
      </c>
      <c r="B2564" s="1">
        <v>41980</v>
      </c>
      <c r="C2564" t="s">
        <v>61</v>
      </c>
      <c r="D2564" t="s">
        <v>37</v>
      </c>
      <c r="E2564" t="s">
        <v>1846</v>
      </c>
      <c r="F2564">
        <v>102.336</v>
      </c>
      <c r="G2564">
        <v>8</v>
      </c>
      <c r="H2564">
        <v>14.071199999999999</v>
      </c>
      <c r="I2564">
        <v>3</v>
      </c>
      <c r="J2564">
        <v>2014</v>
      </c>
      <c r="K2564" t="s">
        <v>2207</v>
      </c>
      <c r="L2564" t="str">
        <f>TEXT(maintable_2[[#This Row],[Order Date]],"mmmm")</f>
        <v>December</v>
      </c>
    </row>
    <row r="2565" spans="1:12" x14ac:dyDescent="0.3">
      <c r="A2565" s="1">
        <v>41977</v>
      </c>
      <c r="B2565" s="1">
        <v>41980</v>
      </c>
      <c r="C2565" t="s">
        <v>61</v>
      </c>
      <c r="D2565" t="s">
        <v>44</v>
      </c>
      <c r="E2565" t="s">
        <v>1032</v>
      </c>
      <c r="F2565">
        <v>10.32</v>
      </c>
      <c r="G2565">
        <v>2</v>
      </c>
      <c r="H2565">
        <v>3.7410000000000001</v>
      </c>
      <c r="I2565">
        <v>3</v>
      </c>
      <c r="J2565">
        <v>2014</v>
      </c>
      <c r="K2565" t="s">
        <v>2207</v>
      </c>
      <c r="L2565" t="str">
        <f>TEXT(maintable_2[[#This Row],[Order Date]],"mmmm")</f>
        <v>December</v>
      </c>
    </row>
    <row r="2566" spans="1:12" x14ac:dyDescent="0.3">
      <c r="A2566" s="1">
        <v>41977</v>
      </c>
      <c r="B2566" s="1">
        <v>41980</v>
      </c>
      <c r="C2566" t="s">
        <v>61</v>
      </c>
      <c r="D2566" t="s">
        <v>81</v>
      </c>
      <c r="E2566" t="s">
        <v>1283</v>
      </c>
      <c r="F2566">
        <v>47.32</v>
      </c>
      <c r="G2566">
        <v>7</v>
      </c>
      <c r="H2566">
        <v>5.915</v>
      </c>
      <c r="I2566">
        <v>3</v>
      </c>
      <c r="J2566">
        <v>2014</v>
      </c>
      <c r="K2566" t="s">
        <v>2207</v>
      </c>
      <c r="L2566" t="str">
        <f>TEXT(maintable_2[[#This Row],[Order Date]],"mmmm")</f>
        <v>December</v>
      </c>
    </row>
    <row r="2567" spans="1:12" x14ac:dyDescent="0.3">
      <c r="A2567" s="1">
        <v>41977</v>
      </c>
      <c r="B2567" s="1">
        <v>41980</v>
      </c>
      <c r="C2567" t="s">
        <v>61</v>
      </c>
      <c r="D2567" t="s">
        <v>11</v>
      </c>
      <c r="E2567" t="s">
        <v>105</v>
      </c>
      <c r="F2567">
        <v>23.376000000000001</v>
      </c>
      <c r="G2567">
        <v>3</v>
      </c>
      <c r="H2567">
        <v>7.0128000000000004</v>
      </c>
      <c r="I2567">
        <v>3</v>
      </c>
      <c r="J2567">
        <v>2014</v>
      </c>
      <c r="K2567" t="s">
        <v>2207</v>
      </c>
      <c r="L2567" t="str">
        <f>TEXT(maintable_2[[#This Row],[Order Date]],"mmmm")</f>
        <v>December</v>
      </c>
    </row>
    <row r="2568" spans="1:12" x14ac:dyDescent="0.3">
      <c r="A2568" s="1">
        <v>41977</v>
      </c>
      <c r="B2568" s="1">
        <v>41980</v>
      </c>
      <c r="C2568" t="s">
        <v>61</v>
      </c>
      <c r="D2568" t="s">
        <v>11</v>
      </c>
      <c r="E2568" t="s">
        <v>633</v>
      </c>
      <c r="F2568">
        <v>16.72</v>
      </c>
      <c r="G2568">
        <v>5</v>
      </c>
      <c r="H2568">
        <v>3.3439999999999999</v>
      </c>
      <c r="I2568">
        <v>3</v>
      </c>
      <c r="J2568">
        <v>2014</v>
      </c>
      <c r="K2568" t="s">
        <v>2207</v>
      </c>
      <c r="L2568" t="str">
        <f>TEXT(maintable_2[[#This Row],[Order Date]],"mmmm")</f>
        <v>December</v>
      </c>
    </row>
    <row r="2569" spans="1:12" x14ac:dyDescent="0.3">
      <c r="A2569" s="1">
        <v>41977</v>
      </c>
      <c r="B2569" s="1">
        <v>41980</v>
      </c>
      <c r="C2569" t="s">
        <v>61</v>
      </c>
      <c r="D2569" t="s">
        <v>11</v>
      </c>
      <c r="E2569" t="s">
        <v>2038</v>
      </c>
      <c r="F2569">
        <v>16.192</v>
      </c>
      <c r="G2569">
        <v>1</v>
      </c>
      <c r="H2569">
        <v>4.6551999999999998</v>
      </c>
      <c r="I2569">
        <v>3</v>
      </c>
      <c r="J2569">
        <v>2014</v>
      </c>
      <c r="K2569" t="s">
        <v>2207</v>
      </c>
      <c r="L2569" t="str">
        <f>TEXT(maintable_2[[#This Row],[Order Date]],"mmmm")</f>
        <v>December</v>
      </c>
    </row>
    <row r="2570" spans="1:12" x14ac:dyDescent="0.3">
      <c r="A2570" s="1">
        <v>41503</v>
      </c>
      <c r="B2570" s="1">
        <v>41509</v>
      </c>
      <c r="C2570" t="s">
        <v>222</v>
      </c>
      <c r="D2570" t="s">
        <v>44</v>
      </c>
      <c r="E2570" t="s">
        <v>406</v>
      </c>
      <c r="F2570">
        <v>32.4</v>
      </c>
      <c r="G2570">
        <v>5</v>
      </c>
      <c r="H2570">
        <v>15.552</v>
      </c>
      <c r="I2570">
        <v>6</v>
      </c>
      <c r="J2570">
        <v>2013</v>
      </c>
      <c r="K2570" t="s">
        <v>2206</v>
      </c>
      <c r="L2570" t="str">
        <f>TEXT(maintable_2[[#This Row],[Order Date]],"mmmm")</f>
        <v>August</v>
      </c>
    </row>
    <row r="2571" spans="1:12" x14ac:dyDescent="0.3">
      <c r="A2571" s="1">
        <v>41486</v>
      </c>
      <c r="B2571" s="1">
        <v>41489</v>
      </c>
      <c r="C2571" t="s">
        <v>412</v>
      </c>
      <c r="D2571" t="s">
        <v>19</v>
      </c>
      <c r="E2571" t="s">
        <v>2039</v>
      </c>
      <c r="F2571">
        <v>715.64</v>
      </c>
      <c r="G2571">
        <v>2</v>
      </c>
      <c r="H2571">
        <v>178.91</v>
      </c>
      <c r="I2571">
        <v>3</v>
      </c>
      <c r="J2571">
        <v>2013</v>
      </c>
      <c r="K2571" t="s">
        <v>2206</v>
      </c>
      <c r="L2571" t="str">
        <f>TEXT(maintable_2[[#This Row],[Order Date]],"mmmm")</f>
        <v>July</v>
      </c>
    </row>
    <row r="2572" spans="1:12" x14ac:dyDescent="0.3">
      <c r="A2572" s="1">
        <v>41612</v>
      </c>
      <c r="B2572" s="1">
        <v>41616</v>
      </c>
      <c r="C2572" t="s">
        <v>1856</v>
      </c>
      <c r="D2572" t="s">
        <v>21</v>
      </c>
      <c r="E2572" t="s">
        <v>480</v>
      </c>
      <c r="F2572">
        <v>268.70400000000001</v>
      </c>
      <c r="G2572">
        <v>3</v>
      </c>
      <c r="H2572">
        <v>6.7176</v>
      </c>
      <c r="I2572">
        <v>4</v>
      </c>
      <c r="J2572">
        <v>2013</v>
      </c>
      <c r="K2572" t="s">
        <v>2207</v>
      </c>
      <c r="L2572" t="str">
        <f>TEXT(maintable_2[[#This Row],[Order Date]],"mmmm")</f>
        <v>December</v>
      </c>
    </row>
    <row r="2573" spans="1:12" x14ac:dyDescent="0.3">
      <c r="A2573" s="1">
        <v>41612</v>
      </c>
      <c r="B2573" s="1">
        <v>41616</v>
      </c>
      <c r="C2573" t="s">
        <v>1856</v>
      </c>
      <c r="D2573" t="s">
        <v>13</v>
      </c>
      <c r="E2573" t="s">
        <v>2040</v>
      </c>
      <c r="F2573">
        <v>21.92</v>
      </c>
      <c r="G2573">
        <v>8</v>
      </c>
      <c r="H2573">
        <v>5.9184000000000001</v>
      </c>
      <c r="I2573">
        <v>4</v>
      </c>
      <c r="J2573">
        <v>2013</v>
      </c>
      <c r="K2573" t="s">
        <v>2207</v>
      </c>
      <c r="L2573" t="str">
        <f>TEXT(maintable_2[[#This Row],[Order Date]],"mmmm")</f>
        <v>December</v>
      </c>
    </row>
    <row r="2574" spans="1:12" x14ac:dyDescent="0.3">
      <c r="A2574" s="1">
        <v>41612</v>
      </c>
      <c r="B2574" s="1">
        <v>41616</v>
      </c>
      <c r="C2574" t="s">
        <v>1856</v>
      </c>
      <c r="D2574" t="s">
        <v>27</v>
      </c>
      <c r="E2574" t="s">
        <v>2041</v>
      </c>
      <c r="F2574">
        <v>48.72</v>
      </c>
      <c r="G2574">
        <v>3</v>
      </c>
      <c r="H2574">
        <v>7.3079999999999998</v>
      </c>
      <c r="I2574">
        <v>4</v>
      </c>
      <c r="J2574">
        <v>2013</v>
      </c>
      <c r="K2574" t="s">
        <v>2207</v>
      </c>
      <c r="L2574" t="str">
        <f>TEXT(maintable_2[[#This Row],[Order Date]],"mmmm")</f>
        <v>December</v>
      </c>
    </row>
    <row r="2575" spans="1:12" x14ac:dyDescent="0.3">
      <c r="A2575" s="1">
        <v>41612</v>
      </c>
      <c r="B2575" s="1">
        <v>41616</v>
      </c>
      <c r="C2575" t="s">
        <v>1856</v>
      </c>
      <c r="D2575" t="s">
        <v>196</v>
      </c>
      <c r="E2575" t="s">
        <v>234</v>
      </c>
      <c r="F2575">
        <v>205.666</v>
      </c>
      <c r="G2575">
        <v>2</v>
      </c>
      <c r="H2575">
        <v>-12.098000000000001</v>
      </c>
      <c r="I2575">
        <v>4</v>
      </c>
      <c r="J2575">
        <v>2013</v>
      </c>
      <c r="K2575" t="s">
        <v>2207</v>
      </c>
      <c r="L2575" t="str">
        <f>TEXT(maintable_2[[#This Row],[Order Date]],"mmmm")</f>
        <v>December</v>
      </c>
    </row>
    <row r="2576" spans="1:12" x14ac:dyDescent="0.3">
      <c r="A2576" s="1">
        <v>41094</v>
      </c>
      <c r="B2576" s="1">
        <v>41098</v>
      </c>
      <c r="C2576" t="s">
        <v>1718</v>
      </c>
      <c r="D2576" t="s">
        <v>17</v>
      </c>
      <c r="E2576" t="s">
        <v>1132</v>
      </c>
      <c r="F2576">
        <v>22.847999999999999</v>
      </c>
      <c r="G2576">
        <v>2</v>
      </c>
      <c r="H2576">
        <v>7.4256000000000002</v>
      </c>
      <c r="I2576">
        <v>4</v>
      </c>
      <c r="J2576">
        <v>2012</v>
      </c>
      <c r="K2576" t="s">
        <v>2206</v>
      </c>
      <c r="L2576" t="str">
        <f>TEXT(maintable_2[[#This Row],[Order Date]],"mmmm")</f>
        <v>July</v>
      </c>
    </row>
    <row r="2577" spans="1:12" x14ac:dyDescent="0.3">
      <c r="A2577" s="1">
        <v>41471</v>
      </c>
      <c r="B2577" s="1">
        <v>41476</v>
      </c>
      <c r="C2577" t="s">
        <v>2042</v>
      </c>
      <c r="D2577" t="s">
        <v>71</v>
      </c>
      <c r="E2577" t="s">
        <v>204</v>
      </c>
      <c r="F2577">
        <v>230.28</v>
      </c>
      <c r="G2577">
        <v>3</v>
      </c>
      <c r="H2577">
        <v>23.027999999999999</v>
      </c>
      <c r="I2577">
        <v>5</v>
      </c>
      <c r="J2577">
        <v>2013</v>
      </c>
      <c r="K2577" t="s">
        <v>2206</v>
      </c>
      <c r="L2577" t="str">
        <f>TEXT(maintable_2[[#This Row],[Order Date]],"mmmm")</f>
        <v>July</v>
      </c>
    </row>
    <row r="2578" spans="1:12" x14ac:dyDescent="0.3">
      <c r="A2578" s="1">
        <v>41471</v>
      </c>
      <c r="B2578" s="1">
        <v>41476</v>
      </c>
      <c r="C2578" t="s">
        <v>2042</v>
      </c>
      <c r="D2578" t="s">
        <v>44</v>
      </c>
      <c r="E2578" t="s">
        <v>1558</v>
      </c>
      <c r="F2578">
        <v>105.52</v>
      </c>
      <c r="G2578">
        <v>5</v>
      </c>
      <c r="H2578">
        <v>34.293999999999997</v>
      </c>
      <c r="I2578">
        <v>5</v>
      </c>
      <c r="J2578">
        <v>2013</v>
      </c>
      <c r="K2578" t="s">
        <v>2206</v>
      </c>
      <c r="L2578" t="str">
        <f>TEXT(maintable_2[[#This Row],[Order Date]],"mmmm")</f>
        <v>July</v>
      </c>
    </row>
    <row r="2579" spans="1:12" x14ac:dyDescent="0.3">
      <c r="A2579" s="1">
        <v>41869</v>
      </c>
      <c r="B2579" s="1">
        <v>41876</v>
      </c>
      <c r="C2579" t="s">
        <v>591</v>
      </c>
      <c r="D2579" t="s">
        <v>86</v>
      </c>
      <c r="E2579" t="s">
        <v>105</v>
      </c>
      <c r="F2579">
        <v>23.36</v>
      </c>
      <c r="G2579">
        <v>2</v>
      </c>
      <c r="H2579">
        <v>11.68</v>
      </c>
      <c r="I2579">
        <v>7</v>
      </c>
      <c r="J2579">
        <v>2014</v>
      </c>
      <c r="K2579" t="s">
        <v>2206</v>
      </c>
      <c r="L2579" t="str">
        <f>TEXT(maintable_2[[#This Row],[Order Date]],"mmmm")</f>
        <v>August</v>
      </c>
    </row>
    <row r="2580" spans="1:12" x14ac:dyDescent="0.3">
      <c r="A2580" s="1">
        <v>41869</v>
      </c>
      <c r="B2580" s="1">
        <v>41876</v>
      </c>
      <c r="C2580" t="s">
        <v>591</v>
      </c>
      <c r="D2580" t="s">
        <v>15</v>
      </c>
      <c r="E2580" t="s">
        <v>1757</v>
      </c>
      <c r="F2580">
        <v>71.975999999999999</v>
      </c>
      <c r="G2580">
        <v>3</v>
      </c>
      <c r="H2580">
        <v>8.9969999999999999</v>
      </c>
      <c r="I2580">
        <v>7</v>
      </c>
      <c r="J2580">
        <v>2014</v>
      </c>
      <c r="K2580" t="s">
        <v>2206</v>
      </c>
      <c r="L2580" t="str">
        <f>TEXT(maintable_2[[#This Row],[Order Date]],"mmmm")</f>
        <v>August</v>
      </c>
    </row>
    <row r="2581" spans="1:12" x14ac:dyDescent="0.3">
      <c r="A2581" s="1">
        <v>41869</v>
      </c>
      <c r="B2581" s="1">
        <v>41876</v>
      </c>
      <c r="C2581" t="s">
        <v>591</v>
      </c>
      <c r="D2581" t="s">
        <v>44</v>
      </c>
      <c r="E2581" t="s">
        <v>732</v>
      </c>
      <c r="F2581">
        <v>8.56</v>
      </c>
      <c r="G2581">
        <v>2</v>
      </c>
      <c r="H2581">
        <v>3.8519999999999999</v>
      </c>
      <c r="I2581">
        <v>7</v>
      </c>
      <c r="J2581">
        <v>2014</v>
      </c>
      <c r="K2581" t="s">
        <v>2206</v>
      </c>
      <c r="L2581" t="str">
        <f>TEXT(maintable_2[[#This Row],[Order Date]],"mmmm")</f>
        <v>August</v>
      </c>
    </row>
    <row r="2582" spans="1:12" x14ac:dyDescent="0.3">
      <c r="A2582" s="1">
        <v>41869</v>
      </c>
      <c r="B2582" s="1">
        <v>41876</v>
      </c>
      <c r="C2582" t="s">
        <v>591</v>
      </c>
      <c r="D2582" t="s">
        <v>17</v>
      </c>
      <c r="E2582" t="s">
        <v>1111</v>
      </c>
      <c r="F2582">
        <v>13.92</v>
      </c>
      <c r="G2582">
        <v>3</v>
      </c>
      <c r="H2582">
        <v>4.8719999999999999</v>
      </c>
      <c r="I2582">
        <v>7</v>
      </c>
      <c r="J2582">
        <v>2014</v>
      </c>
      <c r="K2582" t="s">
        <v>2206</v>
      </c>
      <c r="L2582" t="str">
        <f>TEXT(maintable_2[[#This Row],[Order Date]],"mmmm")</f>
        <v>August</v>
      </c>
    </row>
    <row r="2583" spans="1:12" x14ac:dyDescent="0.3">
      <c r="A2583" s="1">
        <v>41869</v>
      </c>
      <c r="B2583" s="1">
        <v>41876</v>
      </c>
      <c r="C2583" t="s">
        <v>591</v>
      </c>
      <c r="D2583" t="s">
        <v>19</v>
      </c>
      <c r="E2583" t="s">
        <v>2043</v>
      </c>
      <c r="F2583">
        <v>2518.29</v>
      </c>
      <c r="G2583">
        <v>9</v>
      </c>
      <c r="H2583">
        <v>654.75540000000001</v>
      </c>
      <c r="I2583">
        <v>7</v>
      </c>
      <c r="J2583">
        <v>2014</v>
      </c>
      <c r="K2583" t="s">
        <v>2206</v>
      </c>
      <c r="L2583" t="str">
        <f>TEXT(maintable_2[[#This Row],[Order Date]],"mmmm")</f>
        <v>August</v>
      </c>
    </row>
    <row r="2584" spans="1:12" x14ac:dyDescent="0.3">
      <c r="A2584" s="1">
        <v>41869</v>
      </c>
      <c r="B2584" s="1">
        <v>41876</v>
      </c>
      <c r="C2584" t="s">
        <v>591</v>
      </c>
      <c r="D2584" t="s">
        <v>27</v>
      </c>
      <c r="E2584" t="s">
        <v>415</v>
      </c>
      <c r="F2584">
        <v>540.57000000000005</v>
      </c>
      <c r="G2584">
        <v>3</v>
      </c>
      <c r="H2584">
        <v>140.54820000000001</v>
      </c>
      <c r="I2584">
        <v>7</v>
      </c>
      <c r="J2584">
        <v>2014</v>
      </c>
      <c r="K2584" t="s">
        <v>2206</v>
      </c>
      <c r="L2584" t="str">
        <f>TEXT(maintable_2[[#This Row],[Order Date]],"mmmm")</f>
        <v>August</v>
      </c>
    </row>
    <row r="2585" spans="1:12" x14ac:dyDescent="0.3">
      <c r="A2585" s="1">
        <v>41869</v>
      </c>
      <c r="B2585" s="1">
        <v>41876</v>
      </c>
      <c r="C2585" t="s">
        <v>591</v>
      </c>
      <c r="D2585" t="s">
        <v>17</v>
      </c>
      <c r="E2585" t="s">
        <v>651</v>
      </c>
      <c r="F2585">
        <v>221.05600000000001</v>
      </c>
      <c r="G2585">
        <v>8</v>
      </c>
      <c r="H2585">
        <v>77.369600000000005</v>
      </c>
      <c r="I2585">
        <v>7</v>
      </c>
      <c r="J2585">
        <v>2014</v>
      </c>
      <c r="K2585" t="s">
        <v>2206</v>
      </c>
      <c r="L2585" t="str">
        <f>TEXT(maintable_2[[#This Row],[Order Date]],"mmmm")</f>
        <v>August</v>
      </c>
    </row>
    <row r="2586" spans="1:12" x14ac:dyDescent="0.3">
      <c r="A2586" s="1">
        <v>41623</v>
      </c>
      <c r="B2586" s="1">
        <v>41626</v>
      </c>
      <c r="C2586" t="s">
        <v>1484</v>
      </c>
      <c r="D2586" t="s">
        <v>71</v>
      </c>
      <c r="E2586" t="s">
        <v>72</v>
      </c>
      <c r="F2586">
        <v>81.424000000000007</v>
      </c>
      <c r="G2586">
        <v>2</v>
      </c>
      <c r="H2586">
        <v>-9.1601999999999997</v>
      </c>
      <c r="I2586">
        <v>3</v>
      </c>
      <c r="J2586">
        <v>2013</v>
      </c>
      <c r="K2586" t="s">
        <v>2207</v>
      </c>
      <c r="L2586" t="str">
        <f>TEXT(maintable_2[[#This Row],[Order Date]],"mmmm")</f>
        <v>December</v>
      </c>
    </row>
    <row r="2587" spans="1:12" x14ac:dyDescent="0.3">
      <c r="A2587" s="1">
        <v>41623</v>
      </c>
      <c r="B2587" s="1">
        <v>41626</v>
      </c>
      <c r="C2587" t="s">
        <v>1484</v>
      </c>
      <c r="D2587" t="s">
        <v>27</v>
      </c>
      <c r="E2587" t="s">
        <v>97</v>
      </c>
      <c r="F2587">
        <v>134.80000000000001</v>
      </c>
      <c r="G2587">
        <v>10</v>
      </c>
      <c r="H2587">
        <v>35.048000000000002</v>
      </c>
      <c r="I2587">
        <v>3</v>
      </c>
      <c r="J2587">
        <v>2013</v>
      </c>
      <c r="K2587" t="s">
        <v>2207</v>
      </c>
      <c r="L2587" t="str">
        <f>TEXT(maintable_2[[#This Row],[Order Date]],"mmmm")</f>
        <v>December</v>
      </c>
    </row>
    <row r="2588" spans="1:12" x14ac:dyDescent="0.3">
      <c r="A2588" s="1">
        <v>41918</v>
      </c>
      <c r="B2588" s="1">
        <v>41923</v>
      </c>
      <c r="C2588" t="s">
        <v>490</v>
      </c>
      <c r="D2588" t="s">
        <v>71</v>
      </c>
      <c r="E2588" t="s">
        <v>979</v>
      </c>
      <c r="F2588">
        <v>435.16800000000001</v>
      </c>
      <c r="G2588">
        <v>4</v>
      </c>
      <c r="H2588">
        <v>-59.835599999999999</v>
      </c>
      <c r="I2588">
        <v>5</v>
      </c>
      <c r="J2588">
        <v>2014</v>
      </c>
      <c r="K2588" t="s">
        <v>2209</v>
      </c>
      <c r="L2588" t="str">
        <f>TEXT(maintable_2[[#This Row],[Order Date]],"mmmm")</f>
        <v>October</v>
      </c>
    </row>
    <row r="2589" spans="1:12" x14ac:dyDescent="0.3">
      <c r="A2589" s="1">
        <v>41918</v>
      </c>
      <c r="B2589" s="1">
        <v>41923</v>
      </c>
      <c r="C2589" t="s">
        <v>490</v>
      </c>
      <c r="D2589" t="s">
        <v>78</v>
      </c>
      <c r="E2589" t="s">
        <v>105</v>
      </c>
      <c r="F2589">
        <v>14.9</v>
      </c>
      <c r="G2589">
        <v>5</v>
      </c>
      <c r="H2589">
        <v>6.8540000000000001</v>
      </c>
      <c r="I2589">
        <v>5</v>
      </c>
      <c r="J2589">
        <v>2014</v>
      </c>
      <c r="K2589" t="s">
        <v>2209</v>
      </c>
      <c r="L2589" t="str">
        <f>TEXT(maintable_2[[#This Row],[Order Date]],"mmmm")</f>
        <v>October</v>
      </c>
    </row>
    <row r="2590" spans="1:12" x14ac:dyDescent="0.3">
      <c r="A2590" s="1">
        <v>41918</v>
      </c>
      <c r="B2590" s="1">
        <v>41923</v>
      </c>
      <c r="C2590" t="s">
        <v>490</v>
      </c>
      <c r="D2590" t="s">
        <v>19</v>
      </c>
      <c r="E2590" t="s">
        <v>1480</v>
      </c>
      <c r="F2590">
        <v>15.8</v>
      </c>
      <c r="G2590">
        <v>4</v>
      </c>
      <c r="H2590">
        <v>4.1079999999999997</v>
      </c>
      <c r="I2590">
        <v>5</v>
      </c>
      <c r="J2590">
        <v>2014</v>
      </c>
      <c r="K2590" t="s">
        <v>2209</v>
      </c>
      <c r="L2590" t="str">
        <f>TEXT(maintable_2[[#This Row],[Order Date]],"mmmm")</f>
        <v>October</v>
      </c>
    </row>
    <row r="2591" spans="1:12" x14ac:dyDescent="0.3">
      <c r="A2591" s="1">
        <v>41918</v>
      </c>
      <c r="B2591" s="1">
        <v>41923</v>
      </c>
      <c r="C2591" t="s">
        <v>490</v>
      </c>
      <c r="D2591" t="s">
        <v>11</v>
      </c>
      <c r="E2591" t="s">
        <v>2044</v>
      </c>
      <c r="F2591">
        <v>72.900000000000006</v>
      </c>
      <c r="G2591">
        <v>5</v>
      </c>
      <c r="H2591">
        <v>26.972999999999999</v>
      </c>
      <c r="I2591">
        <v>5</v>
      </c>
      <c r="J2591">
        <v>2014</v>
      </c>
      <c r="K2591" t="s">
        <v>2209</v>
      </c>
      <c r="L2591" t="str">
        <f>TEXT(maintable_2[[#This Row],[Order Date]],"mmmm")</f>
        <v>October</v>
      </c>
    </row>
    <row r="2592" spans="1:12" x14ac:dyDescent="0.3">
      <c r="A2592" s="1">
        <v>41918</v>
      </c>
      <c r="B2592" s="1">
        <v>41923</v>
      </c>
      <c r="C2592" t="s">
        <v>490</v>
      </c>
      <c r="D2592" t="s">
        <v>21</v>
      </c>
      <c r="E2592" t="s">
        <v>655</v>
      </c>
      <c r="F2592">
        <v>206.352</v>
      </c>
      <c r="G2592">
        <v>3</v>
      </c>
      <c r="H2592">
        <v>5.1588000000000003</v>
      </c>
      <c r="I2592">
        <v>5</v>
      </c>
      <c r="J2592">
        <v>2014</v>
      </c>
      <c r="K2592" t="s">
        <v>2209</v>
      </c>
      <c r="L2592" t="str">
        <f>TEXT(maintable_2[[#This Row],[Order Date]],"mmmm")</f>
        <v>October</v>
      </c>
    </row>
    <row r="2593" spans="1:12" x14ac:dyDescent="0.3">
      <c r="A2593" s="1">
        <v>41918</v>
      </c>
      <c r="B2593" s="1">
        <v>41923</v>
      </c>
      <c r="C2593" t="s">
        <v>490</v>
      </c>
      <c r="D2593" t="s">
        <v>15</v>
      </c>
      <c r="E2593" t="s">
        <v>956</v>
      </c>
      <c r="F2593">
        <v>7.992</v>
      </c>
      <c r="G2593">
        <v>1</v>
      </c>
      <c r="H2593">
        <v>2.6972999999999998</v>
      </c>
      <c r="I2593">
        <v>5</v>
      </c>
      <c r="J2593">
        <v>2014</v>
      </c>
      <c r="K2593" t="s">
        <v>2209</v>
      </c>
      <c r="L2593" t="str">
        <f>TEXT(maintable_2[[#This Row],[Order Date]],"mmmm")</f>
        <v>October</v>
      </c>
    </row>
    <row r="2594" spans="1:12" x14ac:dyDescent="0.3">
      <c r="A2594" s="1">
        <v>40991</v>
      </c>
      <c r="B2594" s="1">
        <v>40998</v>
      </c>
      <c r="C2594" t="s">
        <v>1427</v>
      </c>
      <c r="D2594" t="s">
        <v>44</v>
      </c>
      <c r="E2594" t="s">
        <v>935</v>
      </c>
      <c r="F2594">
        <v>33.36</v>
      </c>
      <c r="G2594">
        <v>4</v>
      </c>
      <c r="H2594">
        <v>16.68</v>
      </c>
      <c r="I2594">
        <v>7</v>
      </c>
      <c r="J2594">
        <v>2012</v>
      </c>
      <c r="K2594" t="s">
        <v>2208</v>
      </c>
      <c r="L2594" t="str">
        <f>TEXT(maintable_2[[#This Row],[Order Date]],"mmmm")</f>
        <v>March</v>
      </c>
    </row>
    <row r="2595" spans="1:12" x14ac:dyDescent="0.3">
      <c r="A2595" s="1">
        <v>41558</v>
      </c>
      <c r="B2595" s="1">
        <v>41560</v>
      </c>
      <c r="C2595" t="s">
        <v>2045</v>
      </c>
      <c r="D2595" t="s">
        <v>196</v>
      </c>
      <c r="E2595" t="s">
        <v>2046</v>
      </c>
      <c r="F2595">
        <v>90.882000000000005</v>
      </c>
      <c r="G2595">
        <v>3</v>
      </c>
      <c r="H2595">
        <v>-190.85220000000001</v>
      </c>
      <c r="I2595">
        <v>2</v>
      </c>
      <c r="J2595">
        <v>2013</v>
      </c>
      <c r="K2595" t="s">
        <v>2209</v>
      </c>
      <c r="L2595" t="str">
        <f>TEXT(maintable_2[[#This Row],[Order Date]],"mmmm")</f>
        <v>October</v>
      </c>
    </row>
    <row r="2596" spans="1:12" x14ac:dyDescent="0.3">
      <c r="A2596" s="1">
        <v>41558</v>
      </c>
      <c r="B2596" s="1">
        <v>41560</v>
      </c>
      <c r="C2596" t="s">
        <v>2045</v>
      </c>
      <c r="D2596" t="s">
        <v>15</v>
      </c>
      <c r="E2596" t="s">
        <v>2047</v>
      </c>
      <c r="F2596">
        <v>15.992000000000001</v>
      </c>
      <c r="G2596">
        <v>1</v>
      </c>
      <c r="H2596">
        <v>-2.9984999999999999</v>
      </c>
      <c r="I2596">
        <v>2</v>
      </c>
      <c r="J2596">
        <v>2013</v>
      </c>
      <c r="K2596" t="s">
        <v>2209</v>
      </c>
      <c r="L2596" t="str">
        <f>TEXT(maintable_2[[#This Row],[Order Date]],"mmmm")</f>
        <v>October</v>
      </c>
    </row>
    <row r="2597" spans="1:12" x14ac:dyDescent="0.3">
      <c r="A2597" s="1">
        <v>41558</v>
      </c>
      <c r="B2597" s="1">
        <v>41560</v>
      </c>
      <c r="C2597" t="s">
        <v>2045</v>
      </c>
      <c r="D2597" t="s">
        <v>71</v>
      </c>
      <c r="E2597" t="s">
        <v>1995</v>
      </c>
      <c r="F2597">
        <v>120.78400000000001</v>
      </c>
      <c r="G2597">
        <v>1</v>
      </c>
      <c r="H2597">
        <v>13.588200000000001</v>
      </c>
      <c r="I2597">
        <v>2</v>
      </c>
      <c r="J2597">
        <v>2013</v>
      </c>
      <c r="K2597" t="s">
        <v>2209</v>
      </c>
      <c r="L2597" t="str">
        <f>TEXT(maintable_2[[#This Row],[Order Date]],"mmmm")</f>
        <v>October</v>
      </c>
    </row>
    <row r="2598" spans="1:12" x14ac:dyDescent="0.3">
      <c r="A2598" s="1">
        <v>41148</v>
      </c>
      <c r="B2598" s="1">
        <v>41152</v>
      </c>
      <c r="C2598" t="s">
        <v>1163</v>
      </c>
      <c r="D2598" t="s">
        <v>17</v>
      </c>
      <c r="E2598" t="s">
        <v>2048</v>
      </c>
      <c r="F2598">
        <v>5.1040000000000001</v>
      </c>
      <c r="G2598">
        <v>1</v>
      </c>
      <c r="H2598">
        <v>1.6588000000000001</v>
      </c>
      <c r="I2598">
        <v>4</v>
      </c>
      <c r="J2598">
        <v>2012</v>
      </c>
      <c r="K2598" t="s">
        <v>2206</v>
      </c>
      <c r="L2598" t="str">
        <f>TEXT(maintable_2[[#This Row],[Order Date]],"mmmm")</f>
        <v>August</v>
      </c>
    </row>
    <row r="2599" spans="1:12" x14ac:dyDescent="0.3">
      <c r="A2599" s="1">
        <v>41386</v>
      </c>
      <c r="B2599" s="1">
        <v>41389</v>
      </c>
      <c r="C2599" t="s">
        <v>50</v>
      </c>
      <c r="D2599" t="s">
        <v>17</v>
      </c>
      <c r="E2599" t="s">
        <v>468</v>
      </c>
      <c r="F2599">
        <v>8.32</v>
      </c>
      <c r="G2599">
        <v>5</v>
      </c>
      <c r="H2599">
        <v>2.8079999999999998</v>
      </c>
      <c r="I2599">
        <v>3</v>
      </c>
      <c r="J2599">
        <v>2013</v>
      </c>
      <c r="K2599" t="s">
        <v>2208</v>
      </c>
      <c r="L2599" t="str">
        <f>TEXT(maintable_2[[#This Row],[Order Date]],"mmmm")</f>
        <v>April</v>
      </c>
    </row>
    <row r="2600" spans="1:12" x14ac:dyDescent="0.3">
      <c r="A2600" s="1">
        <v>41233</v>
      </c>
      <c r="B2600" s="1">
        <v>41236</v>
      </c>
      <c r="C2600" t="s">
        <v>704</v>
      </c>
      <c r="D2600" t="s">
        <v>17</v>
      </c>
      <c r="E2600" t="s">
        <v>176</v>
      </c>
      <c r="F2600">
        <v>4.8959999999999999</v>
      </c>
      <c r="G2600">
        <v>3</v>
      </c>
      <c r="H2600">
        <v>-3.4272</v>
      </c>
      <c r="I2600">
        <v>3</v>
      </c>
      <c r="J2600">
        <v>2012</v>
      </c>
      <c r="K2600" t="s">
        <v>2209</v>
      </c>
      <c r="L2600" t="str">
        <f>TEXT(maintable_2[[#This Row],[Order Date]],"mmmm")</f>
        <v>November</v>
      </c>
    </row>
    <row r="2601" spans="1:12" x14ac:dyDescent="0.3">
      <c r="A2601" s="1">
        <v>41233</v>
      </c>
      <c r="B2601" s="1">
        <v>41236</v>
      </c>
      <c r="C2601" t="s">
        <v>704</v>
      </c>
      <c r="D2601" t="s">
        <v>196</v>
      </c>
      <c r="E2601" t="s">
        <v>2049</v>
      </c>
      <c r="F2601">
        <v>145.76400000000001</v>
      </c>
      <c r="G2601">
        <v>6</v>
      </c>
      <c r="H2601">
        <v>-247.7988</v>
      </c>
      <c r="I2601">
        <v>3</v>
      </c>
      <c r="J2601">
        <v>2012</v>
      </c>
      <c r="K2601" t="s">
        <v>2209</v>
      </c>
      <c r="L2601" t="str">
        <f>TEXT(maintable_2[[#This Row],[Order Date]],"mmmm")</f>
        <v>November</v>
      </c>
    </row>
    <row r="2602" spans="1:12" x14ac:dyDescent="0.3">
      <c r="A2602" s="1">
        <v>41233</v>
      </c>
      <c r="B2602" s="1">
        <v>41236</v>
      </c>
      <c r="C2602" t="s">
        <v>704</v>
      </c>
      <c r="D2602" t="s">
        <v>17</v>
      </c>
      <c r="E2602" t="s">
        <v>2050</v>
      </c>
      <c r="F2602">
        <v>9.6120000000000001</v>
      </c>
      <c r="G2602">
        <v>6</v>
      </c>
      <c r="H2602">
        <v>-7.3692000000000002</v>
      </c>
      <c r="I2602">
        <v>3</v>
      </c>
      <c r="J2602">
        <v>2012</v>
      </c>
      <c r="K2602" t="s">
        <v>2209</v>
      </c>
      <c r="L2602" t="str">
        <f>TEXT(maintable_2[[#This Row],[Order Date]],"mmmm")</f>
        <v>November</v>
      </c>
    </row>
    <row r="2603" spans="1:12" x14ac:dyDescent="0.3">
      <c r="A2603" s="1">
        <v>41947</v>
      </c>
      <c r="B2603" s="1">
        <v>41949</v>
      </c>
      <c r="C2603" t="s">
        <v>1815</v>
      </c>
      <c r="D2603" t="s">
        <v>37</v>
      </c>
      <c r="E2603" t="s">
        <v>132</v>
      </c>
      <c r="F2603">
        <v>199.75</v>
      </c>
      <c r="G2603">
        <v>5</v>
      </c>
      <c r="H2603">
        <v>87.89</v>
      </c>
      <c r="I2603">
        <v>2</v>
      </c>
      <c r="J2603">
        <v>2014</v>
      </c>
      <c r="K2603" t="s">
        <v>2209</v>
      </c>
      <c r="L2603" t="str">
        <f>TEXT(maintable_2[[#This Row],[Order Date]],"mmmm")</f>
        <v>November</v>
      </c>
    </row>
    <row r="2604" spans="1:12" x14ac:dyDescent="0.3">
      <c r="A2604" s="1">
        <v>41947</v>
      </c>
      <c r="B2604" s="1">
        <v>41949</v>
      </c>
      <c r="C2604" t="s">
        <v>1815</v>
      </c>
      <c r="D2604" t="s">
        <v>21</v>
      </c>
      <c r="E2604" t="s">
        <v>1446</v>
      </c>
      <c r="F2604">
        <v>1673.184</v>
      </c>
      <c r="G2604">
        <v>12</v>
      </c>
      <c r="H2604">
        <v>20.9148</v>
      </c>
      <c r="I2604">
        <v>2</v>
      </c>
      <c r="J2604">
        <v>2014</v>
      </c>
      <c r="K2604" t="s">
        <v>2209</v>
      </c>
      <c r="L2604" t="str">
        <f>TEXT(maintable_2[[#This Row],[Order Date]],"mmmm")</f>
        <v>November</v>
      </c>
    </row>
    <row r="2605" spans="1:12" x14ac:dyDescent="0.3">
      <c r="A2605" s="1">
        <v>40667</v>
      </c>
      <c r="B2605" s="1">
        <v>40670</v>
      </c>
      <c r="C2605" t="s">
        <v>2051</v>
      </c>
      <c r="D2605" t="s">
        <v>11</v>
      </c>
      <c r="E2605" t="s">
        <v>1092</v>
      </c>
      <c r="F2605">
        <v>12.18</v>
      </c>
      <c r="G2605">
        <v>7</v>
      </c>
      <c r="H2605">
        <v>3.8976000000000002</v>
      </c>
      <c r="I2605">
        <v>3</v>
      </c>
      <c r="J2605">
        <v>2011</v>
      </c>
      <c r="K2605" t="s">
        <v>2208</v>
      </c>
      <c r="L2605" t="str">
        <f>TEXT(maintable_2[[#This Row],[Order Date]],"mmmm")</f>
        <v>May</v>
      </c>
    </row>
    <row r="2606" spans="1:12" x14ac:dyDescent="0.3">
      <c r="A2606" s="1">
        <v>40667</v>
      </c>
      <c r="B2606" s="1">
        <v>40670</v>
      </c>
      <c r="C2606" t="s">
        <v>2051</v>
      </c>
      <c r="D2606" t="s">
        <v>19</v>
      </c>
      <c r="E2606" t="s">
        <v>907</v>
      </c>
      <c r="F2606">
        <v>57.68</v>
      </c>
      <c r="G2606">
        <v>4</v>
      </c>
      <c r="H2606">
        <v>19.034400000000002</v>
      </c>
      <c r="I2606">
        <v>3</v>
      </c>
      <c r="J2606">
        <v>2011</v>
      </c>
      <c r="K2606" t="s">
        <v>2208</v>
      </c>
      <c r="L2606" t="str">
        <f>TEXT(maintable_2[[#This Row],[Order Date]],"mmmm")</f>
        <v>May</v>
      </c>
    </row>
    <row r="2607" spans="1:12" x14ac:dyDescent="0.3">
      <c r="A2607" s="1">
        <v>41255</v>
      </c>
      <c r="B2607" s="1">
        <v>41258</v>
      </c>
      <c r="C2607" t="s">
        <v>2052</v>
      </c>
      <c r="D2607" t="s">
        <v>37</v>
      </c>
      <c r="E2607" t="s">
        <v>841</v>
      </c>
      <c r="F2607">
        <v>299.94</v>
      </c>
      <c r="G2607">
        <v>6</v>
      </c>
      <c r="H2607">
        <v>128.9742</v>
      </c>
      <c r="I2607">
        <v>3</v>
      </c>
      <c r="J2607">
        <v>2012</v>
      </c>
      <c r="K2607" t="s">
        <v>2207</v>
      </c>
      <c r="L2607" t="str">
        <f>TEXT(maintable_2[[#This Row],[Order Date]],"mmmm")</f>
        <v>December</v>
      </c>
    </row>
    <row r="2608" spans="1:12" x14ac:dyDescent="0.3">
      <c r="A2608" s="1">
        <v>41255</v>
      </c>
      <c r="B2608" s="1">
        <v>41258</v>
      </c>
      <c r="C2608" t="s">
        <v>2052</v>
      </c>
      <c r="D2608" t="s">
        <v>81</v>
      </c>
      <c r="E2608" t="s">
        <v>105</v>
      </c>
      <c r="F2608">
        <v>25.76</v>
      </c>
      <c r="G2608">
        <v>7</v>
      </c>
      <c r="H2608">
        <v>0.51519999999999999</v>
      </c>
      <c r="I2608">
        <v>3</v>
      </c>
      <c r="J2608">
        <v>2012</v>
      </c>
      <c r="K2608" t="s">
        <v>2207</v>
      </c>
      <c r="L2608" t="str">
        <f>TEXT(maintable_2[[#This Row],[Order Date]],"mmmm")</f>
        <v>December</v>
      </c>
    </row>
    <row r="2609" spans="1:12" x14ac:dyDescent="0.3">
      <c r="A2609" s="1">
        <v>41555</v>
      </c>
      <c r="B2609" s="1">
        <v>41559</v>
      </c>
      <c r="C2609" t="s">
        <v>1105</v>
      </c>
      <c r="D2609" t="s">
        <v>78</v>
      </c>
      <c r="E2609" t="s">
        <v>1844</v>
      </c>
      <c r="F2609">
        <v>93.36</v>
      </c>
      <c r="G2609">
        <v>12</v>
      </c>
      <c r="H2609">
        <v>0.93359999999999999</v>
      </c>
      <c r="I2609">
        <v>4</v>
      </c>
      <c r="J2609">
        <v>2013</v>
      </c>
      <c r="K2609" t="s">
        <v>2209</v>
      </c>
      <c r="L2609" t="str">
        <f>TEXT(maintable_2[[#This Row],[Order Date]],"mmmm")</f>
        <v>October</v>
      </c>
    </row>
    <row r="2610" spans="1:12" x14ac:dyDescent="0.3">
      <c r="A2610" s="1">
        <v>41080</v>
      </c>
      <c r="B2610" s="1">
        <v>41083</v>
      </c>
      <c r="C2610" t="s">
        <v>901</v>
      </c>
      <c r="D2610" t="s">
        <v>15</v>
      </c>
      <c r="E2610" t="s">
        <v>1964</v>
      </c>
      <c r="F2610">
        <v>125.944</v>
      </c>
      <c r="G2610">
        <v>7</v>
      </c>
      <c r="H2610">
        <v>15.743</v>
      </c>
      <c r="I2610">
        <v>3</v>
      </c>
      <c r="J2610">
        <v>2012</v>
      </c>
      <c r="K2610" t="s">
        <v>2206</v>
      </c>
      <c r="L2610" t="str">
        <f>TEXT(maintable_2[[#This Row],[Order Date]],"mmmm")</f>
        <v>June</v>
      </c>
    </row>
    <row r="2611" spans="1:12" x14ac:dyDescent="0.3">
      <c r="A2611" s="1">
        <v>41930</v>
      </c>
      <c r="B2611" s="1">
        <v>41932</v>
      </c>
      <c r="C2611" t="s">
        <v>1619</v>
      </c>
      <c r="D2611" t="s">
        <v>15</v>
      </c>
      <c r="E2611" t="s">
        <v>1601</v>
      </c>
      <c r="F2611">
        <v>52.792000000000002</v>
      </c>
      <c r="G2611">
        <v>1</v>
      </c>
      <c r="H2611">
        <v>4.6193</v>
      </c>
      <c r="I2611">
        <v>2</v>
      </c>
      <c r="J2611">
        <v>2014</v>
      </c>
      <c r="K2611" t="s">
        <v>2209</v>
      </c>
      <c r="L2611" t="str">
        <f>TEXT(maintable_2[[#This Row],[Order Date]],"mmmm")</f>
        <v>October</v>
      </c>
    </row>
    <row r="2612" spans="1:12" x14ac:dyDescent="0.3">
      <c r="A2612" s="1">
        <v>41821</v>
      </c>
      <c r="B2612" s="1">
        <v>41823</v>
      </c>
      <c r="C2612" t="s">
        <v>2053</v>
      </c>
      <c r="D2612" t="s">
        <v>196</v>
      </c>
      <c r="E2612" t="s">
        <v>1220</v>
      </c>
      <c r="F2612">
        <v>435.99900000000002</v>
      </c>
      <c r="G2612">
        <v>3</v>
      </c>
      <c r="H2612">
        <v>5.1294000000000004</v>
      </c>
      <c r="I2612">
        <v>2</v>
      </c>
      <c r="J2612">
        <v>2014</v>
      </c>
      <c r="K2612" t="s">
        <v>2206</v>
      </c>
      <c r="L2612" t="str">
        <f>TEXT(maintable_2[[#This Row],[Order Date]],"mmmm")</f>
        <v>July</v>
      </c>
    </row>
    <row r="2613" spans="1:12" x14ac:dyDescent="0.3">
      <c r="A2613" s="1">
        <v>41873</v>
      </c>
      <c r="B2613" s="1">
        <v>41877</v>
      </c>
      <c r="C2613" t="s">
        <v>1617</v>
      </c>
      <c r="D2613" t="s">
        <v>71</v>
      </c>
      <c r="E2613" t="s">
        <v>2054</v>
      </c>
      <c r="F2613">
        <v>388.70400000000001</v>
      </c>
      <c r="G2613">
        <v>6</v>
      </c>
      <c r="H2613">
        <v>38.870399999999997</v>
      </c>
      <c r="I2613">
        <v>4</v>
      </c>
      <c r="J2613">
        <v>2014</v>
      </c>
      <c r="K2613" t="s">
        <v>2206</v>
      </c>
      <c r="L2613" t="str">
        <f>TEXT(maintable_2[[#This Row],[Order Date]],"mmmm")</f>
        <v>August</v>
      </c>
    </row>
    <row r="2614" spans="1:12" x14ac:dyDescent="0.3">
      <c r="A2614" s="1">
        <v>41873</v>
      </c>
      <c r="B2614" s="1">
        <v>41877</v>
      </c>
      <c r="C2614" t="s">
        <v>1617</v>
      </c>
      <c r="D2614" t="s">
        <v>27</v>
      </c>
      <c r="E2614" t="s">
        <v>1275</v>
      </c>
      <c r="F2614">
        <v>572.58000000000004</v>
      </c>
      <c r="G2614">
        <v>6</v>
      </c>
      <c r="H2614">
        <v>34.354799999999997</v>
      </c>
      <c r="I2614">
        <v>4</v>
      </c>
      <c r="J2614">
        <v>2014</v>
      </c>
      <c r="K2614" t="s">
        <v>2206</v>
      </c>
      <c r="L2614" t="str">
        <f>TEXT(maintable_2[[#This Row],[Order Date]],"mmmm")</f>
        <v>August</v>
      </c>
    </row>
    <row r="2615" spans="1:12" x14ac:dyDescent="0.3">
      <c r="A2615" s="1">
        <v>41873</v>
      </c>
      <c r="B2615" s="1">
        <v>41877</v>
      </c>
      <c r="C2615" t="s">
        <v>1617</v>
      </c>
      <c r="D2615" t="s">
        <v>37</v>
      </c>
      <c r="E2615" t="s">
        <v>980</v>
      </c>
      <c r="F2615">
        <v>33.18</v>
      </c>
      <c r="G2615">
        <v>2</v>
      </c>
      <c r="H2615">
        <v>11.613</v>
      </c>
      <c r="I2615">
        <v>4</v>
      </c>
      <c r="J2615">
        <v>2014</v>
      </c>
      <c r="K2615" t="s">
        <v>2206</v>
      </c>
      <c r="L2615" t="str">
        <f>TEXT(maintable_2[[#This Row],[Order Date]],"mmmm")</f>
        <v>August</v>
      </c>
    </row>
    <row r="2616" spans="1:12" x14ac:dyDescent="0.3">
      <c r="A2616" s="1">
        <v>41898</v>
      </c>
      <c r="B2616" s="1">
        <v>41900</v>
      </c>
      <c r="C2616" t="s">
        <v>1735</v>
      </c>
      <c r="D2616" t="s">
        <v>17</v>
      </c>
      <c r="E2616" t="s">
        <v>64</v>
      </c>
      <c r="F2616">
        <v>295.05599999999998</v>
      </c>
      <c r="G2616">
        <v>9</v>
      </c>
      <c r="H2616">
        <v>106.95780000000001</v>
      </c>
      <c r="I2616">
        <v>2</v>
      </c>
      <c r="J2616">
        <v>2014</v>
      </c>
      <c r="K2616" t="s">
        <v>2209</v>
      </c>
      <c r="L2616" t="str">
        <f>TEXT(maintable_2[[#This Row],[Order Date]],"mmmm")</f>
        <v>September</v>
      </c>
    </row>
    <row r="2617" spans="1:12" x14ac:dyDescent="0.3">
      <c r="A2617" s="1">
        <v>41149</v>
      </c>
      <c r="B2617" s="1">
        <v>41156</v>
      </c>
      <c r="C2617" t="s">
        <v>1628</v>
      </c>
      <c r="D2617" t="s">
        <v>27</v>
      </c>
      <c r="E2617" t="s">
        <v>2055</v>
      </c>
      <c r="F2617">
        <v>892.35</v>
      </c>
      <c r="G2617">
        <v>5</v>
      </c>
      <c r="H2617">
        <v>267.70499999999998</v>
      </c>
      <c r="I2617">
        <v>7</v>
      </c>
      <c r="J2617">
        <v>2012</v>
      </c>
      <c r="K2617" t="s">
        <v>2206</v>
      </c>
      <c r="L2617" t="str">
        <f>TEXT(maintable_2[[#This Row],[Order Date]],"mmmm")</f>
        <v>August</v>
      </c>
    </row>
    <row r="2618" spans="1:12" x14ac:dyDescent="0.3">
      <c r="A2618" s="1">
        <v>41149</v>
      </c>
      <c r="B2618" s="1">
        <v>41156</v>
      </c>
      <c r="C2618" t="s">
        <v>1628</v>
      </c>
      <c r="D2618" t="s">
        <v>196</v>
      </c>
      <c r="E2618" t="s">
        <v>2056</v>
      </c>
      <c r="F2618">
        <v>307.666</v>
      </c>
      <c r="G2618">
        <v>2</v>
      </c>
      <c r="H2618">
        <v>28.956800000000001</v>
      </c>
      <c r="I2618">
        <v>7</v>
      </c>
      <c r="J2618">
        <v>2012</v>
      </c>
      <c r="K2618" t="s">
        <v>2206</v>
      </c>
      <c r="L2618" t="str">
        <f>TEXT(maintable_2[[#This Row],[Order Date]],"mmmm")</f>
        <v>August</v>
      </c>
    </row>
    <row r="2619" spans="1:12" x14ac:dyDescent="0.3">
      <c r="A2619" s="1">
        <v>41149</v>
      </c>
      <c r="B2619" s="1">
        <v>41156</v>
      </c>
      <c r="C2619" t="s">
        <v>1628</v>
      </c>
      <c r="D2619" t="s">
        <v>27</v>
      </c>
      <c r="E2619" t="s">
        <v>341</v>
      </c>
      <c r="F2619">
        <v>728.82</v>
      </c>
      <c r="G2619">
        <v>9</v>
      </c>
      <c r="H2619">
        <v>29.152799999999999</v>
      </c>
      <c r="I2619">
        <v>7</v>
      </c>
      <c r="J2619">
        <v>2012</v>
      </c>
      <c r="K2619" t="s">
        <v>2206</v>
      </c>
      <c r="L2619" t="str">
        <f>TEXT(maintable_2[[#This Row],[Order Date]],"mmmm")</f>
        <v>August</v>
      </c>
    </row>
    <row r="2620" spans="1:12" x14ac:dyDescent="0.3">
      <c r="A2620" s="1">
        <v>41149</v>
      </c>
      <c r="B2620" s="1">
        <v>41156</v>
      </c>
      <c r="C2620" t="s">
        <v>1628</v>
      </c>
      <c r="D2620" t="s">
        <v>17</v>
      </c>
      <c r="E2620" t="s">
        <v>1236</v>
      </c>
      <c r="F2620">
        <v>41.36</v>
      </c>
      <c r="G2620">
        <v>5</v>
      </c>
      <c r="H2620">
        <v>13.959</v>
      </c>
      <c r="I2620">
        <v>7</v>
      </c>
      <c r="J2620">
        <v>2012</v>
      </c>
      <c r="K2620" t="s">
        <v>2206</v>
      </c>
      <c r="L2620" t="str">
        <f>TEXT(maintable_2[[#This Row],[Order Date]],"mmmm")</f>
        <v>August</v>
      </c>
    </row>
    <row r="2621" spans="1:12" x14ac:dyDescent="0.3">
      <c r="A2621" s="1">
        <v>41149</v>
      </c>
      <c r="B2621" s="1">
        <v>41156</v>
      </c>
      <c r="C2621" t="s">
        <v>1628</v>
      </c>
      <c r="D2621" t="s">
        <v>15</v>
      </c>
      <c r="E2621" t="s">
        <v>1157</v>
      </c>
      <c r="F2621">
        <v>43.176000000000002</v>
      </c>
      <c r="G2621">
        <v>3</v>
      </c>
      <c r="H2621">
        <v>15.111599999999999</v>
      </c>
      <c r="I2621">
        <v>7</v>
      </c>
      <c r="J2621">
        <v>2012</v>
      </c>
      <c r="K2621" t="s">
        <v>2206</v>
      </c>
      <c r="L2621" t="str">
        <f>TEXT(maintable_2[[#This Row],[Order Date]],"mmmm")</f>
        <v>August</v>
      </c>
    </row>
    <row r="2622" spans="1:12" x14ac:dyDescent="0.3">
      <c r="A2622" s="1">
        <v>41149</v>
      </c>
      <c r="B2622" s="1">
        <v>41156</v>
      </c>
      <c r="C2622" t="s">
        <v>1628</v>
      </c>
      <c r="D2622" t="s">
        <v>11</v>
      </c>
      <c r="E2622" t="s">
        <v>217</v>
      </c>
      <c r="F2622">
        <v>4.16</v>
      </c>
      <c r="G2622">
        <v>2</v>
      </c>
      <c r="H2622">
        <v>1.7472000000000001</v>
      </c>
      <c r="I2622">
        <v>7</v>
      </c>
      <c r="J2622">
        <v>2012</v>
      </c>
      <c r="K2622" t="s">
        <v>2206</v>
      </c>
      <c r="L2622" t="str">
        <f>TEXT(maintable_2[[#This Row],[Order Date]],"mmmm")</f>
        <v>August</v>
      </c>
    </row>
    <row r="2623" spans="1:12" x14ac:dyDescent="0.3">
      <c r="A2623" s="1">
        <v>41202</v>
      </c>
      <c r="B2623" s="1">
        <v>41206</v>
      </c>
      <c r="C2623" t="s">
        <v>479</v>
      </c>
      <c r="D2623" t="s">
        <v>37</v>
      </c>
      <c r="E2623" t="s">
        <v>2030</v>
      </c>
      <c r="F2623">
        <v>239.97</v>
      </c>
      <c r="G2623">
        <v>3</v>
      </c>
      <c r="H2623">
        <v>86.389200000000002</v>
      </c>
      <c r="I2623">
        <v>4</v>
      </c>
      <c r="J2623">
        <v>2012</v>
      </c>
      <c r="K2623" t="s">
        <v>2209</v>
      </c>
      <c r="L2623" t="str">
        <f>TEXT(maintable_2[[#This Row],[Order Date]],"mmmm")</f>
        <v>October</v>
      </c>
    </row>
    <row r="2624" spans="1:12" x14ac:dyDescent="0.3">
      <c r="A2624" s="1">
        <v>41202</v>
      </c>
      <c r="B2624" s="1">
        <v>41206</v>
      </c>
      <c r="C2624" t="s">
        <v>479</v>
      </c>
      <c r="D2624" t="s">
        <v>11</v>
      </c>
      <c r="E2624" t="s">
        <v>1599</v>
      </c>
      <c r="F2624">
        <v>16.02</v>
      </c>
      <c r="G2624">
        <v>6</v>
      </c>
      <c r="H2624">
        <v>6.0876000000000001</v>
      </c>
      <c r="I2624">
        <v>4</v>
      </c>
      <c r="J2624">
        <v>2012</v>
      </c>
      <c r="K2624" t="s">
        <v>2209</v>
      </c>
      <c r="L2624" t="str">
        <f>TEXT(maintable_2[[#This Row],[Order Date]],"mmmm")</f>
        <v>October</v>
      </c>
    </row>
    <row r="2625" spans="1:12" x14ac:dyDescent="0.3">
      <c r="A2625" s="1">
        <v>41208</v>
      </c>
      <c r="B2625" s="1">
        <v>41214</v>
      </c>
      <c r="C2625" t="s">
        <v>133</v>
      </c>
      <c r="D2625" t="s">
        <v>8</v>
      </c>
      <c r="E2625" t="s">
        <v>1365</v>
      </c>
      <c r="F2625">
        <v>146.54400000000001</v>
      </c>
      <c r="G2625">
        <v>6</v>
      </c>
      <c r="H2625">
        <v>47.626800000000003</v>
      </c>
      <c r="I2625">
        <v>6</v>
      </c>
      <c r="J2625">
        <v>2012</v>
      </c>
      <c r="K2625" t="s">
        <v>2209</v>
      </c>
      <c r="L2625" t="str">
        <f>TEXT(maintable_2[[#This Row],[Order Date]],"mmmm")</f>
        <v>October</v>
      </c>
    </row>
    <row r="2626" spans="1:12" x14ac:dyDescent="0.3">
      <c r="A2626" s="1">
        <v>41208</v>
      </c>
      <c r="B2626" s="1">
        <v>41214</v>
      </c>
      <c r="C2626" t="s">
        <v>133</v>
      </c>
      <c r="D2626" t="s">
        <v>44</v>
      </c>
      <c r="E2626" t="s">
        <v>1866</v>
      </c>
      <c r="F2626">
        <v>131.904</v>
      </c>
      <c r="G2626">
        <v>3</v>
      </c>
      <c r="H2626">
        <v>47.815199999999997</v>
      </c>
      <c r="I2626">
        <v>6</v>
      </c>
      <c r="J2626">
        <v>2012</v>
      </c>
      <c r="K2626" t="s">
        <v>2209</v>
      </c>
      <c r="L2626" t="str">
        <f>TEXT(maintable_2[[#This Row],[Order Date]],"mmmm")</f>
        <v>October</v>
      </c>
    </row>
    <row r="2627" spans="1:12" x14ac:dyDescent="0.3">
      <c r="A2627" s="1">
        <v>41208</v>
      </c>
      <c r="B2627" s="1">
        <v>41214</v>
      </c>
      <c r="C2627" t="s">
        <v>133</v>
      </c>
      <c r="D2627" t="s">
        <v>19</v>
      </c>
      <c r="E2627" t="s">
        <v>316</v>
      </c>
      <c r="F2627">
        <v>203.88</v>
      </c>
      <c r="G2627">
        <v>5</v>
      </c>
      <c r="H2627">
        <v>20.388000000000002</v>
      </c>
      <c r="I2627">
        <v>6</v>
      </c>
      <c r="J2627">
        <v>2012</v>
      </c>
      <c r="K2627" t="s">
        <v>2209</v>
      </c>
      <c r="L2627" t="str">
        <f>TEXT(maintable_2[[#This Row],[Order Date]],"mmmm")</f>
        <v>October</v>
      </c>
    </row>
    <row r="2628" spans="1:12" x14ac:dyDescent="0.3">
      <c r="A2628" s="1">
        <v>41208</v>
      </c>
      <c r="B2628" s="1">
        <v>41214</v>
      </c>
      <c r="C2628" t="s">
        <v>133</v>
      </c>
      <c r="D2628" t="s">
        <v>17</v>
      </c>
      <c r="E2628" t="s">
        <v>896</v>
      </c>
      <c r="F2628">
        <v>14.301</v>
      </c>
      <c r="G2628">
        <v>7</v>
      </c>
      <c r="H2628">
        <v>-10.487399999999999</v>
      </c>
      <c r="I2628">
        <v>6</v>
      </c>
      <c r="J2628">
        <v>2012</v>
      </c>
      <c r="K2628" t="s">
        <v>2209</v>
      </c>
      <c r="L2628" t="str">
        <f>TEXT(maintable_2[[#This Row],[Order Date]],"mmmm")</f>
        <v>October</v>
      </c>
    </row>
    <row r="2629" spans="1:12" x14ac:dyDescent="0.3">
      <c r="A2629" s="1">
        <v>41208</v>
      </c>
      <c r="B2629" s="1">
        <v>41214</v>
      </c>
      <c r="C2629" t="s">
        <v>133</v>
      </c>
      <c r="D2629" t="s">
        <v>27</v>
      </c>
      <c r="E2629" t="s">
        <v>351</v>
      </c>
      <c r="F2629">
        <v>718.64</v>
      </c>
      <c r="G2629">
        <v>10</v>
      </c>
      <c r="H2629">
        <v>-161.69399999999999</v>
      </c>
      <c r="I2629">
        <v>6</v>
      </c>
      <c r="J2629">
        <v>2012</v>
      </c>
      <c r="K2629" t="s">
        <v>2209</v>
      </c>
      <c r="L2629" t="str">
        <f>TEXT(maintable_2[[#This Row],[Order Date]],"mmmm")</f>
        <v>October</v>
      </c>
    </row>
    <row r="2630" spans="1:12" x14ac:dyDescent="0.3">
      <c r="A2630" s="1">
        <v>41547</v>
      </c>
      <c r="B2630" s="1">
        <v>41549</v>
      </c>
      <c r="C2630" t="s">
        <v>1249</v>
      </c>
      <c r="D2630" t="s">
        <v>13</v>
      </c>
      <c r="E2630" t="s">
        <v>924</v>
      </c>
      <c r="F2630">
        <v>10.496</v>
      </c>
      <c r="G2630">
        <v>4</v>
      </c>
      <c r="H2630">
        <v>1.1808000000000001</v>
      </c>
      <c r="I2630">
        <v>2</v>
      </c>
      <c r="J2630">
        <v>2013</v>
      </c>
      <c r="K2630" t="s">
        <v>2209</v>
      </c>
      <c r="L2630" t="str">
        <f>TEXT(maintable_2[[#This Row],[Order Date]],"mmmm")</f>
        <v>September</v>
      </c>
    </row>
    <row r="2631" spans="1:12" x14ac:dyDescent="0.3">
      <c r="A2631" s="1">
        <v>41100</v>
      </c>
      <c r="B2631" s="1">
        <v>41104</v>
      </c>
      <c r="C2631" t="s">
        <v>1864</v>
      </c>
      <c r="D2631" t="s">
        <v>17</v>
      </c>
      <c r="E2631" t="s">
        <v>2057</v>
      </c>
      <c r="F2631">
        <v>39.92</v>
      </c>
      <c r="G2631">
        <v>2</v>
      </c>
      <c r="H2631">
        <v>12.974</v>
      </c>
      <c r="I2631">
        <v>4</v>
      </c>
      <c r="J2631">
        <v>2012</v>
      </c>
      <c r="K2631" t="s">
        <v>2206</v>
      </c>
      <c r="L2631" t="str">
        <f>TEXT(maintable_2[[#This Row],[Order Date]],"mmmm")</f>
        <v>July</v>
      </c>
    </row>
    <row r="2632" spans="1:12" x14ac:dyDescent="0.3">
      <c r="A2632" s="1">
        <v>40884</v>
      </c>
      <c r="B2632" s="1">
        <v>40890</v>
      </c>
      <c r="C2632" t="s">
        <v>1438</v>
      </c>
      <c r="D2632" t="s">
        <v>27</v>
      </c>
      <c r="E2632" t="s">
        <v>1051</v>
      </c>
      <c r="F2632">
        <v>269.36</v>
      </c>
      <c r="G2632">
        <v>7</v>
      </c>
      <c r="H2632">
        <v>70.033600000000007</v>
      </c>
      <c r="I2632">
        <v>6</v>
      </c>
      <c r="J2632">
        <v>2011</v>
      </c>
      <c r="K2632" t="s">
        <v>2207</v>
      </c>
      <c r="L2632" t="str">
        <f>TEXT(maintable_2[[#This Row],[Order Date]],"mmmm")</f>
        <v>December</v>
      </c>
    </row>
    <row r="2633" spans="1:12" x14ac:dyDescent="0.3">
      <c r="A2633" s="1">
        <v>41253</v>
      </c>
      <c r="B2633" s="1">
        <v>41257</v>
      </c>
      <c r="C2633" t="s">
        <v>440</v>
      </c>
      <c r="D2633" t="s">
        <v>8</v>
      </c>
      <c r="E2633" t="s">
        <v>953</v>
      </c>
      <c r="F2633">
        <v>5.76</v>
      </c>
      <c r="G2633">
        <v>2</v>
      </c>
      <c r="H2633">
        <v>2.8224</v>
      </c>
      <c r="I2633">
        <v>4</v>
      </c>
      <c r="J2633">
        <v>2012</v>
      </c>
      <c r="K2633" t="s">
        <v>2207</v>
      </c>
      <c r="L2633" t="str">
        <f>TEXT(maintable_2[[#This Row],[Order Date]],"mmmm")</f>
        <v>December</v>
      </c>
    </row>
    <row r="2634" spans="1:12" x14ac:dyDescent="0.3">
      <c r="A2634" s="1">
        <v>41848</v>
      </c>
      <c r="B2634" s="1">
        <v>41853</v>
      </c>
      <c r="C2634" t="s">
        <v>951</v>
      </c>
      <c r="D2634" t="s">
        <v>11</v>
      </c>
      <c r="E2634" t="s">
        <v>105</v>
      </c>
      <c r="F2634">
        <v>23.88</v>
      </c>
      <c r="G2634">
        <v>3</v>
      </c>
      <c r="H2634">
        <v>10.507199999999999</v>
      </c>
      <c r="I2634">
        <v>5</v>
      </c>
      <c r="J2634">
        <v>2014</v>
      </c>
      <c r="K2634" t="s">
        <v>2206</v>
      </c>
      <c r="L2634" t="str">
        <f>TEXT(maintable_2[[#This Row],[Order Date]],"mmmm")</f>
        <v>July</v>
      </c>
    </row>
    <row r="2635" spans="1:12" x14ac:dyDescent="0.3">
      <c r="A2635" s="1">
        <v>41848</v>
      </c>
      <c r="B2635" s="1">
        <v>41853</v>
      </c>
      <c r="C2635" t="s">
        <v>951</v>
      </c>
      <c r="D2635" t="s">
        <v>44</v>
      </c>
      <c r="E2635" t="s">
        <v>945</v>
      </c>
      <c r="F2635">
        <v>26.2</v>
      </c>
      <c r="G2635">
        <v>4</v>
      </c>
      <c r="H2635">
        <v>12.052</v>
      </c>
      <c r="I2635">
        <v>5</v>
      </c>
      <c r="J2635">
        <v>2014</v>
      </c>
      <c r="K2635" t="s">
        <v>2206</v>
      </c>
      <c r="L2635" t="str">
        <f>TEXT(maintable_2[[#This Row],[Order Date]],"mmmm")</f>
        <v>July</v>
      </c>
    </row>
    <row r="2636" spans="1:12" x14ac:dyDescent="0.3">
      <c r="A2636" s="1">
        <v>41848</v>
      </c>
      <c r="B2636" s="1">
        <v>41853</v>
      </c>
      <c r="C2636" t="s">
        <v>951</v>
      </c>
      <c r="D2636" t="s">
        <v>44</v>
      </c>
      <c r="E2636" t="s">
        <v>1450</v>
      </c>
      <c r="F2636">
        <v>12.96</v>
      </c>
      <c r="G2636">
        <v>2</v>
      </c>
      <c r="H2636">
        <v>6.2207999999999997</v>
      </c>
      <c r="I2636">
        <v>5</v>
      </c>
      <c r="J2636">
        <v>2014</v>
      </c>
      <c r="K2636" t="s">
        <v>2206</v>
      </c>
      <c r="L2636" t="str">
        <f>TEXT(maintable_2[[#This Row],[Order Date]],"mmmm")</f>
        <v>July</v>
      </c>
    </row>
    <row r="2637" spans="1:12" x14ac:dyDescent="0.3">
      <c r="A2637" s="1">
        <v>41848</v>
      </c>
      <c r="B2637" s="1">
        <v>41853</v>
      </c>
      <c r="C2637" t="s">
        <v>951</v>
      </c>
      <c r="D2637" t="s">
        <v>37</v>
      </c>
      <c r="E2637" t="s">
        <v>237</v>
      </c>
      <c r="F2637">
        <v>234.95</v>
      </c>
      <c r="G2637">
        <v>5</v>
      </c>
      <c r="H2637">
        <v>32.893000000000001</v>
      </c>
      <c r="I2637">
        <v>5</v>
      </c>
      <c r="J2637">
        <v>2014</v>
      </c>
      <c r="K2637" t="s">
        <v>2206</v>
      </c>
      <c r="L2637" t="str">
        <f>TEXT(maintable_2[[#This Row],[Order Date]],"mmmm")</f>
        <v>July</v>
      </c>
    </row>
    <row r="2638" spans="1:12" x14ac:dyDescent="0.3">
      <c r="A2638" s="1">
        <v>42002</v>
      </c>
      <c r="B2638" s="1">
        <v>42006</v>
      </c>
      <c r="C2638" t="s">
        <v>1775</v>
      </c>
      <c r="D2638" t="s">
        <v>27</v>
      </c>
      <c r="E2638" t="s">
        <v>1949</v>
      </c>
      <c r="F2638">
        <v>118.25</v>
      </c>
      <c r="G2638">
        <v>5</v>
      </c>
      <c r="H2638">
        <v>34.292499999999997</v>
      </c>
      <c r="I2638">
        <v>4</v>
      </c>
      <c r="J2638">
        <v>2014</v>
      </c>
      <c r="K2638" t="s">
        <v>2207</v>
      </c>
      <c r="L2638" t="str">
        <f>TEXT(maintable_2[[#This Row],[Order Date]],"mmmm")</f>
        <v>December</v>
      </c>
    </row>
    <row r="2639" spans="1:12" x14ac:dyDescent="0.3">
      <c r="A2639" s="1">
        <v>42002</v>
      </c>
      <c r="B2639" s="1">
        <v>42006</v>
      </c>
      <c r="C2639" t="s">
        <v>1775</v>
      </c>
      <c r="D2639" t="s">
        <v>44</v>
      </c>
      <c r="E2639" t="s">
        <v>1071</v>
      </c>
      <c r="F2639">
        <v>4.28</v>
      </c>
      <c r="G2639">
        <v>1</v>
      </c>
      <c r="H2639">
        <v>1.9259999999999999</v>
      </c>
      <c r="I2639">
        <v>4</v>
      </c>
      <c r="J2639">
        <v>2014</v>
      </c>
      <c r="K2639" t="s">
        <v>2207</v>
      </c>
      <c r="L2639" t="str">
        <f>TEXT(maintable_2[[#This Row],[Order Date]],"mmmm")</f>
        <v>December</v>
      </c>
    </row>
    <row r="2640" spans="1:12" x14ac:dyDescent="0.3">
      <c r="A2640" s="1">
        <v>41344</v>
      </c>
      <c r="B2640" s="1">
        <v>41347</v>
      </c>
      <c r="C2640" t="s">
        <v>892</v>
      </c>
      <c r="D2640" t="s">
        <v>37</v>
      </c>
      <c r="E2640" t="s">
        <v>727</v>
      </c>
      <c r="F2640">
        <v>26.85</v>
      </c>
      <c r="G2640">
        <v>3</v>
      </c>
      <c r="H2640">
        <v>5.1014999999999997</v>
      </c>
      <c r="I2640">
        <v>3</v>
      </c>
      <c r="J2640">
        <v>2013</v>
      </c>
      <c r="K2640" t="s">
        <v>2208</v>
      </c>
      <c r="L2640" t="str">
        <f>TEXT(maintable_2[[#This Row],[Order Date]],"mmmm")</f>
        <v>March</v>
      </c>
    </row>
    <row r="2641" spans="1:12" x14ac:dyDescent="0.3">
      <c r="A2641" s="1">
        <v>41344</v>
      </c>
      <c r="B2641" s="1">
        <v>41347</v>
      </c>
      <c r="C2641" t="s">
        <v>892</v>
      </c>
      <c r="D2641" t="s">
        <v>494</v>
      </c>
      <c r="E2641" t="s">
        <v>2058</v>
      </c>
      <c r="F2641">
        <v>3357.6</v>
      </c>
      <c r="G2641">
        <v>3</v>
      </c>
      <c r="H2641">
        <v>377.73</v>
      </c>
      <c r="I2641">
        <v>3</v>
      </c>
      <c r="J2641">
        <v>2013</v>
      </c>
      <c r="K2641" t="s">
        <v>2208</v>
      </c>
      <c r="L2641" t="str">
        <f>TEXT(maintable_2[[#This Row],[Order Date]],"mmmm")</f>
        <v>March</v>
      </c>
    </row>
    <row r="2642" spans="1:12" x14ac:dyDescent="0.3">
      <c r="A2642" s="1">
        <v>41051</v>
      </c>
      <c r="B2642" s="1">
        <v>41055</v>
      </c>
      <c r="C2642" t="s">
        <v>2059</v>
      </c>
      <c r="D2642" t="s">
        <v>8</v>
      </c>
      <c r="E2642" t="s">
        <v>1717</v>
      </c>
      <c r="F2642">
        <v>8.26</v>
      </c>
      <c r="G2642">
        <v>2</v>
      </c>
      <c r="H2642">
        <v>3.7995999999999999</v>
      </c>
      <c r="I2642">
        <v>4</v>
      </c>
      <c r="J2642">
        <v>2012</v>
      </c>
      <c r="K2642" t="s">
        <v>2208</v>
      </c>
      <c r="L2642" t="str">
        <f>TEXT(maintable_2[[#This Row],[Order Date]],"mmmm")</f>
        <v>May</v>
      </c>
    </row>
    <row r="2643" spans="1:12" x14ac:dyDescent="0.3">
      <c r="A2643" s="1">
        <v>41051</v>
      </c>
      <c r="B2643" s="1">
        <v>41055</v>
      </c>
      <c r="C2643" t="s">
        <v>2059</v>
      </c>
      <c r="D2643" t="s">
        <v>494</v>
      </c>
      <c r="E2643" t="s">
        <v>1781</v>
      </c>
      <c r="F2643">
        <v>2973.32</v>
      </c>
      <c r="G2643">
        <v>7</v>
      </c>
      <c r="H2643">
        <v>334.49849999999998</v>
      </c>
      <c r="I2643">
        <v>4</v>
      </c>
      <c r="J2643">
        <v>2012</v>
      </c>
      <c r="K2643" t="s">
        <v>2208</v>
      </c>
      <c r="L2643" t="str">
        <f>TEXT(maintable_2[[#This Row],[Order Date]],"mmmm")</f>
        <v>May</v>
      </c>
    </row>
    <row r="2644" spans="1:12" x14ac:dyDescent="0.3">
      <c r="A2644" s="1">
        <v>41051</v>
      </c>
      <c r="B2644" s="1">
        <v>41055</v>
      </c>
      <c r="C2644" t="s">
        <v>2059</v>
      </c>
      <c r="D2644" t="s">
        <v>27</v>
      </c>
      <c r="E2644" t="s">
        <v>1242</v>
      </c>
      <c r="F2644">
        <v>104.79</v>
      </c>
      <c r="G2644">
        <v>7</v>
      </c>
      <c r="H2644">
        <v>29.341200000000001</v>
      </c>
      <c r="I2644">
        <v>4</v>
      </c>
      <c r="J2644">
        <v>2012</v>
      </c>
      <c r="K2644" t="s">
        <v>2208</v>
      </c>
      <c r="L2644" t="str">
        <f>TEXT(maintable_2[[#This Row],[Order Date]],"mmmm")</f>
        <v>May</v>
      </c>
    </row>
    <row r="2645" spans="1:12" x14ac:dyDescent="0.3">
      <c r="A2645" s="1">
        <v>41051</v>
      </c>
      <c r="B2645" s="1">
        <v>41055</v>
      </c>
      <c r="C2645" t="s">
        <v>2059</v>
      </c>
      <c r="D2645" t="s">
        <v>15</v>
      </c>
      <c r="E2645" t="s">
        <v>1605</v>
      </c>
      <c r="F2645">
        <v>775.72799999999995</v>
      </c>
      <c r="G2645">
        <v>6</v>
      </c>
      <c r="H2645">
        <v>58.179600000000001</v>
      </c>
      <c r="I2645">
        <v>4</v>
      </c>
      <c r="J2645">
        <v>2012</v>
      </c>
      <c r="K2645" t="s">
        <v>2208</v>
      </c>
      <c r="L2645" t="str">
        <f>TEXT(maintable_2[[#This Row],[Order Date]],"mmmm")</f>
        <v>May</v>
      </c>
    </row>
    <row r="2646" spans="1:12" x14ac:dyDescent="0.3">
      <c r="A2646" s="1">
        <v>41881</v>
      </c>
      <c r="B2646" s="1">
        <v>41887</v>
      </c>
      <c r="C2646" t="s">
        <v>591</v>
      </c>
      <c r="D2646" t="s">
        <v>11</v>
      </c>
      <c r="E2646" t="s">
        <v>2060</v>
      </c>
      <c r="F2646">
        <v>148.02000000000001</v>
      </c>
      <c r="G2646">
        <v>3</v>
      </c>
      <c r="H2646">
        <v>41.445599999999999</v>
      </c>
      <c r="I2646">
        <v>6</v>
      </c>
      <c r="J2646">
        <v>2014</v>
      </c>
      <c r="K2646" t="s">
        <v>2206</v>
      </c>
      <c r="L2646" t="str">
        <f>TEXT(maintable_2[[#This Row],[Order Date]],"mmmm")</f>
        <v>August</v>
      </c>
    </row>
    <row r="2647" spans="1:12" x14ac:dyDescent="0.3">
      <c r="A2647" s="1">
        <v>41821</v>
      </c>
      <c r="B2647" s="1">
        <v>41826</v>
      </c>
      <c r="C2647" t="s">
        <v>1100</v>
      </c>
      <c r="D2647" t="s">
        <v>44</v>
      </c>
      <c r="E2647" t="s">
        <v>737</v>
      </c>
      <c r="F2647">
        <v>204.95</v>
      </c>
      <c r="G2647">
        <v>5</v>
      </c>
      <c r="H2647">
        <v>100.4255</v>
      </c>
      <c r="I2647">
        <v>5</v>
      </c>
      <c r="J2647">
        <v>2014</v>
      </c>
      <c r="K2647" t="s">
        <v>2206</v>
      </c>
      <c r="L2647" t="str">
        <f>TEXT(maintable_2[[#This Row],[Order Date]],"mmmm")</f>
        <v>July</v>
      </c>
    </row>
    <row r="2648" spans="1:12" x14ac:dyDescent="0.3">
      <c r="A2648" s="1">
        <v>41590</v>
      </c>
      <c r="B2648" s="1">
        <v>41595</v>
      </c>
      <c r="C2648" t="s">
        <v>274</v>
      </c>
      <c r="D2648" t="s">
        <v>11</v>
      </c>
      <c r="E2648" t="s">
        <v>2061</v>
      </c>
      <c r="F2648">
        <v>41.96</v>
      </c>
      <c r="G2648">
        <v>2</v>
      </c>
      <c r="H2648">
        <v>10.909599999999999</v>
      </c>
      <c r="I2648">
        <v>5</v>
      </c>
      <c r="J2648">
        <v>2013</v>
      </c>
      <c r="K2648" t="s">
        <v>2209</v>
      </c>
      <c r="L2648" t="str">
        <f>TEXT(maintable_2[[#This Row],[Order Date]],"mmmm")</f>
        <v>November</v>
      </c>
    </row>
    <row r="2649" spans="1:12" x14ac:dyDescent="0.3">
      <c r="A2649" s="1">
        <v>41590</v>
      </c>
      <c r="B2649" s="1">
        <v>41595</v>
      </c>
      <c r="C2649" t="s">
        <v>274</v>
      </c>
      <c r="D2649" t="s">
        <v>71</v>
      </c>
      <c r="E2649" t="s">
        <v>285</v>
      </c>
      <c r="F2649">
        <v>451.15199999999999</v>
      </c>
      <c r="G2649">
        <v>3</v>
      </c>
      <c r="H2649">
        <v>0</v>
      </c>
      <c r="I2649">
        <v>5</v>
      </c>
      <c r="J2649">
        <v>2013</v>
      </c>
      <c r="K2649" t="s">
        <v>2209</v>
      </c>
      <c r="L2649" t="str">
        <f>TEXT(maintable_2[[#This Row],[Order Date]],"mmmm")</f>
        <v>November</v>
      </c>
    </row>
    <row r="2650" spans="1:12" x14ac:dyDescent="0.3">
      <c r="A2650" s="1">
        <v>41590</v>
      </c>
      <c r="B2650" s="1">
        <v>41595</v>
      </c>
      <c r="C2650" t="s">
        <v>274</v>
      </c>
      <c r="D2650" t="s">
        <v>17</v>
      </c>
      <c r="E2650" t="s">
        <v>1947</v>
      </c>
      <c r="F2650">
        <v>31.504000000000001</v>
      </c>
      <c r="G2650">
        <v>11</v>
      </c>
      <c r="H2650">
        <v>11.026400000000001</v>
      </c>
      <c r="I2650">
        <v>5</v>
      </c>
      <c r="J2650">
        <v>2013</v>
      </c>
      <c r="K2650" t="s">
        <v>2209</v>
      </c>
      <c r="L2650" t="str">
        <f>TEXT(maintable_2[[#This Row],[Order Date]],"mmmm")</f>
        <v>November</v>
      </c>
    </row>
    <row r="2651" spans="1:12" x14ac:dyDescent="0.3">
      <c r="A2651" s="1">
        <v>41890</v>
      </c>
      <c r="B2651" s="1">
        <v>41895</v>
      </c>
      <c r="C2651" t="s">
        <v>419</v>
      </c>
      <c r="D2651" t="s">
        <v>71</v>
      </c>
      <c r="E2651" t="s">
        <v>1496</v>
      </c>
      <c r="F2651">
        <v>161.56800000000001</v>
      </c>
      <c r="G2651">
        <v>2</v>
      </c>
      <c r="H2651">
        <v>-28.2744</v>
      </c>
      <c r="I2651">
        <v>5</v>
      </c>
      <c r="J2651">
        <v>2014</v>
      </c>
      <c r="K2651" t="s">
        <v>2209</v>
      </c>
      <c r="L2651" t="str">
        <f>TEXT(maintable_2[[#This Row],[Order Date]],"mmmm")</f>
        <v>September</v>
      </c>
    </row>
    <row r="2652" spans="1:12" x14ac:dyDescent="0.3">
      <c r="A2652" s="1">
        <v>40744</v>
      </c>
      <c r="B2652" s="1">
        <v>40747</v>
      </c>
      <c r="C2652" t="s">
        <v>1309</v>
      </c>
      <c r="D2652" t="s">
        <v>37</v>
      </c>
      <c r="E2652" t="s">
        <v>1998</v>
      </c>
      <c r="F2652">
        <v>41.94</v>
      </c>
      <c r="G2652">
        <v>2</v>
      </c>
      <c r="H2652">
        <v>15.0984</v>
      </c>
      <c r="I2652">
        <v>3</v>
      </c>
      <c r="J2652">
        <v>2011</v>
      </c>
      <c r="K2652" t="s">
        <v>2206</v>
      </c>
      <c r="L2652" t="str">
        <f>TEXT(maintable_2[[#This Row],[Order Date]],"mmmm")</f>
        <v>July</v>
      </c>
    </row>
    <row r="2653" spans="1:12" x14ac:dyDescent="0.3">
      <c r="A2653" s="1">
        <v>40744</v>
      </c>
      <c r="B2653" s="1">
        <v>40747</v>
      </c>
      <c r="C2653" t="s">
        <v>1309</v>
      </c>
      <c r="D2653" t="s">
        <v>44</v>
      </c>
      <c r="E2653" t="s">
        <v>1857</v>
      </c>
      <c r="F2653">
        <v>11.96</v>
      </c>
      <c r="G2653">
        <v>2</v>
      </c>
      <c r="H2653">
        <v>5.8604000000000003</v>
      </c>
      <c r="I2653">
        <v>3</v>
      </c>
      <c r="J2653">
        <v>2011</v>
      </c>
      <c r="K2653" t="s">
        <v>2206</v>
      </c>
      <c r="L2653" t="str">
        <f>TEXT(maintable_2[[#This Row],[Order Date]],"mmmm")</f>
        <v>July</v>
      </c>
    </row>
    <row r="2654" spans="1:12" x14ac:dyDescent="0.3">
      <c r="A2654" s="1">
        <v>40744</v>
      </c>
      <c r="B2654" s="1">
        <v>40747</v>
      </c>
      <c r="C2654" t="s">
        <v>1309</v>
      </c>
      <c r="D2654" t="s">
        <v>13</v>
      </c>
      <c r="E2654" t="s">
        <v>2062</v>
      </c>
      <c r="F2654">
        <v>13.12</v>
      </c>
      <c r="G2654">
        <v>4</v>
      </c>
      <c r="H2654">
        <v>3.8048000000000002</v>
      </c>
      <c r="I2654">
        <v>3</v>
      </c>
      <c r="J2654">
        <v>2011</v>
      </c>
      <c r="K2654" t="s">
        <v>2206</v>
      </c>
      <c r="L2654" t="str">
        <f>TEXT(maintable_2[[#This Row],[Order Date]],"mmmm")</f>
        <v>July</v>
      </c>
    </row>
    <row r="2655" spans="1:12" x14ac:dyDescent="0.3">
      <c r="A2655" s="1">
        <v>40744</v>
      </c>
      <c r="B2655" s="1">
        <v>40747</v>
      </c>
      <c r="C2655" t="s">
        <v>1309</v>
      </c>
      <c r="D2655" t="s">
        <v>27</v>
      </c>
      <c r="E2655" t="s">
        <v>2055</v>
      </c>
      <c r="F2655">
        <v>535.41</v>
      </c>
      <c r="G2655">
        <v>3</v>
      </c>
      <c r="H2655">
        <v>160.62299999999999</v>
      </c>
      <c r="I2655">
        <v>3</v>
      </c>
      <c r="J2655">
        <v>2011</v>
      </c>
      <c r="K2655" t="s">
        <v>2206</v>
      </c>
      <c r="L2655" t="str">
        <f>TEXT(maintable_2[[#This Row],[Order Date]],"mmmm")</f>
        <v>July</v>
      </c>
    </row>
    <row r="2656" spans="1:12" x14ac:dyDescent="0.3">
      <c r="A2656" s="1">
        <v>40955</v>
      </c>
      <c r="B2656" s="1">
        <v>40960</v>
      </c>
      <c r="C2656" t="s">
        <v>1202</v>
      </c>
      <c r="D2656" t="s">
        <v>44</v>
      </c>
      <c r="E2656" t="s">
        <v>465</v>
      </c>
      <c r="F2656">
        <v>36.840000000000003</v>
      </c>
      <c r="G2656">
        <v>3</v>
      </c>
      <c r="H2656">
        <v>17.314800000000002</v>
      </c>
      <c r="I2656">
        <v>5</v>
      </c>
      <c r="J2656">
        <v>2012</v>
      </c>
      <c r="K2656" t="s">
        <v>2210</v>
      </c>
      <c r="L2656" t="str">
        <f>TEXT(maintable_2[[#This Row],[Order Date]],"mmmm")</f>
        <v>February</v>
      </c>
    </row>
    <row r="2657" spans="1:12" x14ac:dyDescent="0.3">
      <c r="A2657" s="1">
        <v>40955</v>
      </c>
      <c r="B2657" s="1">
        <v>40960</v>
      </c>
      <c r="C2657" t="s">
        <v>1202</v>
      </c>
      <c r="D2657" t="s">
        <v>8</v>
      </c>
      <c r="E2657" t="s">
        <v>1184</v>
      </c>
      <c r="F2657">
        <v>87.71</v>
      </c>
      <c r="G2657">
        <v>7</v>
      </c>
      <c r="H2657">
        <v>41.223700000000001</v>
      </c>
      <c r="I2657">
        <v>5</v>
      </c>
      <c r="J2657">
        <v>2012</v>
      </c>
      <c r="K2657" t="s">
        <v>2210</v>
      </c>
      <c r="L2657" t="str">
        <f>TEXT(maintable_2[[#This Row],[Order Date]],"mmmm")</f>
        <v>February</v>
      </c>
    </row>
    <row r="2658" spans="1:12" x14ac:dyDescent="0.3">
      <c r="A2658" s="1">
        <v>41310</v>
      </c>
      <c r="B2658" s="1">
        <v>41315</v>
      </c>
      <c r="C2658" t="s">
        <v>1826</v>
      </c>
      <c r="D2658" t="s">
        <v>8</v>
      </c>
      <c r="E2658" t="s">
        <v>2063</v>
      </c>
      <c r="F2658">
        <v>14.73</v>
      </c>
      <c r="G2658">
        <v>3</v>
      </c>
      <c r="H2658">
        <v>7.2176999999999998</v>
      </c>
      <c r="I2658">
        <v>5</v>
      </c>
      <c r="J2658">
        <v>2013</v>
      </c>
      <c r="K2658" t="s">
        <v>2210</v>
      </c>
      <c r="L2658" t="str">
        <f>TEXT(maintable_2[[#This Row],[Order Date]],"mmmm")</f>
        <v>February</v>
      </c>
    </row>
    <row r="2659" spans="1:12" x14ac:dyDescent="0.3">
      <c r="A2659" s="1">
        <v>41310</v>
      </c>
      <c r="B2659" s="1">
        <v>41315</v>
      </c>
      <c r="C2659" t="s">
        <v>1826</v>
      </c>
      <c r="D2659" t="s">
        <v>27</v>
      </c>
      <c r="E2659" t="s">
        <v>496</v>
      </c>
      <c r="F2659">
        <v>186.54</v>
      </c>
      <c r="G2659">
        <v>3</v>
      </c>
      <c r="H2659">
        <v>50.3658</v>
      </c>
      <c r="I2659">
        <v>5</v>
      </c>
      <c r="J2659">
        <v>2013</v>
      </c>
      <c r="K2659" t="s">
        <v>2210</v>
      </c>
      <c r="L2659" t="str">
        <f>TEXT(maintable_2[[#This Row],[Order Date]],"mmmm")</f>
        <v>February</v>
      </c>
    </row>
    <row r="2660" spans="1:12" x14ac:dyDescent="0.3">
      <c r="A2660" s="1">
        <v>41310</v>
      </c>
      <c r="B2660" s="1">
        <v>41315</v>
      </c>
      <c r="C2660" t="s">
        <v>1826</v>
      </c>
      <c r="D2660" t="s">
        <v>21</v>
      </c>
      <c r="E2660" t="s">
        <v>1446</v>
      </c>
      <c r="F2660">
        <v>557.72799999999995</v>
      </c>
      <c r="G2660">
        <v>4</v>
      </c>
      <c r="H2660">
        <v>6.9715999999999996</v>
      </c>
      <c r="I2660">
        <v>5</v>
      </c>
      <c r="J2660">
        <v>2013</v>
      </c>
      <c r="K2660" t="s">
        <v>2210</v>
      </c>
      <c r="L2660" t="str">
        <f>TEXT(maintable_2[[#This Row],[Order Date]],"mmmm")</f>
        <v>February</v>
      </c>
    </row>
    <row r="2661" spans="1:12" x14ac:dyDescent="0.3">
      <c r="A2661" s="1">
        <v>41310</v>
      </c>
      <c r="B2661" s="1">
        <v>41315</v>
      </c>
      <c r="C2661" t="s">
        <v>1826</v>
      </c>
      <c r="D2661" t="s">
        <v>15</v>
      </c>
      <c r="E2661" t="s">
        <v>1819</v>
      </c>
      <c r="F2661">
        <v>159.96799999999999</v>
      </c>
      <c r="G2661">
        <v>4</v>
      </c>
      <c r="H2661">
        <v>-31.993600000000001</v>
      </c>
      <c r="I2661">
        <v>5</v>
      </c>
      <c r="J2661">
        <v>2013</v>
      </c>
      <c r="K2661" t="s">
        <v>2210</v>
      </c>
      <c r="L2661" t="str">
        <f>TEXT(maintable_2[[#This Row],[Order Date]],"mmmm")</f>
        <v>February</v>
      </c>
    </row>
    <row r="2662" spans="1:12" x14ac:dyDescent="0.3">
      <c r="A2662" s="1">
        <v>41636</v>
      </c>
      <c r="B2662" s="1">
        <v>41640</v>
      </c>
      <c r="C2662" t="s">
        <v>1112</v>
      </c>
      <c r="D2662" t="s">
        <v>8</v>
      </c>
      <c r="E2662" t="s">
        <v>953</v>
      </c>
      <c r="F2662">
        <v>20.16</v>
      </c>
      <c r="G2662">
        <v>7</v>
      </c>
      <c r="H2662">
        <v>9.8783999999999992</v>
      </c>
      <c r="I2662">
        <v>4</v>
      </c>
      <c r="J2662">
        <v>2013</v>
      </c>
      <c r="K2662" t="s">
        <v>2207</v>
      </c>
      <c r="L2662" t="str">
        <f>TEXT(maintable_2[[#This Row],[Order Date]],"mmmm")</f>
        <v>December</v>
      </c>
    </row>
    <row r="2663" spans="1:12" x14ac:dyDescent="0.3">
      <c r="A2663" s="1">
        <v>41722</v>
      </c>
      <c r="B2663" s="1">
        <v>41724</v>
      </c>
      <c r="C2663" t="s">
        <v>1955</v>
      </c>
      <c r="D2663" t="s">
        <v>27</v>
      </c>
      <c r="E2663" t="s">
        <v>2041</v>
      </c>
      <c r="F2663">
        <v>32.479999999999997</v>
      </c>
      <c r="G2663">
        <v>2</v>
      </c>
      <c r="H2663">
        <v>4.8719999999999999</v>
      </c>
      <c r="I2663">
        <v>2</v>
      </c>
      <c r="J2663">
        <v>2014</v>
      </c>
      <c r="K2663" t="s">
        <v>2208</v>
      </c>
      <c r="L2663" t="str">
        <f>TEXT(maintable_2[[#This Row],[Order Date]],"mmmm")</f>
        <v>March</v>
      </c>
    </row>
    <row r="2664" spans="1:12" x14ac:dyDescent="0.3">
      <c r="A2664" s="1">
        <v>41722</v>
      </c>
      <c r="B2664" s="1">
        <v>41724</v>
      </c>
      <c r="C2664" t="s">
        <v>1955</v>
      </c>
      <c r="D2664" t="s">
        <v>44</v>
      </c>
      <c r="E2664" t="s">
        <v>548</v>
      </c>
      <c r="F2664">
        <v>20.04</v>
      </c>
      <c r="G2664">
        <v>3</v>
      </c>
      <c r="H2664">
        <v>9.6191999999999993</v>
      </c>
      <c r="I2664">
        <v>2</v>
      </c>
      <c r="J2664">
        <v>2014</v>
      </c>
      <c r="K2664" t="s">
        <v>2208</v>
      </c>
      <c r="L2664" t="str">
        <f>TEXT(maintable_2[[#This Row],[Order Date]],"mmmm")</f>
        <v>March</v>
      </c>
    </row>
    <row r="2665" spans="1:12" x14ac:dyDescent="0.3">
      <c r="A2665" s="1">
        <v>41722</v>
      </c>
      <c r="B2665" s="1">
        <v>41724</v>
      </c>
      <c r="C2665" t="s">
        <v>1955</v>
      </c>
      <c r="D2665" t="s">
        <v>163</v>
      </c>
      <c r="E2665" t="s">
        <v>2064</v>
      </c>
      <c r="F2665">
        <v>13999.96</v>
      </c>
      <c r="G2665">
        <v>4</v>
      </c>
      <c r="H2665">
        <v>6719.9808000000003</v>
      </c>
      <c r="I2665">
        <v>2</v>
      </c>
      <c r="J2665">
        <v>2014</v>
      </c>
      <c r="K2665" t="s">
        <v>2208</v>
      </c>
      <c r="L2665" t="str">
        <f>TEXT(maintable_2[[#This Row],[Order Date]],"mmmm")</f>
        <v>March</v>
      </c>
    </row>
    <row r="2666" spans="1:12" x14ac:dyDescent="0.3">
      <c r="A2666" s="1">
        <v>41597</v>
      </c>
      <c r="B2666" s="1">
        <v>41601</v>
      </c>
      <c r="C2666" t="s">
        <v>382</v>
      </c>
      <c r="D2666" t="s">
        <v>37</v>
      </c>
      <c r="E2666" t="s">
        <v>963</v>
      </c>
      <c r="F2666">
        <v>595</v>
      </c>
      <c r="G2666">
        <v>5</v>
      </c>
      <c r="H2666">
        <v>95.2</v>
      </c>
      <c r="I2666">
        <v>4</v>
      </c>
      <c r="J2666">
        <v>2013</v>
      </c>
      <c r="K2666" t="s">
        <v>2209</v>
      </c>
      <c r="L2666" t="str">
        <f>TEXT(maintable_2[[#This Row],[Order Date]],"mmmm")</f>
        <v>November</v>
      </c>
    </row>
    <row r="2667" spans="1:12" x14ac:dyDescent="0.3">
      <c r="A2667" s="1">
        <v>41215</v>
      </c>
      <c r="B2667" s="1">
        <v>41219</v>
      </c>
      <c r="C2667" t="s">
        <v>363</v>
      </c>
      <c r="D2667" t="s">
        <v>11</v>
      </c>
      <c r="E2667" t="s">
        <v>2065</v>
      </c>
      <c r="F2667">
        <v>96.96</v>
      </c>
      <c r="G2667">
        <v>6</v>
      </c>
      <c r="H2667">
        <v>33.936</v>
      </c>
      <c r="I2667">
        <v>4</v>
      </c>
      <c r="J2667">
        <v>2012</v>
      </c>
      <c r="K2667" t="s">
        <v>2209</v>
      </c>
      <c r="L2667" t="str">
        <f>TEXT(maintable_2[[#This Row],[Order Date]],"mmmm")</f>
        <v>November</v>
      </c>
    </row>
    <row r="2668" spans="1:12" x14ac:dyDescent="0.3">
      <c r="A2668" s="1">
        <v>41215</v>
      </c>
      <c r="B2668" s="1">
        <v>41219</v>
      </c>
      <c r="C2668" t="s">
        <v>363</v>
      </c>
      <c r="D2668" t="s">
        <v>17</v>
      </c>
      <c r="E2668" t="s">
        <v>1411</v>
      </c>
      <c r="F2668">
        <v>117.488</v>
      </c>
      <c r="G2668">
        <v>7</v>
      </c>
      <c r="H2668">
        <v>41.120800000000003</v>
      </c>
      <c r="I2668">
        <v>4</v>
      </c>
      <c r="J2668">
        <v>2012</v>
      </c>
      <c r="K2668" t="s">
        <v>2209</v>
      </c>
      <c r="L2668" t="str">
        <f>TEXT(maintable_2[[#This Row],[Order Date]],"mmmm")</f>
        <v>November</v>
      </c>
    </row>
    <row r="2669" spans="1:12" x14ac:dyDescent="0.3">
      <c r="A2669" s="1">
        <v>41215</v>
      </c>
      <c r="B2669" s="1">
        <v>41219</v>
      </c>
      <c r="C2669" t="s">
        <v>363</v>
      </c>
      <c r="D2669" t="s">
        <v>17</v>
      </c>
      <c r="E2669" t="s">
        <v>335</v>
      </c>
      <c r="F2669">
        <v>11.952</v>
      </c>
      <c r="G2669">
        <v>3</v>
      </c>
      <c r="H2669">
        <v>4.1832000000000003</v>
      </c>
      <c r="I2669">
        <v>4</v>
      </c>
      <c r="J2669">
        <v>2012</v>
      </c>
      <c r="K2669" t="s">
        <v>2209</v>
      </c>
      <c r="L2669" t="str">
        <f>TEXT(maintable_2[[#This Row],[Order Date]],"mmmm")</f>
        <v>November</v>
      </c>
    </row>
    <row r="2670" spans="1:12" x14ac:dyDescent="0.3">
      <c r="A2670" s="1">
        <v>41215</v>
      </c>
      <c r="B2670" s="1">
        <v>41219</v>
      </c>
      <c r="C2670" t="s">
        <v>363</v>
      </c>
      <c r="D2670" t="s">
        <v>196</v>
      </c>
      <c r="E2670" t="s">
        <v>1001</v>
      </c>
      <c r="F2670">
        <v>512.49900000000002</v>
      </c>
      <c r="G2670">
        <v>3</v>
      </c>
      <c r="H2670">
        <v>-30.146999999999998</v>
      </c>
      <c r="I2670">
        <v>4</v>
      </c>
      <c r="J2670">
        <v>2012</v>
      </c>
      <c r="K2670" t="s">
        <v>2209</v>
      </c>
      <c r="L2670" t="str">
        <f>TEXT(maintable_2[[#This Row],[Order Date]],"mmmm")</f>
        <v>November</v>
      </c>
    </row>
    <row r="2671" spans="1:12" x14ac:dyDescent="0.3">
      <c r="A2671" s="1">
        <v>41487</v>
      </c>
      <c r="B2671" s="1">
        <v>41492</v>
      </c>
      <c r="C2671" t="s">
        <v>1428</v>
      </c>
      <c r="D2671" t="s">
        <v>21</v>
      </c>
      <c r="E2671" t="s">
        <v>333</v>
      </c>
      <c r="F2671">
        <v>863.12800000000004</v>
      </c>
      <c r="G2671">
        <v>7</v>
      </c>
      <c r="H2671">
        <v>-32.3673</v>
      </c>
      <c r="I2671">
        <v>5</v>
      </c>
      <c r="J2671">
        <v>2013</v>
      </c>
      <c r="K2671" t="s">
        <v>2206</v>
      </c>
      <c r="L2671" t="str">
        <f>TEXT(maintable_2[[#This Row],[Order Date]],"mmmm")</f>
        <v>August</v>
      </c>
    </row>
    <row r="2672" spans="1:12" x14ac:dyDescent="0.3">
      <c r="A2672" s="1">
        <v>41950</v>
      </c>
      <c r="B2672" s="1">
        <v>41957</v>
      </c>
      <c r="C2672" t="s">
        <v>1570</v>
      </c>
      <c r="D2672" t="s">
        <v>21</v>
      </c>
      <c r="E2672" t="s">
        <v>168</v>
      </c>
      <c r="F2672">
        <v>2036.86</v>
      </c>
      <c r="G2672">
        <v>7</v>
      </c>
      <c r="H2672">
        <v>366.63479999999998</v>
      </c>
      <c r="I2672">
        <v>7</v>
      </c>
      <c r="J2672">
        <v>2014</v>
      </c>
      <c r="K2672" t="s">
        <v>2209</v>
      </c>
      <c r="L2672" t="str">
        <f>TEXT(maintable_2[[#This Row],[Order Date]],"mmmm")</f>
        <v>November</v>
      </c>
    </row>
    <row r="2673" spans="1:12" x14ac:dyDescent="0.3">
      <c r="A2673" s="1">
        <v>41950</v>
      </c>
      <c r="B2673" s="1">
        <v>41957</v>
      </c>
      <c r="C2673" t="s">
        <v>1570</v>
      </c>
      <c r="D2673" t="s">
        <v>71</v>
      </c>
      <c r="E2673" t="s">
        <v>570</v>
      </c>
      <c r="F2673">
        <v>449.56799999999998</v>
      </c>
      <c r="G2673">
        <v>2</v>
      </c>
      <c r="H2673">
        <v>-73.0548</v>
      </c>
      <c r="I2673">
        <v>7</v>
      </c>
      <c r="J2673">
        <v>2014</v>
      </c>
      <c r="K2673" t="s">
        <v>2209</v>
      </c>
      <c r="L2673" t="str">
        <f>TEXT(maintable_2[[#This Row],[Order Date]],"mmmm")</f>
        <v>November</v>
      </c>
    </row>
    <row r="2674" spans="1:12" x14ac:dyDescent="0.3">
      <c r="A2674" s="1">
        <v>41950</v>
      </c>
      <c r="B2674" s="1">
        <v>41957</v>
      </c>
      <c r="C2674" t="s">
        <v>1570</v>
      </c>
      <c r="D2674" t="s">
        <v>37</v>
      </c>
      <c r="E2674" t="s">
        <v>743</v>
      </c>
      <c r="F2674">
        <v>108.96</v>
      </c>
      <c r="G2674">
        <v>3</v>
      </c>
      <c r="H2674">
        <v>32.688000000000002</v>
      </c>
      <c r="I2674">
        <v>7</v>
      </c>
      <c r="J2674">
        <v>2014</v>
      </c>
      <c r="K2674" t="s">
        <v>2209</v>
      </c>
      <c r="L2674" t="str">
        <f>TEXT(maintable_2[[#This Row],[Order Date]],"mmmm")</f>
        <v>November</v>
      </c>
    </row>
    <row r="2675" spans="1:12" x14ac:dyDescent="0.3">
      <c r="A2675" s="1">
        <v>40733</v>
      </c>
      <c r="B2675" s="1">
        <v>40737</v>
      </c>
      <c r="C2675" t="s">
        <v>1168</v>
      </c>
      <c r="D2675" t="s">
        <v>8</v>
      </c>
      <c r="E2675" t="s">
        <v>1852</v>
      </c>
      <c r="F2675">
        <v>2.88</v>
      </c>
      <c r="G2675">
        <v>1</v>
      </c>
      <c r="H2675">
        <v>1.4112</v>
      </c>
      <c r="I2675">
        <v>4</v>
      </c>
      <c r="J2675">
        <v>2011</v>
      </c>
      <c r="K2675" t="s">
        <v>2206</v>
      </c>
      <c r="L2675" t="str">
        <f>TEXT(maintable_2[[#This Row],[Order Date]],"mmmm")</f>
        <v>July</v>
      </c>
    </row>
    <row r="2676" spans="1:12" x14ac:dyDescent="0.3">
      <c r="A2676" s="1">
        <v>40733</v>
      </c>
      <c r="B2676" s="1">
        <v>40737</v>
      </c>
      <c r="C2676" t="s">
        <v>1168</v>
      </c>
      <c r="D2676" t="s">
        <v>17</v>
      </c>
      <c r="E2676" t="s">
        <v>344</v>
      </c>
      <c r="F2676">
        <v>41.904000000000003</v>
      </c>
      <c r="G2676">
        <v>6</v>
      </c>
      <c r="H2676">
        <v>14.1426</v>
      </c>
      <c r="I2676">
        <v>4</v>
      </c>
      <c r="J2676">
        <v>2011</v>
      </c>
      <c r="K2676" t="s">
        <v>2206</v>
      </c>
      <c r="L2676" t="str">
        <f>TEXT(maintable_2[[#This Row],[Order Date]],"mmmm")</f>
        <v>July</v>
      </c>
    </row>
    <row r="2677" spans="1:12" x14ac:dyDescent="0.3">
      <c r="A2677" s="1">
        <v>40733</v>
      </c>
      <c r="B2677" s="1">
        <v>40737</v>
      </c>
      <c r="C2677" t="s">
        <v>1168</v>
      </c>
      <c r="D2677" t="s">
        <v>27</v>
      </c>
      <c r="E2677" t="s">
        <v>793</v>
      </c>
      <c r="F2677">
        <v>23.92</v>
      </c>
      <c r="G2677">
        <v>4</v>
      </c>
      <c r="H2677">
        <v>4.0663999999999998</v>
      </c>
      <c r="I2677">
        <v>4</v>
      </c>
      <c r="J2677">
        <v>2011</v>
      </c>
      <c r="K2677" t="s">
        <v>2206</v>
      </c>
      <c r="L2677" t="str">
        <f>TEXT(maintable_2[[#This Row],[Order Date]],"mmmm")</f>
        <v>July</v>
      </c>
    </row>
    <row r="2678" spans="1:12" x14ac:dyDescent="0.3">
      <c r="A2678" s="1">
        <v>41996</v>
      </c>
      <c r="B2678" s="1">
        <v>41998</v>
      </c>
      <c r="C2678" t="s">
        <v>1952</v>
      </c>
      <c r="D2678" t="s">
        <v>37</v>
      </c>
      <c r="E2678" t="s">
        <v>1696</v>
      </c>
      <c r="F2678">
        <v>474.95</v>
      </c>
      <c r="G2678">
        <v>5</v>
      </c>
      <c r="H2678">
        <v>142.48500000000001</v>
      </c>
      <c r="I2678">
        <v>2</v>
      </c>
      <c r="J2678">
        <v>2014</v>
      </c>
      <c r="K2678" t="s">
        <v>2207</v>
      </c>
      <c r="L2678" t="str">
        <f>TEXT(maintable_2[[#This Row],[Order Date]],"mmmm")</f>
        <v>December</v>
      </c>
    </row>
    <row r="2679" spans="1:12" x14ac:dyDescent="0.3">
      <c r="A2679" s="1">
        <v>41520</v>
      </c>
      <c r="B2679" s="1">
        <v>41526</v>
      </c>
      <c r="C2679" t="s">
        <v>894</v>
      </c>
      <c r="D2679" t="s">
        <v>163</v>
      </c>
      <c r="E2679" t="s">
        <v>353</v>
      </c>
      <c r="F2679">
        <v>999.98</v>
      </c>
      <c r="G2679">
        <v>2</v>
      </c>
      <c r="H2679">
        <v>449.99099999999999</v>
      </c>
      <c r="I2679">
        <v>6</v>
      </c>
      <c r="J2679">
        <v>2013</v>
      </c>
      <c r="K2679" t="s">
        <v>2209</v>
      </c>
      <c r="L2679" t="str">
        <f>TEXT(maintable_2[[#This Row],[Order Date]],"mmmm")</f>
        <v>September</v>
      </c>
    </row>
    <row r="2680" spans="1:12" x14ac:dyDescent="0.3">
      <c r="A2680" s="1">
        <v>41123</v>
      </c>
      <c r="B2680" s="1">
        <v>41127</v>
      </c>
      <c r="C2680" t="s">
        <v>1606</v>
      </c>
      <c r="D2680" t="s">
        <v>21</v>
      </c>
      <c r="E2680" t="s">
        <v>1311</v>
      </c>
      <c r="F2680">
        <v>277.5</v>
      </c>
      <c r="G2680">
        <v>4</v>
      </c>
      <c r="H2680">
        <v>-188.7</v>
      </c>
      <c r="I2680">
        <v>4</v>
      </c>
      <c r="J2680">
        <v>2012</v>
      </c>
      <c r="K2680" t="s">
        <v>2206</v>
      </c>
      <c r="L2680" t="str">
        <f>TEXT(maintable_2[[#This Row],[Order Date]],"mmmm")</f>
        <v>August</v>
      </c>
    </row>
    <row r="2681" spans="1:12" x14ac:dyDescent="0.3">
      <c r="A2681" s="1">
        <v>41249</v>
      </c>
      <c r="B2681" s="1">
        <v>41254</v>
      </c>
      <c r="C2681" t="s">
        <v>124</v>
      </c>
      <c r="D2681" t="s">
        <v>44</v>
      </c>
      <c r="E2681" t="s">
        <v>668</v>
      </c>
      <c r="F2681">
        <v>8.9600000000000009</v>
      </c>
      <c r="G2681">
        <v>2</v>
      </c>
      <c r="H2681">
        <v>4.3903999999999996</v>
      </c>
      <c r="I2681">
        <v>5</v>
      </c>
      <c r="J2681">
        <v>2012</v>
      </c>
      <c r="K2681" t="s">
        <v>2207</v>
      </c>
      <c r="L2681" t="str">
        <f>TEXT(maintable_2[[#This Row],[Order Date]],"mmmm")</f>
        <v>December</v>
      </c>
    </row>
    <row r="2682" spans="1:12" x14ac:dyDescent="0.3">
      <c r="A2682" s="1">
        <v>41438</v>
      </c>
      <c r="B2682" s="1">
        <v>41442</v>
      </c>
      <c r="C2682" t="s">
        <v>1683</v>
      </c>
      <c r="D2682" t="s">
        <v>44</v>
      </c>
      <c r="E2682" t="s">
        <v>771</v>
      </c>
      <c r="F2682">
        <v>185.88</v>
      </c>
      <c r="G2682">
        <v>6</v>
      </c>
      <c r="H2682">
        <v>83.646000000000001</v>
      </c>
      <c r="I2682">
        <v>4</v>
      </c>
      <c r="J2682">
        <v>2013</v>
      </c>
      <c r="K2682" t="s">
        <v>2206</v>
      </c>
      <c r="L2682" t="str">
        <f>TEXT(maintable_2[[#This Row],[Order Date]],"mmmm")</f>
        <v>June</v>
      </c>
    </row>
    <row r="2683" spans="1:12" x14ac:dyDescent="0.3">
      <c r="A2683" s="1">
        <v>41438</v>
      </c>
      <c r="B2683" s="1">
        <v>41442</v>
      </c>
      <c r="C2683" t="s">
        <v>1683</v>
      </c>
      <c r="D2683" t="s">
        <v>44</v>
      </c>
      <c r="E2683" t="s">
        <v>1073</v>
      </c>
      <c r="F2683">
        <v>12.96</v>
      </c>
      <c r="G2683">
        <v>2</v>
      </c>
      <c r="H2683">
        <v>6.2207999999999997</v>
      </c>
      <c r="I2683">
        <v>4</v>
      </c>
      <c r="J2683">
        <v>2013</v>
      </c>
      <c r="K2683" t="s">
        <v>2206</v>
      </c>
      <c r="L2683" t="str">
        <f>TEXT(maintable_2[[#This Row],[Order Date]],"mmmm")</f>
        <v>June</v>
      </c>
    </row>
    <row r="2684" spans="1:12" x14ac:dyDescent="0.3">
      <c r="A2684" s="1">
        <v>40808</v>
      </c>
      <c r="B2684" s="1">
        <v>40814</v>
      </c>
      <c r="C2684" t="s">
        <v>1042</v>
      </c>
      <c r="D2684" t="s">
        <v>27</v>
      </c>
      <c r="E2684" t="s">
        <v>1106</v>
      </c>
      <c r="F2684">
        <v>169.45</v>
      </c>
      <c r="G2684">
        <v>5</v>
      </c>
      <c r="H2684">
        <v>42.362499999999997</v>
      </c>
      <c r="I2684">
        <v>6</v>
      </c>
      <c r="J2684">
        <v>2011</v>
      </c>
      <c r="K2684" t="s">
        <v>2209</v>
      </c>
      <c r="L2684" t="str">
        <f>TEXT(maintable_2[[#This Row],[Order Date]],"mmmm")</f>
        <v>September</v>
      </c>
    </row>
    <row r="2685" spans="1:12" x14ac:dyDescent="0.3">
      <c r="A2685" s="1">
        <v>40808</v>
      </c>
      <c r="B2685" s="1">
        <v>40814</v>
      </c>
      <c r="C2685" t="s">
        <v>1042</v>
      </c>
      <c r="D2685" t="s">
        <v>27</v>
      </c>
      <c r="E2685" t="s">
        <v>1454</v>
      </c>
      <c r="F2685">
        <v>40.68</v>
      </c>
      <c r="G2685">
        <v>2</v>
      </c>
      <c r="H2685">
        <v>0.40679999999999999</v>
      </c>
      <c r="I2685">
        <v>6</v>
      </c>
      <c r="J2685">
        <v>2011</v>
      </c>
      <c r="K2685" t="s">
        <v>2209</v>
      </c>
      <c r="L2685" t="str">
        <f>TEXT(maintable_2[[#This Row],[Order Date]],"mmmm")</f>
        <v>September</v>
      </c>
    </row>
    <row r="2686" spans="1:12" x14ac:dyDescent="0.3">
      <c r="A2686" s="1">
        <v>40767</v>
      </c>
      <c r="B2686" s="1">
        <v>40771</v>
      </c>
      <c r="C2686" t="s">
        <v>923</v>
      </c>
      <c r="D2686" t="s">
        <v>15</v>
      </c>
      <c r="E2686" t="s">
        <v>1140</v>
      </c>
      <c r="F2686">
        <v>806.33600000000001</v>
      </c>
      <c r="G2686">
        <v>8</v>
      </c>
      <c r="H2686">
        <v>50.396000000000001</v>
      </c>
      <c r="I2686">
        <v>4</v>
      </c>
      <c r="J2686">
        <v>2011</v>
      </c>
      <c r="K2686" t="s">
        <v>2206</v>
      </c>
      <c r="L2686" t="str">
        <f>TEXT(maintable_2[[#This Row],[Order Date]],"mmmm")</f>
        <v>August</v>
      </c>
    </row>
    <row r="2687" spans="1:12" x14ac:dyDescent="0.3">
      <c r="A2687" s="1">
        <v>40767</v>
      </c>
      <c r="B2687" s="1">
        <v>40771</v>
      </c>
      <c r="C2687" t="s">
        <v>923</v>
      </c>
      <c r="D2687" t="s">
        <v>11</v>
      </c>
      <c r="E2687" t="s">
        <v>752</v>
      </c>
      <c r="F2687">
        <v>85.44</v>
      </c>
      <c r="G2687">
        <v>3</v>
      </c>
      <c r="H2687">
        <v>31.6128</v>
      </c>
      <c r="I2687">
        <v>4</v>
      </c>
      <c r="J2687">
        <v>2011</v>
      </c>
      <c r="K2687" t="s">
        <v>2206</v>
      </c>
      <c r="L2687" t="str">
        <f>TEXT(maintable_2[[#This Row],[Order Date]],"mmmm")</f>
        <v>August</v>
      </c>
    </row>
    <row r="2688" spans="1:12" x14ac:dyDescent="0.3">
      <c r="A2688" s="1">
        <v>41864</v>
      </c>
      <c r="B2688" s="1">
        <v>41871</v>
      </c>
      <c r="C2688" t="s">
        <v>2066</v>
      </c>
      <c r="D2688" t="s">
        <v>163</v>
      </c>
      <c r="E2688" t="s">
        <v>950</v>
      </c>
      <c r="F2688">
        <v>299.99</v>
      </c>
      <c r="G2688">
        <v>1</v>
      </c>
      <c r="H2688">
        <v>89.997</v>
      </c>
      <c r="I2688">
        <v>7</v>
      </c>
      <c r="J2688">
        <v>2014</v>
      </c>
      <c r="K2688" t="s">
        <v>2206</v>
      </c>
      <c r="L2688" t="str">
        <f>TEXT(maintable_2[[#This Row],[Order Date]],"mmmm")</f>
        <v>August</v>
      </c>
    </row>
    <row r="2689" spans="1:12" x14ac:dyDescent="0.3">
      <c r="A2689" s="1">
        <v>41864</v>
      </c>
      <c r="B2689" s="1">
        <v>41871</v>
      </c>
      <c r="C2689" t="s">
        <v>2066</v>
      </c>
      <c r="D2689" t="s">
        <v>44</v>
      </c>
      <c r="E2689" t="s">
        <v>2067</v>
      </c>
      <c r="F2689">
        <v>192.16</v>
      </c>
      <c r="G2689">
        <v>4</v>
      </c>
      <c r="H2689">
        <v>92.236800000000002</v>
      </c>
      <c r="I2689">
        <v>7</v>
      </c>
      <c r="J2689">
        <v>2014</v>
      </c>
      <c r="K2689" t="s">
        <v>2206</v>
      </c>
      <c r="L2689" t="str">
        <f>TEXT(maintable_2[[#This Row],[Order Date]],"mmmm")</f>
        <v>August</v>
      </c>
    </row>
    <row r="2690" spans="1:12" x14ac:dyDescent="0.3">
      <c r="A2690" s="1">
        <v>41864</v>
      </c>
      <c r="B2690" s="1">
        <v>41871</v>
      </c>
      <c r="C2690" t="s">
        <v>2066</v>
      </c>
      <c r="D2690" t="s">
        <v>15</v>
      </c>
      <c r="E2690" t="s">
        <v>2068</v>
      </c>
      <c r="F2690">
        <v>242.624</v>
      </c>
      <c r="G2690">
        <v>8</v>
      </c>
      <c r="H2690">
        <v>27.295200000000001</v>
      </c>
      <c r="I2690">
        <v>7</v>
      </c>
      <c r="J2690">
        <v>2014</v>
      </c>
      <c r="K2690" t="s">
        <v>2206</v>
      </c>
      <c r="L2690" t="str">
        <f>TEXT(maintable_2[[#This Row],[Order Date]],"mmmm")</f>
        <v>August</v>
      </c>
    </row>
    <row r="2691" spans="1:12" x14ac:dyDescent="0.3">
      <c r="A2691" s="1">
        <v>41864</v>
      </c>
      <c r="B2691" s="1">
        <v>41871</v>
      </c>
      <c r="C2691" t="s">
        <v>2066</v>
      </c>
      <c r="D2691" t="s">
        <v>27</v>
      </c>
      <c r="E2691" t="s">
        <v>1641</v>
      </c>
      <c r="F2691">
        <v>46.74</v>
      </c>
      <c r="G2691">
        <v>3</v>
      </c>
      <c r="H2691">
        <v>11.685</v>
      </c>
      <c r="I2691">
        <v>7</v>
      </c>
      <c r="J2691">
        <v>2014</v>
      </c>
      <c r="K2691" t="s">
        <v>2206</v>
      </c>
      <c r="L2691" t="str">
        <f>TEXT(maintable_2[[#This Row],[Order Date]],"mmmm")</f>
        <v>August</v>
      </c>
    </row>
    <row r="2692" spans="1:12" x14ac:dyDescent="0.3">
      <c r="A2692" s="1">
        <v>41864</v>
      </c>
      <c r="B2692" s="1">
        <v>41871</v>
      </c>
      <c r="C2692" t="s">
        <v>2066</v>
      </c>
      <c r="D2692" t="s">
        <v>37</v>
      </c>
      <c r="E2692" t="s">
        <v>2069</v>
      </c>
      <c r="F2692">
        <v>174.95</v>
      </c>
      <c r="G2692">
        <v>5</v>
      </c>
      <c r="H2692">
        <v>12.246499999999999</v>
      </c>
      <c r="I2692">
        <v>7</v>
      </c>
      <c r="J2692">
        <v>2014</v>
      </c>
      <c r="K2692" t="s">
        <v>2206</v>
      </c>
      <c r="L2692" t="str">
        <f>TEXT(maintable_2[[#This Row],[Order Date]],"mmmm")</f>
        <v>August</v>
      </c>
    </row>
    <row r="2693" spans="1:12" x14ac:dyDescent="0.3">
      <c r="A2693" s="1">
        <v>41864</v>
      </c>
      <c r="B2693" s="1">
        <v>41871</v>
      </c>
      <c r="C2693" t="s">
        <v>2066</v>
      </c>
      <c r="D2693" t="s">
        <v>17</v>
      </c>
      <c r="E2693" t="s">
        <v>2070</v>
      </c>
      <c r="F2693">
        <v>100.70399999999999</v>
      </c>
      <c r="G2693">
        <v>6</v>
      </c>
      <c r="H2693">
        <v>37.764000000000003</v>
      </c>
      <c r="I2693">
        <v>7</v>
      </c>
      <c r="J2693">
        <v>2014</v>
      </c>
      <c r="K2693" t="s">
        <v>2206</v>
      </c>
      <c r="L2693" t="str">
        <f>TEXT(maintable_2[[#This Row],[Order Date]],"mmmm")</f>
        <v>August</v>
      </c>
    </row>
    <row r="2694" spans="1:12" x14ac:dyDescent="0.3">
      <c r="A2694" s="1">
        <v>41568</v>
      </c>
      <c r="B2694" s="1">
        <v>41573</v>
      </c>
      <c r="C2694" t="s">
        <v>2071</v>
      </c>
      <c r="D2694" t="s">
        <v>71</v>
      </c>
      <c r="E2694" t="s">
        <v>2072</v>
      </c>
      <c r="F2694">
        <v>387.13600000000002</v>
      </c>
      <c r="G2694">
        <v>4</v>
      </c>
      <c r="H2694">
        <v>4.8391999999999999</v>
      </c>
      <c r="I2694">
        <v>5</v>
      </c>
      <c r="J2694">
        <v>2013</v>
      </c>
      <c r="K2694" t="s">
        <v>2209</v>
      </c>
      <c r="L2694" t="str">
        <f>TEXT(maintable_2[[#This Row],[Order Date]],"mmmm")</f>
        <v>October</v>
      </c>
    </row>
    <row r="2695" spans="1:12" x14ac:dyDescent="0.3">
      <c r="A2695" s="1">
        <v>41947</v>
      </c>
      <c r="B2695" s="1">
        <v>41951</v>
      </c>
      <c r="C2695" t="s">
        <v>1357</v>
      </c>
      <c r="D2695" t="s">
        <v>17</v>
      </c>
      <c r="E2695" t="s">
        <v>2073</v>
      </c>
      <c r="F2695">
        <v>18.367999999999999</v>
      </c>
      <c r="G2695">
        <v>4</v>
      </c>
      <c r="H2695">
        <v>5.9695999999999998</v>
      </c>
      <c r="I2695">
        <v>4</v>
      </c>
      <c r="J2695">
        <v>2014</v>
      </c>
      <c r="K2695" t="s">
        <v>2209</v>
      </c>
      <c r="L2695" t="str">
        <f>TEXT(maintable_2[[#This Row],[Order Date]],"mmmm")</f>
        <v>November</v>
      </c>
    </row>
    <row r="2696" spans="1:12" x14ac:dyDescent="0.3">
      <c r="A2696" s="1">
        <v>40613</v>
      </c>
      <c r="B2696" s="1">
        <v>40617</v>
      </c>
      <c r="C2696" t="s">
        <v>1506</v>
      </c>
      <c r="D2696" t="s">
        <v>13</v>
      </c>
      <c r="E2696" t="s">
        <v>1324</v>
      </c>
      <c r="F2696">
        <v>7.98</v>
      </c>
      <c r="G2696">
        <v>3</v>
      </c>
      <c r="H2696">
        <v>2.0748000000000002</v>
      </c>
      <c r="I2696">
        <v>4</v>
      </c>
      <c r="J2696">
        <v>2011</v>
      </c>
      <c r="K2696" t="s">
        <v>2208</v>
      </c>
      <c r="L2696" t="str">
        <f>TEXT(maintable_2[[#This Row],[Order Date]],"mmmm")</f>
        <v>March</v>
      </c>
    </row>
    <row r="2697" spans="1:12" x14ac:dyDescent="0.3">
      <c r="A2697" s="1">
        <v>41847</v>
      </c>
      <c r="B2697" s="1">
        <v>41853</v>
      </c>
      <c r="C2697" t="s">
        <v>1961</v>
      </c>
      <c r="D2697" t="s">
        <v>37</v>
      </c>
      <c r="E2697" t="s">
        <v>1656</v>
      </c>
      <c r="F2697">
        <v>1649.95</v>
      </c>
      <c r="G2697">
        <v>5</v>
      </c>
      <c r="H2697">
        <v>659.98</v>
      </c>
      <c r="I2697">
        <v>6</v>
      </c>
      <c r="J2697">
        <v>2014</v>
      </c>
      <c r="K2697" t="s">
        <v>2206</v>
      </c>
      <c r="L2697" t="str">
        <f>TEXT(maintable_2[[#This Row],[Order Date]],"mmmm")</f>
        <v>July</v>
      </c>
    </row>
    <row r="2698" spans="1:12" x14ac:dyDescent="0.3">
      <c r="A2698" s="1">
        <v>41847</v>
      </c>
      <c r="B2698" s="1">
        <v>41853</v>
      </c>
      <c r="C2698" t="s">
        <v>1961</v>
      </c>
      <c r="D2698" t="s">
        <v>71</v>
      </c>
      <c r="E2698" t="s">
        <v>433</v>
      </c>
      <c r="F2698">
        <v>362.35199999999998</v>
      </c>
      <c r="G2698">
        <v>3</v>
      </c>
      <c r="H2698">
        <v>45.293999999999997</v>
      </c>
      <c r="I2698">
        <v>6</v>
      </c>
      <c r="J2698">
        <v>2014</v>
      </c>
      <c r="K2698" t="s">
        <v>2206</v>
      </c>
      <c r="L2698" t="str">
        <f>TEXT(maintable_2[[#This Row],[Order Date]],"mmmm")</f>
        <v>July</v>
      </c>
    </row>
    <row r="2699" spans="1:12" x14ac:dyDescent="0.3">
      <c r="A2699" s="1">
        <v>40847</v>
      </c>
      <c r="B2699" s="1">
        <v>40849</v>
      </c>
      <c r="C2699" t="s">
        <v>1026</v>
      </c>
      <c r="D2699" t="s">
        <v>15</v>
      </c>
      <c r="E2699" t="s">
        <v>562</v>
      </c>
      <c r="F2699">
        <v>73.584000000000003</v>
      </c>
      <c r="G2699">
        <v>2</v>
      </c>
      <c r="H2699">
        <v>8.2782</v>
      </c>
      <c r="I2699">
        <v>2</v>
      </c>
      <c r="J2699">
        <v>2011</v>
      </c>
      <c r="K2699" t="s">
        <v>2209</v>
      </c>
      <c r="L2699" t="str">
        <f>TEXT(maintable_2[[#This Row],[Order Date]],"mmmm")</f>
        <v>October</v>
      </c>
    </row>
    <row r="2700" spans="1:12" x14ac:dyDescent="0.3">
      <c r="A2700" s="1">
        <v>41947</v>
      </c>
      <c r="B2700" s="1">
        <v>41953</v>
      </c>
      <c r="C2700" t="s">
        <v>1387</v>
      </c>
      <c r="D2700" t="s">
        <v>21</v>
      </c>
      <c r="E2700" t="s">
        <v>1686</v>
      </c>
      <c r="F2700">
        <v>486.36799999999999</v>
      </c>
      <c r="G2700">
        <v>4</v>
      </c>
      <c r="H2700">
        <v>36.477600000000002</v>
      </c>
      <c r="I2700">
        <v>6</v>
      </c>
      <c r="J2700">
        <v>2014</v>
      </c>
      <c r="K2700" t="s">
        <v>2209</v>
      </c>
      <c r="L2700" t="str">
        <f>TEXT(maintable_2[[#This Row],[Order Date]],"mmmm")</f>
        <v>November</v>
      </c>
    </row>
    <row r="2701" spans="1:12" x14ac:dyDescent="0.3">
      <c r="A2701" s="1">
        <v>41481</v>
      </c>
      <c r="B2701" s="1">
        <v>41481</v>
      </c>
      <c r="C2701" t="s">
        <v>927</v>
      </c>
      <c r="D2701" t="s">
        <v>13</v>
      </c>
      <c r="E2701" t="s">
        <v>823</v>
      </c>
      <c r="F2701">
        <v>37.17</v>
      </c>
      <c r="G2701">
        <v>9</v>
      </c>
      <c r="H2701">
        <v>11.151</v>
      </c>
      <c r="I2701">
        <v>0</v>
      </c>
      <c r="J2701">
        <v>2013</v>
      </c>
      <c r="K2701" t="s">
        <v>2206</v>
      </c>
      <c r="L2701" t="str">
        <f>TEXT(maintable_2[[#This Row],[Order Date]],"mmmm")</f>
        <v>July</v>
      </c>
    </row>
    <row r="2702" spans="1:12" x14ac:dyDescent="0.3">
      <c r="A2702" s="1">
        <v>41743</v>
      </c>
      <c r="B2702" s="1">
        <v>41747</v>
      </c>
      <c r="C2702" t="s">
        <v>678</v>
      </c>
      <c r="D2702" t="s">
        <v>71</v>
      </c>
      <c r="E2702" t="s">
        <v>1904</v>
      </c>
      <c r="F2702">
        <v>436.70400000000001</v>
      </c>
      <c r="G2702">
        <v>6</v>
      </c>
      <c r="H2702">
        <v>-38.211599999999997</v>
      </c>
      <c r="I2702">
        <v>4</v>
      </c>
      <c r="J2702">
        <v>2014</v>
      </c>
      <c r="K2702" t="s">
        <v>2208</v>
      </c>
      <c r="L2702" t="str">
        <f>TEXT(maintable_2[[#This Row],[Order Date]],"mmmm")</f>
        <v>April</v>
      </c>
    </row>
    <row r="2703" spans="1:12" x14ac:dyDescent="0.3">
      <c r="A2703" s="1">
        <v>41802</v>
      </c>
      <c r="B2703" s="1">
        <v>41805</v>
      </c>
      <c r="C2703" t="s">
        <v>29</v>
      </c>
      <c r="D2703" t="s">
        <v>19</v>
      </c>
      <c r="E2703" t="s">
        <v>511</v>
      </c>
      <c r="F2703">
        <v>61.44</v>
      </c>
      <c r="G2703">
        <v>3</v>
      </c>
      <c r="H2703">
        <v>16.588799999999999</v>
      </c>
      <c r="I2703">
        <v>3</v>
      </c>
      <c r="J2703">
        <v>2014</v>
      </c>
      <c r="K2703" t="s">
        <v>2206</v>
      </c>
      <c r="L2703" t="str">
        <f>TEXT(maintable_2[[#This Row],[Order Date]],"mmmm")</f>
        <v>June</v>
      </c>
    </row>
    <row r="2704" spans="1:12" x14ac:dyDescent="0.3">
      <c r="A2704" s="1">
        <v>40644</v>
      </c>
      <c r="B2704" s="1">
        <v>40651</v>
      </c>
      <c r="C2704" t="s">
        <v>704</v>
      </c>
      <c r="D2704" t="s">
        <v>27</v>
      </c>
      <c r="E2704" t="s">
        <v>1013</v>
      </c>
      <c r="F2704">
        <v>87.08</v>
      </c>
      <c r="G2704">
        <v>7</v>
      </c>
      <c r="H2704">
        <v>24.382400000000001</v>
      </c>
      <c r="I2704">
        <v>7</v>
      </c>
      <c r="J2704">
        <v>2011</v>
      </c>
      <c r="K2704" t="s">
        <v>2208</v>
      </c>
      <c r="L2704" t="str">
        <f>TEXT(maintable_2[[#This Row],[Order Date]],"mmmm")</f>
        <v>April</v>
      </c>
    </row>
    <row r="2705" spans="1:12" x14ac:dyDescent="0.3">
      <c r="A2705" s="1">
        <v>40644</v>
      </c>
      <c r="B2705" s="1">
        <v>40651</v>
      </c>
      <c r="C2705" t="s">
        <v>704</v>
      </c>
      <c r="D2705" t="s">
        <v>15</v>
      </c>
      <c r="E2705" t="s">
        <v>295</v>
      </c>
      <c r="F2705">
        <v>105.584</v>
      </c>
      <c r="G2705">
        <v>2</v>
      </c>
      <c r="H2705">
        <v>9.2385999999999999</v>
      </c>
      <c r="I2705">
        <v>7</v>
      </c>
      <c r="J2705">
        <v>2011</v>
      </c>
      <c r="K2705" t="s">
        <v>2208</v>
      </c>
      <c r="L2705" t="str">
        <f>TEXT(maintable_2[[#This Row],[Order Date]],"mmmm")</f>
        <v>April</v>
      </c>
    </row>
    <row r="2706" spans="1:12" x14ac:dyDescent="0.3">
      <c r="A2706" s="1">
        <v>40644</v>
      </c>
      <c r="B2706" s="1">
        <v>40651</v>
      </c>
      <c r="C2706" t="s">
        <v>704</v>
      </c>
      <c r="D2706" t="s">
        <v>37</v>
      </c>
      <c r="E2706" t="s">
        <v>1204</v>
      </c>
      <c r="F2706">
        <v>217.44</v>
      </c>
      <c r="G2706">
        <v>6</v>
      </c>
      <c r="H2706">
        <v>91.324799999999996</v>
      </c>
      <c r="I2706">
        <v>7</v>
      </c>
      <c r="J2706">
        <v>2011</v>
      </c>
      <c r="K2706" t="s">
        <v>2208</v>
      </c>
      <c r="L2706" t="str">
        <f>TEXT(maintable_2[[#This Row],[Order Date]],"mmmm")</f>
        <v>April</v>
      </c>
    </row>
    <row r="2707" spans="1:12" x14ac:dyDescent="0.3">
      <c r="A2707" s="1">
        <v>41670</v>
      </c>
      <c r="B2707" s="1">
        <v>41673</v>
      </c>
      <c r="C2707" t="s">
        <v>571</v>
      </c>
      <c r="D2707" t="s">
        <v>15</v>
      </c>
      <c r="E2707" t="s">
        <v>16</v>
      </c>
      <c r="F2707">
        <v>604.76800000000003</v>
      </c>
      <c r="G2707">
        <v>4</v>
      </c>
      <c r="H2707">
        <v>60.476799999999997</v>
      </c>
      <c r="I2707">
        <v>3</v>
      </c>
      <c r="J2707">
        <v>2014</v>
      </c>
      <c r="K2707" t="s">
        <v>2210</v>
      </c>
      <c r="L2707" t="str">
        <f>TEXT(maintable_2[[#This Row],[Order Date]],"mmmm")</f>
        <v>January</v>
      </c>
    </row>
    <row r="2708" spans="1:12" x14ac:dyDescent="0.3">
      <c r="A2708" s="1">
        <v>40793</v>
      </c>
      <c r="B2708" s="1">
        <v>40798</v>
      </c>
      <c r="C2708" t="s">
        <v>1768</v>
      </c>
      <c r="D2708" t="s">
        <v>81</v>
      </c>
      <c r="E2708" t="s">
        <v>2074</v>
      </c>
      <c r="F2708">
        <v>27.36</v>
      </c>
      <c r="G2708">
        <v>4</v>
      </c>
      <c r="H2708">
        <v>7.3872</v>
      </c>
      <c r="I2708">
        <v>5</v>
      </c>
      <c r="J2708">
        <v>2011</v>
      </c>
      <c r="K2708" t="s">
        <v>2209</v>
      </c>
      <c r="L2708" t="str">
        <f>TEXT(maintable_2[[#This Row],[Order Date]],"mmmm")</f>
        <v>September</v>
      </c>
    </row>
    <row r="2709" spans="1:12" x14ac:dyDescent="0.3">
      <c r="A2709" s="1">
        <v>40793</v>
      </c>
      <c r="B2709" s="1">
        <v>40798</v>
      </c>
      <c r="C2709" t="s">
        <v>1768</v>
      </c>
      <c r="D2709" t="s">
        <v>44</v>
      </c>
      <c r="E2709" t="s">
        <v>1679</v>
      </c>
      <c r="F2709">
        <v>20.56</v>
      </c>
      <c r="G2709">
        <v>2</v>
      </c>
      <c r="H2709">
        <v>9.6631999999999998</v>
      </c>
      <c r="I2709">
        <v>5</v>
      </c>
      <c r="J2709">
        <v>2011</v>
      </c>
      <c r="K2709" t="s">
        <v>2209</v>
      </c>
      <c r="L2709" t="str">
        <f>TEXT(maintable_2[[#This Row],[Order Date]],"mmmm")</f>
        <v>September</v>
      </c>
    </row>
    <row r="2710" spans="1:12" x14ac:dyDescent="0.3">
      <c r="A2710" s="1">
        <v>40793</v>
      </c>
      <c r="B2710" s="1">
        <v>40798</v>
      </c>
      <c r="C2710" t="s">
        <v>1768</v>
      </c>
      <c r="D2710" t="s">
        <v>17</v>
      </c>
      <c r="E2710" t="s">
        <v>2070</v>
      </c>
      <c r="F2710">
        <v>83.92</v>
      </c>
      <c r="G2710">
        <v>5</v>
      </c>
      <c r="H2710">
        <v>31.47</v>
      </c>
      <c r="I2710">
        <v>5</v>
      </c>
      <c r="J2710">
        <v>2011</v>
      </c>
      <c r="K2710" t="s">
        <v>2209</v>
      </c>
      <c r="L2710" t="str">
        <f>TEXT(maintable_2[[#This Row],[Order Date]],"mmmm")</f>
        <v>September</v>
      </c>
    </row>
    <row r="2711" spans="1:12" x14ac:dyDescent="0.3">
      <c r="A2711" s="1">
        <v>41437</v>
      </c>
      <c r="B2711" s="1">
        <v>41442</v>
      </c>
      <c r="C2711" t="s">
        <v>2075</v>
      </c>
      <c r="D2711" t="s">
        <v>21</v>
      </c>
      <c r="E2711" t="s">
        <v>529</v>
      </c>
      <c r="F2711">
        <v>902.71199999999999</v>
      </c>
      <c r="G2711">
        <v>3</v>
      </c>
      <c r="H2711">
        <v>33.851700000000001</v>
      </c>
      <c r="I2711">
        <v>5</v>
      </c>
      <c r="J2711">
        <v>2013</v>
      </c>
      <c r="K2711" t="s">
        <v>2206</v>
      </c>
      <c r="L2711" t="str">
        <f>TEXT(maintable_2[[#This Row],[Order Date]],"mmmm")</f>
        <v>June</v>
      </c>
    </row>
    <row r="2712" spans="1:12" x14ac:dyDescent="0.3">
      <c r="A2712" s="1">
        <v>41565</v>
      </c>
      <c r="B2712" s="1">
        <v>41569</v>
      </c>
      <c r="C2712" t="s">
        <v>1004</v>
      </c>
      <c r="D2712" t="s">
        <v>196</v>
      </c>
      <c r="E2712" t="s">
        <v>1390</v>
      </c>
      <c r="F2712">
        <v>120.666</v>
      </c>
      <c r="G2712">
        <v>2</v>
      </c>
      <c r="H2712">
        <v>21.294</v>
      </c>
      <c r="I2712">
        <v>4</v>
      </c>
      <c r="J2712">
        <v>2013</v>
      </c>
      <c r="K2712" t="s">
        <v>2209</v>
      </c>
      <c r="L2712" t="str">
        <f>TEXT(maintable_2[[#This Row],[Order Date]],"mmmm")</f>
        <v>October</v>
      </c>
    </row>
    <row r="2713" spans="1:12" x14ac:dyDescent="0.3">
      <c r="A2713" s="1">
        <v>41603</v>
      </c>
      <c r="B2713" s="1">
        <v>41610</v>
      </c>
      <c r="C2713" t="s">
        <v>1755</v>
      </c>
      <c r="D2713" t="s">
        <v>11</v>
      </c>
      <c r="E2713" t="s">
        <v>2076</v>
      </c>
      <c r="F2713">
        <v>82.26</v>
      </c>
      <c r="G2713">
        <v>3</v>
      </c>
      <c r="H2713">
        <v>33.726599999999998</v>
      </c>
      <c r="I2713">
        <v>7</v>
      </c>
      <c r="J2713">
        <v>2013</v>
      </c>
      <c r="K2713" t="s">
        <v>2209</v>
      </c>
      <c r="L2713" t="str">
        <f>TEXT(maintable_2[[#This Row],[Order Date]],"mmmm")</f>
        <v>November</v>
      </c>
    </row>
    <row r="2714" spans="1:12" x14ac:dyDescent="0.3">
      <c r="A2714" s="1">
        <v>41589</v>
      </c>
      <c r="B2714" s="1">
        <v>41592</v>
      </c>
      <c r="C2714" t="s">
        <v>1817</v>
      </c>
      <c r="D2714" t="s">
        <v>27</v>
      </c>
      <c r="E2714" t="s">
        <v>2077</v>
      </c>
      <c r="F2714">
        <v>29.74</v>
      </c>
      <c r="G2714">
        <v>1</v>
      </c>
      <c r="H2714">
        <v>4.4610000000000003</v>
      </c>
      <c r="I2714">
        <v>3</v>
      </c>
      <c r="J2714">
        <v>2013</v>
      </c>
      <c r="K2714" t="s">
        <v>2209</v>
      </c>
      <c r="L2714" t="str">
        <f>TEXT(maintable_2[[#This Row],[Order Date]],"mmmm")</f>
        <v>November</v>
      </c>
    </row>
    <row r="2715" spans="1:12" x14ac:dyDescent="0.3">
      <c r="A2715" s="1">
        <v>40913</v>
      </c>
      <c r="B2715" s="1">
        <v>40918</v>
      </c>
      <c r="C2715" t="s">
        <v>1598</v>
      </c>
      <c r="D2715" t="s">
        <v>19</v>
      </c>
      <c r="E2715" t="s">
        <v>1682</v>
      </c>
      <c r="F2715">
        <v>87.36</v>
      </c>
      <c r="G2715">
        <v>6</v>
      </c>
      <c r="H2715">
        <v>23.587199999999999</v>
      </c>
      <c r="I2715">
        <v>5</v>
      </c>
      <c r="J2715">
        <v>2012</v>
      </c>
      <c r="K2715" t="s">
        <v>2210</v>
      </c>
      <c r="L2715" t="str">
        <f>TEXT(maintable_2[[#This Row],[Order Date]],"mmmm")</f>
        <v>January</v>
      </c>
    </row>
    <row r="2716" spans="1:12" x14ac:dyDescent="0.3">
      <c r="A2716" s="1">
        <v>40913</v>
      </c>
      <c r="B2716" s="1">
        <v>40918</v>
      </c>
      <c r="C2716" t="s">
        <v>1598</v>
      </c>
      <c r="D2716" t="s">
        <v>17</v>
      </c>
      <c r="E2716" t="s">
        <v>386</v>
      </c>
      <c r="F2716">
        <v>56.16</v>
      </c>
      <c r="G2716">
        <v>6</v>
      </c>
      <c r="H2716">
        <v>17.55</v>
      </c>
      <c r="I2716">
        <v>5</v>
      </c>
      <c r="J2716">
        <v>2012</v>
      </c>
      <c r="K2716" t="s">
        <v>2210</v>
      </c>
      <c r="L2716" t="str">
        <f>TEXT(maintable_2[[#This Row],[Order Date]],"mmmm")</f>
        <v>January</v>
      </c>
    </row>
    <row r="2717" spans="1:12" x14ac:dyDescent="0.3">
      <c r="A2717" s="1">
        <v>41351</v>
      </c>
      <c r="B2717" s="1">
        <v>41353</v>
      </c>
      <c r="C2717" t="s">
        <v>1801</v>
      </c>
      <c r="D2717" t="s">
        <v>15</v>
      </c>
      <c r="E2717" t="s">
        <v>299</v>
      </c>
      <c r="F2717">
        <v>84.784000000000006</v>
      </c>
      <c r="G2717">
        <v>2</v>
      </c>
      <c r="H2717">
        <v>-20.136199999999999</v>
      </c>
      <c r="I2717">
        <v>2</v>
      </c>
      <c r="J2717">
        <v>2013</v>
      </c>
      <c r="K2717" t="s">
        <v>2208</v>
      </c>
      <c r="L2717" t="str">
        <f>TEXT(maintable_2[[#This Row],[Order Date]],"mmmm")</f>
        <v>March</v>
      </c>
    </row>
    <row r="2718" spans="1:12" x14ac:dyDescent="0.3">
      <c r="A2718" s="1">
        <v>41887</v>
      </c>
      <c r="B2718" s="1">
        <v>41891</v>
      </c>
      <c r="C2718" t="s">
        <v>426</v>
      </c>
      <c r="D2718" t="s">
        <v>17</v>
      </c>
      <c r="E2718" t="s">
        <v>1839</v>
      </c>
      <c r="F2718">
        <v>11.808</v>
      </c>
      <c r="G2718">
        <v>3</v>
      </c>
      <c r="H2718">
        <v>4.1327999999999996</v>
      </c>
      <c r="I2718">
        <v>4</v>
      </c>
      <c r="J2718">
        <v>2014</v>
      </c>
      <c r="K2718" t="s">
        <v>2209</v>
      </c>
      <c r="L2718" t="str">
        <f>TEXT(maintable_2[[#This Row],[Order Date]],"mmmm")</f>
        <v>September</v>
      </c>
    </row>
    <row r="2719" spans="1:12" x14ac:dyDescent="0.3">
      <c r="A2719" s="1">
        <v>41978</v>
      </c>
      <c r="B2719" s="1">
        <v>41980</v>
      </c>
      <c r="C2719" t="s">
        <v>1410</v>
      </c>
      <c r="D2719" t="s">
        <v>44</v>
      </c>
      <c r="E2719" t="s">
        <v>1185</v>
      </c>
      <c r="F2719">
        <v>11.76</v>
      </c>
      <c r="G2719">
        <v>2</v>
      </c>
      <c r="H2719">
        <v>5.7624000000000004</v>
      </c>
      <c r="I2719">
        <v>2</v>
      </c>
      <c r="J2719">
        <v>2014</v>
      </c>
      <c r="K2719" t="s">
        <v>2207</v>
      </c>
      <c r="L2719" t="str">
        <f>TEXT(maintable_2[[#This Row],[Order Date]],"mmmm")</f>
        <v>December</v>
      </c>
    </row>
    <row r="2720" spans="1:12" x14ac:dyDescent="0.3">
      <c r="A2720" s="1">
        <v>41012</v>
      </c>
      <c r="B2720" s="1">
        <v>41017</v>
      </c>
      <c r="C2720" t="s">
        <v>702</v>
      </c>
      <c r="D2720" t="s">
        <v>27</v>
      </c>
      <c r="E2720" t="s">
        <v>646</v>
      </c>
      <c r="F2720">
        <v>10.744</v>
      </c>
      <c r="G2720">
        <v>1</v>
      </c>
      <c r="H2720">
        <v>0.80579999999999996</v>
      </c>
      <c r="I2720">
        <v>5</v>
      </c>
      <c r="J2720">
        <v>2012</v>
      </c>
      <c r="K2720" t="s">
        <v>2208</v>
      </c>
      <c r="L2720" t="str">
        <f>TEXT(maintable_2[[#This Row],[Order Date]],"mmmm")</f>
        <v>April</v>
      </c>
    </row>
    <row r="2721" spans="1:12" x14ac:dyDescent="0.3">
      <c r="A2721" s="1">
        <v>41306</v>
      </c>
      <c r="B2721" s="1">
        <v>41312</v>
      </c>
      <c r="C2721" t="s">
        <v>2078</v>
      </c>
      <c r="D2721" t="s">
        <v>44</v>
      </c>
      <c r="E2721" t="s">
        <v>96</v>
      </c>
      <c r="F2721">
        <v>105.52</v>
      </c>
      <c r="G2721">
        <v>4</v>
      </c>
      <c r="H2721">
        <v>48.539200000000001</v>
      </c>
      <c r="I2721">
        <v>6</v>
      </c>
      <c r="J2721">
        <v>2013</v>
      </c>
      <c r="K2721" t="s">
        <v>2210</v>
      </c>
      <c r="L2721" t="str">
        <f>TEXT(maintable_2[[#This Row],[Order Date]],"mmmm")</f>
        <v>February</v>
      </c>
    </row>
    <row r="2722" spans="1:12" x14ac:dyDescent="0.3">
      <c r="A2722" s="1">
        <v>41254</v>
      </c>
      <c r="B2722" s="1">
        <v>41260</v>
      </c>
      <c r="C2722" t="s">
        <v>1264</v>
      </c>
      <c r="D2722" t="s">
        <v>17</v>
      </c>
      <c r="E2722" t="s">
        <v>651</v>
      </c>
      <c r="F2722">
        <v>110.52800000000001</v>
      </c>
      <c r="G2722">
        <v>4</v>
      </c>
      <c r="H2722">
        <v>38.684800000000003</v>
      </c>
      <c r="I2722">
        <v>6</v>
      </c>
      <c r="J2722">
        <v>2012</v>
      </c>
      <c r="K2722" t="s">
        <v>2207</v>
      </c>
      <c r="L2722" t="str">
        <f>TEXT(maintable_2[[#This Row],[Order Date]],"mmmm")</f>
        <v>December</v>
      </c>
    </row>
    <row r="2723" spans="1:12" x14ac:dyDescent="0.3">
      <c r="A2723" s="1">
        <v>41769</v>
      </c>
      <c r="B2723" s="1">
        <v>41771</v>
      </c>
      <c r="C2723" t="s">
        <v>1986</v>
      </c>
      <c r="D2723" t="s">
        <v>17</v>
      </c>
      <c r="E2723" t="s">
        <v>705</v>
      </c>
      <c r="F2723">
        <v>147.91999999999999</v>
      </c>
      <c r="G2723">
        <v>5</v>
      </c>
      <c r="H2723">
        <v>46.225000000000001</v>
      </c>
      <c r="I2723">
        <v>2</v>
      </c>
      <c r="J2723">
        <v>2014</v>
      </c>
      <c r="K2723" t="s">
        <v>2208</v>
      </c>
      <c r="L2723" t="str">
        <f>TEXT(maintable_2[[#This Row],[Order Date]],"mmmm")</f>
        <v>May</v>
      </c>
    </row>
    <row r="2724" spans="1:12" x14ac:dyDescent="0.3">
      <c r="A2724" s="1">
        <v>41769</v>
      </c>
      <c r="B2724" s="1">
        <v>41771</v>
      </c>
      <c r="C2724" t="s">
        <v>1986</v>
      </c>
      <c r="D2724" t="s">
        <v>27</v>
      </c>
      <c r="E2724" t="s">
        <v>709</v>
      </c>
      <c r="F2724">
        <v>104.28</v>
      </c>
      <c r="G2724">
        <v>3</v>
      </c>
      <c r="H2724">
        <v>26.07</v>
      </c>
      <c r="I2724">
        <v>2</v>
      </c>
      <c r="J2724">
        <v>2014</v>
      </c>
      <c r="K2724" t="s">
        <v>2208</v>
      </c>
      <c r="L2724" t="str">
        <f>TEXT(maintable_2[[#This Row],[Order Date]],"mmmm")</f>
        <v>May</v>
      </c>
    </row>
    <row r="2725" spans="1:12" x14ac:dyDescent="0.3">
      <c r="A2725" s="1">
        <v>41769</v>
      </c>
      <c r="B2725" s="1">
        <v>41771</v>
      </c>
      <c r="C2725" t="s">
        <v>1986</v>
      </c>
      <c r="D2725" t="s">
        <v>21</v>
      </c>
      <c r="E2725" t="s">
        <v>2079</v>
      </c>
      <c r="F2725">
        <v>286.85000000000002</v>
      </c>
      <c r="G2725">
        <v>1</v>
      </c>
      <c r="H2725">
        <v>63.106999999999999</v>
      </c>
      <c r="I2725">
        <v>2</v>
      </c>
      <c r="J2725">
        <v>2014</v>
      </c>
      <c r="K2725" t="s">
        <v>2208</v>
      </c>
      <c r="L2725" t="str">
        <f>TEXT(maintable_2[[#This Row],[Order Date]],"mmmm")</f>
        <v>May</v>
      </c>
    </row>
    <row r="2726" spans="1:12" x14ac:dyDescent="0.3">
      <c r="A2726" s="1">
        <v>41769</v>
      </c>
      <c r="B2726" s="1">
        <v>41771</v>
      </c>
      <c r="C2726" t="s">
        <v>1986</v>
      </c>
      <c r="D2726" t="s">
        <v>27</v>
      </c>
      <c r="E2726" t="s">
        <v>1737</v>
      </c>
      <c r="F2726">
        <v>66.959999999999994</v>
      </c>
      <c r="G2726">
        <v>4</v>
      </c>
      <c r="H2726">
        <v>2.6783999999999999</v>
      </c>
      <c r="I2726">
        <v>2</v>
      </c>
      <c r="J2726">
        <v>2014</v>
      </c>
      <c r="K2726" t="s">
        <v>2208</v>
      </c>
      <c r="L2726" t="str">
        <f>TEXT(maintable_2[[#This Row],[Order Date]],"mmmm")</f>
        <v>May</v>
      </c>
    </row>
    <row r="2727" spans="1:12" x14ac:dyDescent="0.3">
      <c r="A2727" s="1">
        <v>41769</v>
      </c>
      <c r="B2727" s="1">
        <v>41771</v>
      </c>
      <c r="C2727" t="s">
        <v>1986</v>
      </c>
      <c r="D2727" t="s">
        <v>37</v>
      </c>
      <c r="E2727" t="s">
        <v>967</v>
      </c>
      <c r="F2727">
        <v>199.98</v>
      </c>
      <c r="G2727">
        <v>2</v>
      </c>
      <c r="H2727">
        <v>87.991200000000006</v>
      </c>
      <c r="I2727">
        <v>2</v>
      </c>
      <c r="J2727">
        <v>2014</v>
      </c>
      <c r="K2727" t="s">
        <v>2208</v>
      </c>
      <c r="L2727" t="str">
        <f>TEXT(maintable_2[[#This Row],[Order Date]],"mmmm")</f>
        <v>May</v>
      </c>
    </row>
    <row r="2728" spans="1:12" x14ac:dyDescent="0.3">
      <c r="A2728" s="1">
        <v>41184</v>
      </c>
      <c r="B2728" s="1">
        <v>41189</v>
      </c>
      <c r="C2728" t="s">
        <v>2080</v>
      </c>
      <c r="D2728" t="s">
        <v>81</v>
      </c>
      <c r="E2728" t="s">
        <v>2074</v>
      </c>
      <c r="F2728">
        <v>10.944000000000001</v>
      </c>
      <c r="G2728">
        <v>2</v>
      </c>
      <c r="H2728">
        <v>0.95760000000000001</v>
      </c>
      <c r="I2728">
        <v>5</v>
      </c>
      <c r="J2728">
        <v>2012</v>
      </c>
      <c r="K2728" t="s">
        <v>2209</v>
      </c>
      <c r="L2728" t="str">
        <f>TEXT(maintable_2[[#This Row],[Order Date]],"mmmm")</f>
        <v>October</v>
      </c>
    </row>
    <row r="2729" spans="1:12" x14ac:dyDescent="0.3">
      <c r="A2729" s="1">
        <v>41956</v>
      </c>
      <c r="B2729" s="1">
        <v>41960</v>
      </c>
      <c r="C2729" t="s">
        <v>1083</v>
      </c>
      <c r="D2729" t="s">
        <v>37</v>
      </c>
      <c r="E2729" t="s">
        <v>1128</v>
      </c>
      <c r="F2729">
        <v>62.351999999999997</v>
      </c>
      <c r="G2729">
        <v>6</v>
      </c>
      <c r="H2729">
        <v>-10.9116</v>
      </c>
      <c r="I2729">
        <v>4</v>
      </c>
      <c r="J2729">
        <v>2014</v>
      </c>
      <c r="K2729" t="s">
        <v>2209</v>
      </c>
      <c r="L2729" t="str">
        <f>TEXT(maintable_2[[#This Row],[Order Date]],"mmmm")</f>
        <v>November</v>
      </c>
    </row>
    <row r="2730" spans="1:12" x14ac:dyDescent="0.3">
      <c r="A2730" s="1">
        <v>41172</v>
      </c>
      <c r="B2730" s="1">
        <v>41178</v>
      </c>
      <c r="C2730" t="s">
        <v>974</v>
      </c>
      <c r="D2730" t="s">
        <v>17</v>
      </c>
      <c r="E2730" t="s">
        <v>1565</v>
      </c>
      <c r="F2730">
        <v>45.584000000000003</v>
      </c>
      <c r="G2730">
        <v>11</v>
      </c>
      <c r="H2730">
        <v>16.5242</v>
      </c>
      <c r="I2730">
        <v>6</v>
      </c>
      <c r="J2730">
        <v>2012</v>
      </c>
      <c r="K2730" t="s">
        <v>2209</v>
      </c>
      <c r="L2730" t="str">
        <f>TEXT(maintable_2[[#This Row],[Order Date]],"mmmm")</f>
        <v>September</v>
      </c>
    </row>
    <row r="2731" spans="1:12" x14ac:dyDescent="0.3">
      <c r="A2731" s="1">
        <v>40691</v>
      </c>
      <c r="B2731" s="1">
        <v>40695</v>
      </c>
      <c r="C2731" t="s">
        <v>2081</v>
      </c>
      <c r="D2731" t="s">
        <v>17</v>
      </c>
      <c r="E2731" t="s">
        <v>1540</v>
      </c>
      <c r="F2731">
        <v>136.96</v>
      </c>
      <c r="G2731">
        <v>4</v>
      </c>
      <c r="H2731">
        <v>51.36</v>
      </c>
      <c r="I2731">
        <v>4</v>
      </c>
      <c r="J2731">
        <v>2011</v>
      </c>
      <c r="K2731" t="s">
        <v>2208</v>
      </c>
      <c r="L2731" t="str">
        <f>TEXT(maintable_2[[#This Row],[Order Date]],"mmmm")</f>
        <v>May</v>
      </c>
    </row>
    <row r="2732" spans="1:12" x14ac:dyDescent="0.3">
      <c r="A2732" s="1">
        <v>41766</v>
      </c>
      <c r="B2732" s="1">
        <v>41770</v>
      </c>
      <c r="C2732" t="s">
        <v>161</v>
      </c>
      <c r="D2732" t="s">
        <v>44</v>
      </c>
      <c r="E2732" t="s">
        <v>96</v>
      </c>
      <c r="F2732">
        <v>84.415999999999997</v>
      </c>
      <c r="G2732">
        <v>4</v>
      </c>
      <c r="H2732">
        <v>27.435199999999998</v>
      </c>
      <c r="I2732">
        <v>4</v>
      </c>
      <c r="J2732">
        <v>2014</v>
      </c>
      <c r="K2732" t="s">
        <v>2208</v>
      </c>
      <c r="L2732" t="str">
        <f>TEXT(maintable_2[[#This Row],[Order Date]],"mmmm")</f>
        <v>May</v>
      </c>
    </row>
    <row r="2733" spans="1:12" x14ac:dyDescent="0.3">
      <c r="A2733" s="1">
        <v>40661</v>
      </c>
      <c r="B2733" s="1">
        <v>40663</v>
      </c>
      <c r="C2733" t="s">
        <v>1580</v>
      </c>
      <c r="D2733" t="s">
        <v>15</v>
      </c>
      <c r="E2733" t="s">
        <v>1118</v>
      </c>
      <c r="F2733">
        <v>1679.96</v>
      </c>
      <c r="G2733">
        <v>5</v>
      </c>
      <c r="H2733">
        <v>125.997</v>
      </c>
      <c r="I2733">
        <v>2</v>
      </c>
      <c r="J2733">
        <v>2011</v>
      </c>
      <c r="K2733" t="s">
        <v>2208</v>
      </c>
      <c r="L2733" t="str">
        <f>TEXT(maintable_2[[#This Row],[Order Date]],"mmmm")</f>
        <v>April</v>
      </c>
    </row>
    <row r="2734" spans="1:12" x14ac:dyDescent="0.3">
      <c r="A2734" s="1">
        <v>41417</v>
      </c>
      <c r="B2734" s="1">
        <v>41424</v>
      </c>
      <c r="C2734" t="s">
        <v>1530</v>
      </c>
      <c r="D2734" t="s">
        <v>15</v>
      </c>
      <c r="E2734" t="s">
        <v>120</v>
      </c>
      <c r="F2734">
        <v>222.38399999999999</v>
      </c>
      <c r="G2734">
        <v>2</v>
      </c>
      <c r="H2734">
        <v>22.238399999999999</v>
      </c>
      <c r="I2734">
        <v>7</v>
      </c>
      <c r="J2734">
        <v>2013</v>
      </c>
      <c r="K2734" t="s">
        <v>2208</v>
      </c>
      <c r="L2734" t="str">
        <f>TEXT(maintable_2[[#This Row],[Order Date]],"mmmm")</f>
        <v>May</v>
      </c>
    </row>
    <row r="2735" spans="1:12" x14ac:dyDescent="0.3">
      <c r="A2735" s="1">
        <v>40630</v>
      </c>
      <c r="B2735" s="1">
        <v>40634</v>
      </c>
      <c r="C2735" t="s">
        <v>2082</v>
      </c>
      <c r="D2735" t="s">
        <v>15</v>
      </c>
      <c r="E2735" t="s">
        <v>326</v>
      </c>
      <c r="F2735">
        <v>302.37599999999998</v>
      </c>
      <c r="G2735">
        <v>3</v>
      </c>
      <c r="H2735">
        <v>22.6782</v>
      </c>
      <c r="I2735">
        <v>4</v>
      </c>
      <c r="J2735">
        <v>2011</v>
      </c>
      <c r="K2735" t="s">
        <v>2208</v>
      </c>
      <c r="L2735" t="str">
        <f>TEXT(maintable_2[[#This Row],[Order Date]],"mmmm")</f>
        <v>March</v>
      </c>
    </row>
    <row r="2736" spans="1:12" x14ac:dyDescent="0.3">
      <c r="A2736" s="1">
        <v>41039</v>
      </c>
      <c r="B2736" s="1">
        <v>41044</v>
      </c>
      <c r="C2736" t="s">
        <v>328</v>
      </c>
      <c r="D2736" t="s">
        <v>37</v>
      </c>
      <c r="E2736" t="s">
        <v>2002</v>
      </c>
      <c r="F2736">
        <v>46.688000000000002</v>
      </c>
      <c r="G2736">
        <v>4</v>
      </c>
      <c r="H2736">
        <v>-2.9180000000000001</v>
      </c>
      <c r="I2736">
        <v>5</v>
      </c>
      <c r="J2736">
        <v>2012</v>
      </c>
      <c r="K2736" t="s">
        <v>2208</v>
      </c>
      <c r="L2736" t="str">
        <f>TEXT(maintable_2[[#This Row],[Order Date]],"mmmm")</f>
        <v>May</v>
      </c>
    </row>
    <row r="2737" spans="1:12" x14ac:dyDescent="0.3">
      <c r="A2737" s="1">
        <v>41537</v>
      </c>
      <c r="B2737" s="1">
        <v>41541</v>
      </c>
      <c r="C2737" t="s">
        <v>754</v>
      </c>
      <c r="D2737" t="s">
        <v>17</v>
      </c>
      <c r="E2737" t="s">
        <v>1129</v>
      </c>
      <c r="F2737">
        <v>8.9280000000000008</v>
      </c>
      <c r="G2737">
        <v>2</v>
      </c>
      <c r="H2737">
        <v>3.1248</v>
      </c>
      <c r="I2737">
        <v>4</v>
      </c>
      <c r="J2737">
        <v>2013</v>
      </c>
      <c r="K2737" t="s">
        <v>2209</v>
      </c>
      <c r="L2737" t="str">
        <f>TEXT(maintable_2[[#This Row],[Order Date]],"mmmm")</f>
        <v>September</v>
      </c>
    </row>
    <row r="2738" spans="1:12" x14ac:dyDescent="0.3">
      <c r="A2738" s="1">
        <v>41940</v>
      </c>
      <c r="B2738" s="1">
        <v>41945</v>
      </c>
      <c r="C2738" t="s">
        <v>91</v>
      </c>
      <c r="D2738" t="s">
        <v>44</v>
      </c>
      <c r="E2738" t="s">
        <v>1626</v>
      </c>
      <c r="F2738">
        <v>44.783999999999999</v>
      </c>
      <c r="G2738">
        <v>1</v>
      </c>
      <c r="H2738">
        <v>16.234200000000001</v>
      </c>
      <c r="I2738">
        <v>5</v>
      </c>
      <c r="J2738">
        <v>2014</v>
      </c>
      <c r="K2738" t="s">
        <v>2209</v>
      </c>
      <c r="L2738" t="str">
        <f>TEXT(maintable_2[[#This Row],[Order Date]],"mmmm")</f>
        <v>October</v>
      </c>
    </row>
    <row r="2739" spans="1:12" x14ac:dyDescent="0.3">
      <c r="A2739" s="1">
        <v>41992</v>
      </c>
      <c r="B2739" s="1">
        <v>41998</v>
      </c>
      <c r="C2739" t="s">
        <v>1586</v>
      </c>
      <c r="D2739" t="s">
        <v>13</v>
      </c>
      <c r="E2739" t="s">
        <v>2083</v>
      </c>
      <c r="F2739">
        <v>5.76</v>
      </c>
      <c r="G2739">
        <v>2</v>
      </c>
      <c r="H2739">
        <v>1.6704000000000001</v>
      </c>
      <c r="I2739">
        <v>6</v>
      </c>
      <c r="J2739">
        <v>2014</v>
      </c>
      <c r="K2739" t="s">
        <v>2207</v>
      </c>
      <c r="L2739" t="str">
        <f>TEXT(maintable_2[[#This Row],[Order Date]],"mmmm")</f>
        <v>December</v>
      </c>
    </row>
    <row r="2740" spans="1:12" x14ac:dyDescent="0.3">
      <c r="A2740" s="1">
        <v>41346</v>
      </c>
      <c r="B2740" s="1">
        <v>41350</v>
      </c>
      <c r="C2740" t="s">
        <v>855</v>
      </c>
      <c r="D2740" t="s">
        <v>44</v>
      </c>
      <c r="E2740" t="s">
        <v>2084</v>
      </c>
      <c r="F2740">
        <v>19.98</v>
      </c>
      <c r="G2740">
        <v>2</v>
      </c>
      <c r="H2740">
        <v>8.9909999999999997</v>
      </c>
      <c r="I2740">
        <v>4</v>
      </c>
      <c r="J2740">
        <v>2013</v>
      </c>
      <c r="K2740" t="s">
        <v>2208</v>
      </c>
      <c r="L2740" t="str">
        <f>TEXT(maintable_2[[#This Row],[Order Date]],"mmmm")</f>
        <v>March</v>
      </c>
    </row>
    <row r="2741" spans="1:12" x14ac:dyDescent="0.3">
      <c r="A2741" s="1">
        <v>41907</v>
      </c>
      <c r="B2741" s="1">
        <v>41907</v>
      </c>
      <c r="C2741" t="s">
        <v>203</v>
      </c>
      <c r="D2741" t="s">
        <v>11</v>
      </c>
      <c r="E2741" t="s">
        <v>355</v>
      </c>
      <c r="F2741">
        <v>199.8</v>
      </c>
      <c r="G2741">
        <v>10</v>
      </c>
      <c r="H2741">
        <v>71.927999999999997</v>
      </c>
      <c r="I2741">
        <v>0</v>
      </c>
      <c r="J2741">
        <v>2014</v>
      </c>
      <c r="K2741" t="s">
        <v>2209</v>
      </c>
      <c r="L2741" t="str">
        <f>TEXT(maintable_2[[#This Row],[Order Date]],"mmmm")</f>
        <v>September</v>
      </c>
    </row>
    <row r="2742" spans="1:12" x14ac:dyDescent="0.3">
      <c r="A2742" s="1">
        <v>41726</v>
      </c>
      <c r="B2742" s="1">
        <v>41730</v>
      </c>
      <c r="C2742" t="s">
        <v>2085</v>
      </c>
      <c r="D2742" t="s">
        <v>44</v>
      </c>
      <c r="E2742" t="s">
        <v>867</v>
      </c>
      <c r="F2742">
        <v>45.68</v>
      </c>
      <c r="G2742">
        <v>2</v>
      </c>
      <c r="H2742">
        <v>21.012799999999999</v>
      </c>
      <c r="I2742">
        <v>4</v>
      </c>
      <c r="J2742">
        <v>2014</v>
      </c>
      <c r="K2742" t="s">
        <v>2208</v>
      </c>
      <c r="L2742" t="str">
        <f>TEXT(maintable_2[[#This Row],[Order Date]],"mmmm")</f>
        <v>March</v>
      </c>
    </row>
    <row r="2743" spans="1:12" x14ac:dyDescent="0.3">
      <c r="A2743" s="1">
        <v>41726</v>
      </c>
      <c r="B2743" s="1">
        <v>41730</v>
      </c>
      <c r="C2743" t="s">
        <v>2085</v>
      </c>
      <c r="D2743" t="s">
        <v>44</v>
      </c>
      <c r="E2743" t="s">
        <v>110</v>
      </c>
      <c r="F2743">
        <v>110.96</v>
      </c>
      <c r="G2743">
        <v>2</v>
      </c>
      <c r="H2743">
        <v>53.260800000000003</v>
      </c>
      <c r="I2743">
        <v>4</v>
      </c>
      <c r="J2743">
        <v>2014</v>
      </c>
      <c r="K2743" t="s">
        <v>2208</v>
      </c>
      <c r="L2743" t="str">
        <f>TEXT(maintable_2[[#This Row],[Order Date]],"mmmm")</f>
        <v>March</v>
      </c>
    </row>
    <row r="2744" spans="1:12" x14ac:dyDescent="0.3">
      <c r="A2744" s="1">
        <v>41726</v>
      </c>
      <c r="B2744" s="1">
        <v>41730</v>
      </c>
      <c r="C2744" t="s">
        <v>2085</v>
      </c>
      <c r="D2744" t="s">
        <v>44</v>
      </c>
      <c r="E2744" t="s">
        <v>1664</v>
      </c>
      <c r="F2744">
        <v>11.94</v>
      </c>
      <c r="G2744">
        <v>3</v>
      </c>
      <c r="H2744">
        <v>5.97</v>
      </c>
      <c r="I2744">
        <v>4</v>
      </c>
      <c r="J2744">
        <v>2014</v>
      </c>
      <c r="K2744" t="s">
        <v>2208</v>
      </c>
      <c r="L2744" t="str">
        <f>TEXT(maintable_2[[#This Row],[Order Date]],"mmmm")</f>
        <v>March</v>
      </c>
    </row>
    <row r="2745" spans="1:12" x14ac:dyDescent="0.3">
      <c r="A2745" s="1">
        <v>41828</v>
      </c>
      <c r="B2745" s="1">
        <v>41832</v>
      </c>
      <c r="C2745" t="s">
        <v>306</v>
      </c>
      <c r="D2745" t="s">
        <v>78</v>
      </c>
      <c r="E2745" t="s">
        <v>1263</v>
      </c>
      <c r="F2745">
        <v>5.94</v>
      </c>
      <c r="G2745">
        <v>3</v>
      </c>
      <c r="H2745">
        <v>0.1188</v>
      </c>
      <c r="I2745">
        <v>4</v>
      </c>
      <c r="J2745">
        <v>2014</v>
      </c>
      <c r="K2745" t="s">
        <v>2206</v>
      </c>
      <c r="L2745" t="str">
        <f>TEXT(maintable_2[[#This Row],[Order Date]],"mmmm")</f>
        <v>July</v>
      </c>
    </row>
    <row r="2746" spans="1:12" x14ac:dyDescent="0.3">
      <c r="A2746" s="1">
        <v>41611</v>
      </c>
      <c r="B2746" s="1">
        <v>41617</v>
      </c>
      <c r="C2746" t="s">
        <v>1019</v>
      </c>
      <c r="D2746" t="s">
        <v>37</v>
      </c>
      <c r="E2746" t="s">
        <v>1354</v>
      </c>
      <c r="F2746">
        <v>165.6</v>
      </c>
      <c r="G2746">
        <v>3</v>
      </c>
      <c r="H2746">
        <v>-6.21</v>
      </c>
      <c r="I2746">
        <v>6</v>
      </c>
      <c r="J2746">
        <v>2013</v>
      </c>
      <c r="K2746" t="s">
        <v>2207</v>
      </c>
      <c r="L2746" t="str">
        <f>TEXT(maintable_2[[#This Row],[Order Date]],"mmmm")</f>
        <v>December</v>
      </c>
    </row>
    <row r="2747" spans="1:12" x14ac:dyDescent="0.3">
      <c r="A2747" s="1">
        <v>40968</v>
      </c>
      <c r="B2747" s="1">
        <v>40971</v>
      </c>
      <c r="C2747" t="s">
        <v>1712</v>
      </c>
      <c r="D2747" t="s">
        <v>15</v>
      </c>
      <c r="E2747" t="s">
        <v>614</v>
      </c>
      <c r="F2747">
        <v>15.984</v>
      </c>
      <c r="G2747">
        <v>2</v>
      </c>
      <c r="H2747">
        <v>1.1988000000000001</v>
      </c>
      <c r="I2747">
        <v>3</v>
      </c>
      <c r="J2747">
        <v>2012</v>
      </c>
      <c r="K2747" t="s">
        <v>2210</v>
      </c>
      <c r="L2747" t="str">
        <f>TEXT(maintable_2[[#This Row],[Order Date]],"mmmm")</f>
        <v>February</v>
      </c>
    </row>
    <row r="2748" spans="1:12" x14ac:dyDescent="0.3">
      <c r="A2748" s="1">
        <v>40968</v>
      </c>
      <c r="B2748" s="1">
        <v>40971</v>
      </c>
      <c r="C2748" t="s">
        <v>1712</v>
      </c>
      <c r="D2748" t="s">
        <v>71</v>
      </c>
      <c r="E2748" t="s">
        <v>1094</v>
      </c>
      <c r="F2748">
        <v>184.75200000000001</v>
      </c>
      <c r="G2748">
        <v>3</v>
      </c>
      <c r="H2748">
        <v>-20.784600000000001</v>
      </c>
      <c r="I2748">
        <v>3</v>
      </c>
      <c r="J2748">
        <v>2012</v>
      </c>
      <c r="K2748" t="s">
        <v>2210</v>
      </c>
      <c r="L2748" t="str">
        <f>TEXT(maintable_2[[#This Row],[Order Date]],"mmmm")</f>
        <v>February</v>
      </c>
    </row>
    <row r="2749" spans="1:12" x14ac:dyDescent="0.3">
      <c r="A2749" s="1">
        <v>40595</v>
      </c>
      <c r="B2749" s="1">
        <v>40599</v>
      </c>
      <c r="C2749" t="s">
        <v>1395</v>
      </c>
      <c r="D2749" t="s">
        <v>44</v>
      </c>
      <c r="E2749" t="s">
        <v>1246</v>
      </c>
      <c r="F2749">
        <v>12.96</v>
      </c>
      <c r="G2749">
        <v>2</v>
      </c>
      <c r="H2749">
        <v>6.2207999999999997</v>
      </c>
      <c r="I2749">
        <v>4</v>
      </c>
      <c r="J2749">
        <v>2011</v>
      </c>
      <c r="K2749" t="s">
        <v>2210</v>
      </c>
      <c r="L2749" t="str">
        <f>TEXT(maintable_2[[#This Row],[Order Date]],"mmmm")</f>
        <v>February</v>
      </c>
    </row>
    <row r="2750" spans="1:12" x14ac:dyDescent="0.3">
      <c r="A2750" s="1">
        <v>41904</v>
      </c>
      <c r="B2750" s="1">
        <v>41908</v>
      </c>
      <c r="C2750" t="s">
        <v>161</v>
      </c>
      <c r="D2750" t="s">
        <v>44</v>
      </c>
      <c r="E2750" t="s">
        <v>2086</v>
      </c>
      <c r="F2750">
        <v>55.86</v>
      </c>
      <c r="G2750">
        <v>7</v>
      </c>
      <c r="H2750">
        <v>27.93</v>
      </c>
      <c r="I2750">
        <v>4</v>
      </c>
      <c r="J2750">
        <v>2014</v>
      </c>
      <c r="K2750" t="s">
        <v>2209</v>
      </c>
      <c r="L2750" t="str">
        <f>TEXT(maintable_2[[#This Row],[Order Date]],"mmmm")</f>
        <v>September</v>
      </c>
    </row>
    <row r="2751" spans="1:12" x14ac:dyDescent="0.3">
      <c r="A2751" s="1">
        <v>41954</v>
      </c>
      <c r="B2751" s="1">
        <v>41961</v>
      </c>
      <c r="C2751" t="s">
        <v>2087</v>
      </c>
      <c r="D2751" t="s">
        <v>71</v>
      </c>
      <c r="E2751" t="s">
        <v>943</v>
      </c>
      <c r="F2751">
        <v>241.42400000000001</v>
      </c>
      <c r="G2751">
        <v>2</v>
      </c>
      <c r="H2751">
        <v>-36.2136</v>
      </c>
      <c r="I2751">
        <v>7</v>
      </c>
      <c r="J2751">
        <v>2014</v>
      </c>
      <c r="K2751" t="s">
        <v>2209</v>
      </c>
      <c r="L2751" t="str">
        <f>TEXT(maintable_2[[#This Row],[Order Date]],"mmmm")</f>
        <v>November</v>
      </c>
    </row>
    <row r="2752" spans="1:12" x14ac:dyDescent="0.3">
      <c r="A2752" s="1">
        <v>40679</v>
      </c>
      <c r="B2752" s="1">
        <v>40683</v>
      </c>
      <c r="C2752" t="s">
        <v>1572</v>
      </c>
      <c r="D2752" t="s">
        <v>37</v>
      </c>
      <c r="E2752" t="s">
        <v>1231</v>
      </c>
      <c r="F2752">
        <v>56.4</v>
      </c>
      <c r="G2752">
        <v>3</v>
      </c>
      <c r="H2752">
        <v>3.3839999999999999</v>
      </c>
      <c r="I2752">
        <v>4</v>
      </c>
      <c r="J2752">
        <v>2011</v>
      </c>
      <c r="K2752" t="s">
        <v>2208</v>
      </c>
      <c r="L2752" t="str">
        <f>TEXT(maintable_2[[#This Row],[Order Date]],"mmmm")</f>
        <v>May</v>
      </c>
    </row>
    <row r="2753" spans="1:12" x14ac:dyDescent="0.3">
      <c r="A2753" s="1">
        <v>41708</v>
      </c>
      <c r="B2753" s="1">
        <v>41712</v>
      </c>
      <c r="C2753" t="s">
        <v>2088</v>
      </c>
      <c r="D2753" t="s">
        <v>163</v>
      </c>
      <c r="E2753" t="s">
        <v>950</v>
      </c>
      <c r="F2753">
        <v>479.98399999999998</v>
      </c>
      <c r="G2753">
        <v>2</v>
      </c>
      <c r="H2753">
        <v>59.997999999999998</v>
      </c>
      <c r="I2753">
        <v>4</v>
      </c>
      <c r="J2753">
        <v>2014</v>
      </c>
      <c r="K2753" t="s">
        <v>2208</v>
      </c>
      <c r="L2753" t="str">
        <f>TEXT(maintable_2[[#This Row],[Order Date]],"mmmm")</f>
        <v>March</v>
      </c>
    </row>
    <row r="2754" spans="1:12" x14ac:dyDescent="0.3">
      <c r="A2754" s="1">
        <v>41708</v>
      </c>
      <c r="B2754" s="1">
        <v>41712</v>
      </c>
      <c r="C2754" t="s">
        <v>2088</v>
      </c>
      <c r="D2754" t="s">
        <v>17</v>
      </c>
      <c r="E2754" t="s">
        <v>18</v>
      </c>
      <c r="F2754">
        <v>30.84</v>
      </c>
      <c r="G2754">
        <v>5</v>
      </c>
      <c r="H2754">
        <v>9.6374999999999993</v>
      </c>
      <c r="I2754">
        <v>4</v>
      </c>
      <c r="J2754">
        <v>2014</v>
      </c>
      <c r="K2754" t="s">
        <v>2208</v>
      </c>
      <c r="L2754" t="str">
        <f>TEXT(maintable_2[[#This Row],[Order Date]],"mmmm")</f>
        <v>March</v>
      </c>
    </row>
    <row r="2755" spans="1:12" x14ac:dyDescent="0.3">
      <c r="A2755" s="1">
        <v>41248</v>
      </c>
      <c r="B2755" s="1">
        <v>41253</v>
      </c>
      <c r="C2755" t="s">
        <v>499</v>
      </c>
      <c r="D2755" t="s">
        <v>37</v>
      </c>
      <c r="E2755" t="s">
        <v>1113</v>
      </c>
      <c r="F2755">
        <v>39</v>
      </c>
      <c r="G2755">
        <v>3</v>
      </c>
      <c r="H2755">
        <v>17.55</v>
      </c>
      <c r="I2755">
        <v>5</v>
      </c>
      <c r="J2755">
        <v>2012</v>
      </c>
      <c r="K2755" t="s">
        <v>2207</v>
      </c>
      <c r="L2755" t="str">
        <f>TEXT(maintable_2[[#This Row],[Order Date]],"mmmm")</f>
        <v>December</v>
      </c>
    </row>
    <row r="2756" spans="1:12" x14ac:dyDescent="0.3">
      <c r="A2756" s="1">
        <v>41248</v>
      </c>
      <c r="B2756" s="1">
        <v>41253</v>
      </c>
      <c r="C2756" t="s">
        <v>499</v>
      </c>
      <c r="D2756" t="s">
        <v>8</v>
      </c>
      <c r="E2756" t="s">
        <v>475</v>
      </c>
      <c r="F2756">
        <v>12.6</v>
      </c>
      <c r="G2756">
        <v>4</v>
      </c>
      <c r="H2756">
        <v>6.048</v>
      </c>
      <c r="I2756">
        <v>5</v>
      </c>
      <c r="J2756">
        <v>2012</v>
      </c>
      <c r="K2756" t="s">
        <v>2207</v>
      </c>
      <c r="L2756" t="str">
        <f>TEXT(maintable_2[[#This Row],[Order Date]],"mmmm")</f>
        <v>December</v>
      </c>
    </row>
    <row r="2757" spans="1:12" x14ac:dyDescent="0.3">
      <c r="A2757" s="1">
        <v>41163</v>
      </c>
      <c r="B2757" s="1">
        <v>41164</v>
      </c>
      <c r="C2757" t="s">
        <v>499</v>
      </c>
      <c r="D2757" t="s">
        <v>11</v>
      </c>
      <c r="E2757" t="s">
        <v>241</v>
      </c>
      <c r="F2757">
        <v>24.64</v>
      </c>
      <c r="G2757">
        <v>4</v>
      </c>
      <c r="H2757">
        <v>4.0039999999999996</v>
      </c>
      <c r="I2757">
        <v>1</v>
      </c>
      <c r="J2757">
        <v>2012</v>
      </c>
      <c r="K2757" t="s">
        <v>2209</v>
      </c>
      <c r="L2757" t="str">
        <f>TEXT(maintable_2[[#This Row],[Order Date]],"mmmm")</f>
        <v>September</v>
      </c>
    </row>
    <row r="2758" spans="1:12" x14ac:dyDescent="0.3">
      <c r="A2758" s="1">
        <v>40805</v>
      </c>
      <c r="B2758" s="1">
        <v>40805</v>
      </c>
      <c r="C2758" t="s">
        <v>1264</v>
      </c>
      <c r="D2758" t="s">
        <v>78</v>
      </c>
      <c r="E2758" t="s">
        <v>2089</v>
      </c>
      <c r="F2758">
        <v>5.67</v>
      </c>
      <c r="G2758">
        <v>3</v>
      </c>
      <c r="H2758">
        <v>0.1134</v>
      </c>
      <c r="I2758">
        <v>0</v>
      </c>
      <c r="J2758">
        <v>2011</v>
      </c>
      <c r="K2758" t="s">
        <v>2209</v>
      </c>
      <c r="L2758" t="str">
        <f>TEXT(maintable_2[[#This Row],[Order Date]],"mmmm")</f>
        <v>September</v>
      </c>
    </row>
    <row r="2759" spans="1:12" x14ac:dyDescent="0.3">
      <c r="A2759" s="1">
        <v>40579</v>
      </c>
      <c r="B2759" s="1">
        <v>40583</v>
      </c>
      <c r="C2759" t="s">
        <v>2090</v>
      </c>
      <c r="D2759" t="s">
        <v>17</v>
      </c>
      <c r="E2759" t="s">
        <v>718</v>
      </c>
      <c r="F2759">
        <v>17.248000000000001</v>
      </c>
      <c r="G2759">
        <v>2</v>
      </c>
      <c r="H2759">
        <v>6.0368000000000004</v>
      </c>
      <c r="I2759">
        <v>4</v>
      </c>
      <c r="J2759">
        <v>2011</v>
      </c>
      <c r="K2759" t="s">
        <v>2210</v>
      </c>
      <c r="L2759" t="str">
        <f>TEXT(maintable_2[[#This Row],[Order Date]],"mmmm")</f>
        <v>February</v>
      </c>
    </row>
    <row r="2760" spans="1:12" x14ac:dyDescent="0.3">
      <c r="A2760" s="1">
        <v>41832</v>
      </c>
      <c r="B2760" s="1">
        <v>41839</v>
      </c>
      <c r="C2760" t="s">
        <v>258</v>
      </c>
      <c r="D2760" t="s">
        <v>37</v>
      </c>
      <c r="E2760" t="s">
        <v>130</v>
      </c>
      <c r="F2760">
        <v>1287.45</v>
      </c>
      <c r="G2760">
        <v>5</v>
      </c>
      <c r="H2760">
        <v>244.6155</v>
      </c>
      <c r="I2760">
        <v>7</v>
      </c>
      <c r="J2760">
        <v>2014</v>
      </c>
      <c r="K2760" t="s">
        <v>2206</v>
      </c>
      <c r="L2760" t="str">
        <f>TEXT(maintable_2[[#This Row],[Order Date]],"mmmm")</f>
        <v>July</v>
      </c>
    </row>
    <row r="2761" spans="1:12" x14ac:dyDescent="0.3">
      <c r="A2761" s="1">
        <v>41832</v>
      </c>
      <c r="B2761" s="1">
        <v>41839</v>
      </c>
      <c r="C2761" t="s">
        <v>258</v>
      </c>
      <c r="D2761" t="s">
        <v>19</v>
      </c>
      <c r="E2761" t="s">
        <v>409</v>
      </c>
      <c r="F2761">
        <v>168.1</v>
      </c>
      <c r="G2761">
        <v>5</v>
      </c>
      <c r="H2761">
        <v>43.706000000000003</v>
      </c>
      <c r="I2761">
        <v>7</v>
      </c>
      <c r="J2761">
        <v>2014</v>
      </c>
      <c r="K2761" t="s">
        <v>2206</v>
      </c>
      <c r="L2761" t="str">
        <f>TEXT(maintable_2[[#This Row],[Order Date]],"mmmm")</f>
        <v>July</v>
      </c>
    </row>
    <row r="2762" spans="1:12" x14ac:dyDescent="0.3">
      <c r="A2762" s="1">
        <v>41753</v>
      </c>
      <c r="B2762" s="1">
        <v>41756</v>
      </c>
      <c r="C2762" t="s">
        <v>1936</v>
      </c>
      <c r="D2762" t="s">
        <v>86</v>
      </c>
      <c r="E2762" t="s">
        <v>105</v>
      </c>
      <c r="F2762">
        <v>18.687999999999999</v>
      </c>
      <c r="G2762">
        <v>2</v>
      </c>
      <c r="H2762">
        <v>7.008</v>
      </c>
      <c r="I2762">
        <v>3</v>
      </c>
      <c r="J2762">
        <v>2014</v>
      </c>
      <c r="K2762" t="s">
        <v>2208</v>
      </c>
      <c r="L2762" t="str">
        <f>TEXT(maintable_2[[#This Row],[Order Date]],"mmmm")</f>
        <v>April</v>
      </c>
    </row>
    <row r="2763" spans="1:12" x14ac:dyDescent="0.3">
      <c r="A2763" s="1">
        <v>41753</v>
      </c>
      <c r="B2763" s="1">
        <v>41756</v>
      </c>
      <c r="C2763" t="s">
        <v>1936</v>
      </c>
      <c r="D2763" t="s">
        <v>11</v>
      </c>
      <c r="E2763" t="s">
        <v>2091</v>
      </c>
      <c r="F2763">
        <v>11.664</v>
      </c>
      <c r="G2763">
        <v>3</v>
      </c>
      <c r="H2763">
        <v>3.3534000000000002</v>
      </c>
      <c r="I2763">
        <v>3</v>
      </c>
      <c r="J2763">
        <v>2014</v>
      </c>
      <c r="K2763" t="s">
        <v>2208</v>
      </c>
      <c r="L2763" t="str">
        <f>TEXT(maintable_2[[#This Row],[Order Date]],"mmmm")</f>
        <v>April</v>
      </c>
    </row>
    <row r="2764" spans="1:12" x14ac:dyDescent="0.3">
      <c r="A2764" s="1">
        <v>41575</v>
      </c>
      <c r="B2764" s="1">
        <v>41579</v>
      </c>
      <c r="C2764" t="s">
        <v>2092</v>
      </c>
      <c r="D2764" t="s">
        <v>17</v>
      </c>
      <c r="E2764" t="s">
        <v>2070</v>
      </c>
      <c r="F2764">
        <v>67.135999999999996</v>
      </c>
      <c r="G2764">
        <v>4</v>
      </c>
      <c r="H2764">
        <v>25.175999999999998</v>
      </c>
      <c r="I2764">
        <v>4</v>
      </c>
      <c r="J2764">
        <v>2013</v>
      </c>
      <c r="K2764" t="s">
        <v>2209</v>
      </c>
      <c r="L2764" t="str">
        <f>TEXT(maintable_2[[#This Row],[Order Date]],"mmmm")</f>
        <v>October</v>
      </c>
    </row>
    <row r="2765" spans="1:12" x14ac:dyDescent="0.3">
      <c r="A2765" s="1">
        <v>40873</v>
      </c>
      <c r="B2765" s="1">
        <v>40878</v>
      </c>
      <c r="C2765" t="s">
        <v>1600</v>
      </c>
      <c r="D2765" t="s">
        <v>17</v>
      </c>
      <c r="E2765" t="s">
        <v>429</v>
      </c>
      <c r="F2765">
        <v>4.32</v>
      </c>
      <c r="G2765">
        <v>3</v>
      </c>
      <c r="H2765">
        <v>1.512</v>
      </c>
      <c r="I2765">
        <v>5</v>
      </c>
      <c r="J2765">
        <v>2011</v>
      </c>
      <c r="K2765" t="s">
        <v>2209</v>
      </c>
      <c r="L2765" t="str">
        <f>TEXT(maintable_2[[#This Row],[Order Date]],"mmmm")</f>
        <v>November</v>
      </c>
    </row>
    <row r="2766" spans="1:12" x14ac:dyDescent="0.3">
      <c r="A2766" s="1">
        <v>40873</v>
      </c>
      <c r="B2766" s="1">
        <v>40878</v>
      </c>
      <c r="C2766" t="s">
        <v>1600</v>
      </c>
      <c r="D2766" t="s">
        <v>44</v>
      </c>
      <c r="E2766" t="s">
        <v>643</v>
      </c>
      <c r="F2766">
        <v>14.94</v>
      </c>
      <c r="G2766">
        <v>3</v>
      </c>
      <c r="H2766">
        <v>7.0217999999999998</v>
      </c>
      <c r="I2766">
        <v>5</v>
      </c>
      <c r="J2766">
        <v>2011</v>
      </c>
      <c r="K2766" t="s">
        <v>2209</v>
      </c>
      <c r="L2766" t="str">
        <f>TEXT(maintable_2[[#This Row],[Order Date]],"mmmm")</f>
        <v>November</v>
      </c>
    </row>
    <row r="2767" spans="1:12" x14ac:dyDescent="0.3">
      <c r="A2767" s="1">
        <v>40873</v>
      </c>
      <c r="B2767" s="1">
        <v>40878</v>
      </c>
      <c r="C2767" t="s">
        <v>1600</v>
      </c>
      <c r="D2767" t="s">
        <v>19</v>
      </c>
      <c r="E2767" t="s">
        <v>872</v>
      </c>
      <c r="F2767">
        <v>40.54</v>
      </c>
      <c r="G2767">
        <v>2</v>
      </c>
      <c r="H2767">
        <v>11.3512</v>
      </c>
      <c r="I2767">
        <v>5</v>
      </c>
      <c r="J2767">
        <v>2011</v>
      </c>
      <c r="K2767" t="s">
        <v>2209</v>
      </c>
      <c r="L2767" t="str">
        <f>TEXT(maintable_2[[#This Row],[Order Date]],"mmmm")</f>
        <v>November</v>
      </c>
    </row>
    <row r="2768" spans="1:12" x14ac:dyDescent="0.3">
      <c r="A2768" s="1">
        <v>40873</v>
      </c>
      <c r="B2768" s="1">
        <v>40878</v>
      </c>
      <c r="C2768" t="s">
        <v>1600</v>
      </c>
      <c r="D2768" t="s">
        <v>17</v>
      </c>
      <c r="E2768" t="s">
        <v>1612</v>
      </c>
      <c r="F2768">
        <v>7.3120000000000003</v>
      </c>
      <c r="G2768">
        <v>1</v>
      </c>
      <c r="H2768">
        <v>2.5592000000000001</v>
      </c>
      <c r="I2768">
        <v>5</v>
      </c>
      <c r="J2768">
        <v>2011</v>
      </c>
      <c r="K2768" t="s">
        <v>2209</v>
      </c>
      <c r="L2768" t="str">
        <f>TEXT(maintable_2[[#This Row],[Order Date]],"mmmm")</f>
        <v>November</v>
      </c>
    </row>
    <row r="2769" spans="1:12" x14ac:dyDescent="0.3">
      <c r="A2769" s="1">
        <v>40908</v>
      </c>
      <c r="B2769" s="1">
        <v>40908</v>
      </c>
      <c r="C2769" t="s">
        <v>1598</v>
      </c>
      <c r="D2769" t="s">
        <v>15</v>
      </c>
      <c r="E2769" t="s">
        <v>1835</v>
      </c>
      <c r="F2769">
        <v>475.94400000000002</v>
      </c>
      <c r="G2769">
        <v>7</v>
      </c>
      <c r="H2769">
        <v>59.493000000000002</v>
      </c>
      <c r="I2769">
        <v>0</v>
      </c>
      <c r="J2769">
        <v>2011</v>
      </c>
      <c r="K2769" t="s">
        <v>2207</v>
      </c>
      <c r="L2769" t="str">
        <f>TEXT(maintable_2[[#This Row],[Order Date]],"mmmm")</f>
        <v>December</v>
      </c>
    </row>
    <row r="2770" spans="1:12" x14ac:dyDescent="0.3">
      <c r="A2770" s="1">
        <v>41957</v>
      </c>
      <c r="B2770" s="1">
        <v>41961</v>
      </c>
      <c r="C2770" t="s">
        <v>1042</v>
      </c>
      <c r="D2770" t="s">
        <v>37</v>
      </c>
      <c r="E2770" t="s">
        <v>980</v>
      </c>
      <c r="F2770">
        <v>82.95</v>
      </c>
      <c r="G2770">
        <v>5</v>
      </c>
      <c r="H2770">
        <v>29.032499999999999</v>
      </c>
      <c r="I2770">
        <v>4</v>
      </c>
      <c r="J2770">
        <v>2014</v>
      </c>
      <c r="K2770" t="s">
        <v>2209</v>
      </c>
      <c r="L2770" t="str">
        <f>TEXT(maintable_2[[#This Row],[Order Date]],"mmmm")</f>
        <v>November</v>
      </c>
    </row>
    <row r="2771" spans="1:12" x14ac:dyDescent="0.3">
      <c r="A2771" s="1">
        <v>41302</v>
      </c>
      <c r="B2771" s="1">
        <v>41306</v>
      </c>
      <c r="C2771" t="s">
        <v>552</v>
      </c>
      <c r="D2771" t="s">
        <v>13</v>
      </c>
      <c r="E2771" t="s">
        <v>1084</v>
      </c>
      <c r="F2771">
        <v>39.68</v>
      </c>
      <c r="G2771">
        <v>2</v>
      </c>
      <c r="H2771">
        <v>10.316800000000001</v>
      </c>
      <c r="I2771">
        <v>4</v>
      </c>
      <c r="J2771">
        <v>2013</v>
      </c>
      <c r="K2771" t="s">
        <v>2210</v>
      </c>
      <c r="L2771" t="str">
        <f>TEXT(maintable_2[[#This Row],[Order Date]],"mmmm")</f>
        <v>January</v>
      </c>
    </row>
    <row r="2772" spans="1:12" x14ac:dyDescent="0.3">
      <c r="A2772" s="1">
        <v>41588</v>
      </c>
      <c r="B2772" s="1">
        <v>41593</v>
      </c>
      <c r="C2772" t="s">
        <v>445</v>
      </c>
      <c r="D2772" t="s">
        <v>37</v>
      </c>
      <c r="E2772" t="s">
        <v>2093</v>
      </c>
      <c r="F2772">
        <v>479.97</v>
      </c>
      <c r="G2772">
        <v>3</v>
      </c>
      <c r="H2772">
        <v>177.5889</v>
      </c>
      <c r="I2772">
        <v>5</v>
      </c>
      <c r="J2772">
        <v>2013</v>
      </c>
      <c r="K2772" t="s">
        <v>2209</v>
      </c>
      <c r="L2772" t="str">
        <f>TEXT(maintable_2[[#This Row],[Order Date]],"mmmm")</f>
        <v>November</v>
      </c>
    </row>
    <row r="2773" spans="1:12" x14ac:dyDescent="0.3">
      <c r="A2773" s="1">
        <v>41528</v>
      </c>
      <c r="B2773" s="1">
        <v>41532</v>
      </c>
      <c r="C2773" t="s">
        <v>2094</v>
      </c>
      <c r="D2773" t="s">
        <v>8</v>
      </c>
      <c r="E2773" t="s">
        <v>1886</v>
      </c>
      <c r="F2773">
        <v>7.38</v>
      </c>
      <c r="G2773">
        <v>2</v>
      </c>
      <c r="H2773">
        <v>3.4685999999999999</v>
      </c>
      <c r="I2773">
        <v>4</v>
      </c>
      <c r="J2773">
        <v>2013</v>
      </c>
      <c r="K2773" t="s">
        <v>2209</v>
      </c>
      <c r="L2773" t="str">
        <f>TEXT(maintable_2[[#This Row],[Order Date]],"mmmm")</f>
        <v>September</v>
      </c>
    </row>
    <row r="2774" spans="1:12" x14ac:dyDescent="0.3">
      <c r="A2774" s="1">
        <v>41528</v>
      </c>
      <c r="B2774" s="1">
        <v>41532</v>
      </c>
      <c r="C2774" t="s">
        <v>2094</v>
      </c>
      <c r="D2774" t="s">
        <v>17</v>
      </c>
      <c r="E2774" t="s">
        <v>162</v>
      </c>
      <c r="F2774">
        <v>14.256</v>
      </c>
      <c r="G2774">
        <v>3</v>
      </c>
      <c r="H2774">
        <v>4.4550000000000001</v>
      </c>
      <c r="I2774">
        <v>4</v>
      </c>
      <c r="J2774">
        <v>2013</v>
      </c>
      <c r="K2774" t="s">
        <v>2209</v>
      </c>
      <c r="L2774" t="str">
        <f>TEXT(maintable_2[[#This Row],[Order Date]],"mmmm")</f>
        <v>September</v>
      </c>
    </row>
    <row r="2775" spans="1:12" x14ac:dyDescent="0.3">
      <c r="A2775" s="1">
        <v>41528</v>
      </c>
      <c r="B2775" s="1">
        <v>41532</v>
      </c>
      <c r="C2775" t="s">
        <v>2094</v>
      </c>
      <c r="D2775" t="s">
        <v>44</v>
      </c>
      <c r="E2775" t="s">
        <v>1746</v>
      </c>
      <c r="F2775">
        <v>81.98</v>
      </c>
      <c r="G2775">
        <v>2</v>
      </c>
      <c r="H2775">
        <v>40.170200000000001</v>
      </c>
      <c r="I2775">
        <v>4</v>
      </c>
      <c r="J2775">
        <v>2013</v>
      </c>
      <c r="K2775" t="s">
        <v>2209</v>
      </c>
      <c r="L2775" t="str">
        <f>TEXT(maintable_2[[#This Row],[Order Date]],"mmmm")</f>
        <v>September</v>
      </c>
    </row>
    <row r="2776" spans="1:12" x14ac:dyDescent="0.3">
      <c r="A2776" s="1">
        <v>41528</v>
      </c>
      <c r="B2776" s="1">
        <v>41532</v>
      </c>
      <c r="C2776" t="s">
        <v>2094</v>
      </c>
      <c r="D2776" t="s">
        <v>17</v>
      </c>
      <c r="E2776" t="s">
        <v>1722</v>
      </c>
      <c r="F2776">
        <v>39.624000000000002</v>
      </c>
      <c r="G2776">
        <v>3</v>
      </c>
      <c r="H2776">
        <v>13.868399999999999</v>
      </c>
      <c r="I2776">
        <v>4</v>
      </c>
      <c r="J2776">
        <v>2013</v>
      </c>
      <c r="K2776" t="s">
        <v>2209</v>
      </c>
      <c r="L2776" t="str">
        <f>TEXT(maintable_2[[#This Row],[Order Date]],"mmmm")</f>
        <v>September</v>
      </c>
    </row>
    <row r="2777" spans="1:12" x14ac:dyDescent="0.3">
      <c r="A2777" s="1">
        <v>41702</v>
      </c>
      <c r="B2777" s="1">
        <v>41707</v>
      </c>
      <c r="C2777" t="s">
        <v>990</v>
      </c>
      <c r="D2777" t="s">
        <v>21</v>
      </c>
      <c r="E2777" t="s">
        <v>1142</v>
      </c>
      <c r="F2777">
        <v>399.67200000000003</v>
      </c>
      <c r="G2777">
        <v>7</v>
      </c>
      <c r="H2777">
        <v>-14.9877</v>
      </c>
      <c r="I2777">
        <v>5</v>
      </c>
      <c r="J2777">
        <v>2014</v>
      </c>
      <c r="K2777" t="s">
        <v>2208</v>
      </c>
      <c r="L2777" t="str">
        <f>TEXT(maintable_2[[#This Row],[Order Date]],"mmmm")</f>
        <v>March</v>
      </c>
    </row>
    <row r="2778" spans="1:12" x14ac:dyDescent="0.3">
      <c r="A2778" s="1">
        <v>41606</v>
      </c>
      <c r="B2778" s="1">
        <v>41610</v>
      </c>
      <c r="C2778" t="s">
        <v>2095</v>
      </c>
      <c r="D2778" t="s">
        <v>27</v>
      </c>
      <c r="E2778" t="s">
        <v>1013</v>
      </c>
      <c r="F2778">
        <v>39.808</v>
      </c>
      <c r="G2778">
        <v>4</v>
      </c>
      <c r="H2778">
        <v>3.9807999999999999</v>
      </c>
      <c r="I2778">
        <v>4</v>
      </c>
      <c r="J2778">
        <v>2013</v>
      </c>
      <c r="K2778" t="s">
        <v>2209</v>
      </c>
      <c r="L2778" t="str">
        <f>TEXT(maintable_2[[#This Row],[Order Date]],"mmmm")</f>
        <v>November</v>
      </c>
    </row>
    <row r="2779" spans="1:12" x14ac:dyDescent="0.3">
      <c r="A2779" s="1">
        <v>41251</v>
      </c>
      <c r="B2779" s="1">
        <v>41255</v>
      </c>
      <c r="C2779" t="s">
        <v>552</v>
      </c>
      <c r="D2779" t="s">
        <v>44</v>
      </c>
      <c r="E2779" t="s">
        <v>2096</v>
      </c>
      <c r="F2779">
        <v>15.696</v>
      </c>
      <c r="G2779">
        <v>3</v>
      </c>
      <c r="H2779">
        <v>5.1012000000000004</v>
      </c>
      <c r="I2779">
        <v>4</v>
      </c>
      <c r="J2779">
        <v>2012</v>
      </c>
      <c r="K2779" t="s">
        <v>2207</v>
      </c>
      <c r="L2779" t="str">
        <f>TEXT(maintable_2[[#This Row],[Order Date]],"mmmm")</f>
        <v>December</v>
      </c>
    </row>
    <row r="2780" spans="1:12" x14ac:dyDescent="0.3">
      <c r="A2780" s="1">
        <v>41757</v>
      </c>
      <c r="B2780" s="1">
        <v>41762</v>
      </c>
      <c r="C2780" t="s">
        <v>1928</v>
      </c>
      <c r="D2780" t="s">
        <v>11</v>
      </c>
      <c r="E2780" t="s">
        <v>46</v>
      </c>
      <c r="F2780">
        <v>139.58000000000001</v>
      </c>
      <c r="G2780">
        <v>7</v>
      </c>
      <c r="H2780">
        <v>39.0824</v>
      </c>
      <c r="I2780">
        <v>5</v>
      </c>
      <c r="J2780">
        <v>2014</v>
      </c>
      <c r="K2780" t="s">
        <v>2208</v>
      </c>
      <c r="L2780" t="str">
        <f>TEXT(maintable_2[[#This Row],[Order Date]],"mmmm")</f>
        <v>April</v>
      </c>
    </row>
    <row r="2781" spans="1:12" x14ac:dyDescent="0.3">
      <c r="A2781" s="1">
        <v>41976</v>
      </c>
      <c r="B2781" s="1">
        <v>41976</v>
      </c>
      <c r="C2781" t="s">
        <v>1775</v>
      </c>
      <c r="D2781" t="s">
        <v>17</v>
      </c>
      <c r="E2781" t="s">
        <v>243</v>
      </c>
      <c r="F2781">
        <v>67.86</v>
      </c>
      <c r="G2781">
        <v>6</v>
      </c>
      <c r="H2781">
        <v>-45.24</v>
      </c>
      <c r="I2781">
        <v>0</v>
      </c>
      <c r="J2781">
        <v>2014</v>
      </c>
      <c r="K2781" t="s">
        <v>2207</v>
      </c>
      <c r="L2781" t="str">
        <f>TEXT(maintable_2[[#This Row],[Order Date]],"mmmm")</f>
        <v>December</v>
      </c>
    </row>
    <row r="2782" spans="1:12" x14ac:dyDescent="0.3">
      <c r="A2782" s="1">
        <v>41604</v>
      </c>
      <c r="B2782" s="1">
        <v>41608</v>
      </c>
      <c r="C2782" t="s">
        <v>2097</v>
      </c>
      <c r="D2782" t="s">
        <v>71</v>
      </c>
      <c r="E2782" t="s">
        <v>2054</v>
      </c>
      <c r="F2782">
        <v>194.352</v>
      </c>
      <c r="G2782">
        <v>3</v>
      </c>
      <c r="H2782">
        <v>19.435199999999998</v>
      </c>
      <c r="I2782">
        <v>4</v>
      </c>
      <c r="J2782">
        <v>2013</v>
      </c>
      <c r="K2782" t="s">
        <v>2209</v>
      </c>
      <c r="L2782" t="str">
        <f>TEXT(maintable_2[[#This Row],[Order Date]],"mmmm")</f>
        <v>November</v>
      </c>
    </row>
    <row r="2783" spans="1:12" x14ac:dyDescent="0.3">
      <c r="A2783" s="1">
        <v>40799</v>
      </c>
      <c r="B2783" s="1">
        <v>40799</v>
      </c>
      <c r="C2783" t="s">
        <v>2080</v>
      </c>
      <c r="D2783" t="s">
        <v>78</v>
      </c>
      <c r="E2783" t="s">
        <v>2098</v>
      </c>
      <c r="F2783">
        <v>5.7</v>
      </c>
      <c r="G2783">
        <v>5</v>
      </c>
      <c r="H2783">
        <v>2.6789999999999998</v>
      </c>
      <c r="I2783">
        <v>0</v>
      </c>
      <c r="J2783">
        <v>2011</v>
      </c>
      <c r="K2783" t="s">
        <v>2209</v>
      </c>
      <c r="L2783" t="str">
        <f>TEXT(maintable_2[[#This Row],[Order Date]],"mmmm")</f>
        <v>September</v>
      </c>
    </row>
    <row r="2784" spans="1:12" x14ac:dyDescent="0.3">
      <c r="A2784" s="1">
        <v>40799</v>
      </c>
      <c r="B2784" s="1">
        <v>40799</v>
      </c>
      <c r="C2784" t="s">
        <v>2080</v>
      </c>
      <c r="D2784" t="s">
        <v>11</v>
      </c>
      <c r="E2784" t="s">
        <v>153</v>
      </c>
      <c r="F2784">
        <v>14.19</v>
      </c>
      <c r="G2784">
        <v>3</v>
      </c>
      <c r="H2784">
        <v>5.5340999999999996</v>
      </c>
      <c r="I2784">
        <v>0</v>
      </c>
      <c r="J2784">
        <v>2011</v>
      </c>
      <c r="K2784" t="s">
        <v>2209</v>
      </c>
      <c r="L2784" t="str">
        <f>TEXT(maintable_2[[#This Row],[Order Date]],"mmmm")</f>
        <v>September</v>
      </c>
    </row>
    <row r="2785" spans="1:12" x14ac:dyDescent="0.3">
      <c r="A2785" s="1">
        <v>40799</v>
      </c>
      <c r="B2785" s="1">
        <v>40799</v>
      </c>
      <c r="C2785" t="s">
        <v>2080</v>
      </c>
      <c r="D2785" t="s">
        <v>81</v>
      </c>
      <c r="E2785" t="s">
        <v>290</v>
      </c>
      <c r="F2785">
        <v>7.3</v>
      </c>
      <c r="G2785">
        <v>2</v>
      </c>
      <c r="H2785">
        <v>2.19</v>
      </c>
      <c r="I2785">
        <v>0</v>
      </c>
      <c r="J2785">
        <v>2011</v>
      </c>
      <c r="K2785" t="s">
        <v>2209</v>
      </c>
      <c r="L2785" t="str">
        <f>TEXT(maintable_2[[#This Row],[Order Date]],"mmmm")</f>
        <v>September</v>
      </c>
    </row>
    <row r="2786" spans="1:12" x14ac:dyDescent="0.3">
      <c r="A2786" s="1">
        <v>40799</v>
      </c>
      <c r="B2786" s="1">
        <v>40799</v>
      </c>
      <c r="C2786" t="s">
        <v>2080</v>
      </c>
      <c r="D2786" t="s">
        <v>37</v>
      </c>
      <c r="E2786" t="s">
        <v>457</v>
      </c>
      <c r="F2786">
        <v>199.98</v>
      </c>
      <c r="G2786">
        <v>2</v>
      </c>
      <c r="H2786">
        <v>75.992400000000004</v>
      </c>
      <c r="I2786">
        <v>0</v>
      </c>
      <c r="J2786">
        <v>2011</v>
      </c>
      <c r="K2786" t="s">
        <v>2209</v>
      </c>
      <c r="L2786" t="str">
        <f>TEXT(maintable_2[[#This Row],[Order Date]],"mmmm")</f>
        <v>September</v>
      </c>
    </row>
    <row r="2787" spans="1:12" x14ac:dyDescent="0.3">
      <c r="A2787" s="1">
        <v>40799</v>
      </c>
      <c r="B2787" s="1">
        <v>40799</v>
      </c>
      <c r="C2787" t="s">
        <v>2080</v>
      </c>
      <c r="D2787" t="s">
        <v>37</v>
      </c>
      <c r="E2787" t="s">
        <v>1204</v>
      </c>
      <c r="F2787">
        <v>144.96</v>
      </c>
      <c r="G2787">
        <v>4</v>
      </c>
      <c r="H2787">
        <v>60.883200000000002</v>
      </c>
      <c r="I2787">
        <v>0</v>
      </c>
      <c r="J2787">
        <v>2011</v>
      </c>
      <c r="K2787" t="s">
        <v>2209</v>
      </c>
      <c r="L2787" t="str">
        <f>TEXT(maintable_2[[#This Row],[Order Date]],"mmmm")</f>
        <v>September</v>
      </c>
    </row>
    <row r="2788" spans="1:12" x14ac:dyDescent="0.3">
      <c r="A2788" s="1">
        <v>40799</v>
      </c>
      <c r="B2788" s="1">
        <v>40799</v>
      </c>
      <c r="C2788" t="s">
        <v>2080</v>
      </c>
      <c r="D2788" t="s">
        <v>37</v>
      </c>
      <c r="E2788" t="s">
        <v>620</v>
      </c>
      <c r="F2788">
        <v>118</v>
      </c>
      <c r="G2788">
        <v>2</v>
      </c>
      <c r="H2788">
        <v>20.059999999999999</v>
      </c>
      <c r="I2788">
        <v>0</v>
      </c>
      <c r="J2788">
        <v>2011</v>
      </c>
      <c r="K2788" t="s">
        <v>2209</v>
      </c>
      <c r="L2788" t="str">
        <f>TEXT(maintable_2[[#This Row],[Order Date]],"mmmm")</f>
        <v>September</v>
      </c>
    </row>
    <row r="2789" spans="1:12" x14ac:dyDescent="0.3">
      <c r="A2789" s="1">
        <v>40799</v>
      </c>
      <c r="B2789" s="1">
        <v>40799</v>
      </c>
      <c r="C2789" t="s">
        <v>2080</v>
      </c>
      <c r="D2789" t="s">
        <v>44</v>
      </c>
      <c r="E2789" t="s">
        <v>1351</v>
      </c>
      <c r="F2789">
        <v>48.94</v>
      </c>
      <c r="G2789">
        <v>1</v>
      </c>
      <c r="H2789">
        <v>24.47</v>
      </c>
      <c r="I2789">
        <v>0</v>
      </c>
      <c r="J2789">
        <v>2011</v>
      </c>
      <c r="K2789" t="s">
        <v>2209</v>
      </c>
      <c r="L2789" t="str">
        <f>TEXT(maintable_2[[#This Row],[Order Date]],"mmmm")</f>
        <v>September</v>
      </c>
    </row>
    <row r="2790" spans="1:12" x14ac:dyDescent="0.3">
      <c r="A2790" s="1">
        <v>40799</v>
      </c>
      <c r="B2790" s="1">
        <v>40799</v>
      </c>
      <c r="C2790" t="s">
        <v>2080</v>
      </c>
      <c r="D2790" t="s">
        <v>19</v>
      </c>
      <c r="E2790" t="s">
        <v>1241</v>
      </c>
      <c r="F2790">
        <v>22.66</v>
      </c>
      <c r="G2790">
        <v>2</v>
      </c>
      <c r="H2790">
        <v>9.7438000000000002</v>
      </c>
      <c r="I2790">
        <v>0</v>
      </c>
      <c r="J2790">
        <v>2011</v>
      </c>
      <c r="K2790" t="s">
        <v>2209</v>
      </c>
      <c r="L2790" t="str">
        <f>TEXT(maintable_2[[#This Row],[Order Date]],"mmmm")</f>
        <v>September</v>
      </c>
    </row>
    <row r="2791" spans="1:12" x14ac:dyDescent="0.3">
      <c r="A2791" s="1">
        <v>41729</v>
      </c>
      <c r="B2791" s="1">
        <v>41731</v>
      </c>
      <c r="C2791" t="s">
        <v>328</v>
      </c>
      <c r="D2791" t="s">
        <v>11</v>
      </c>
      <c r="E2791" t="s">
        <v>814</v>
      </c>
      <c r="F2791">
        <v>94.2</v>
      </c>
      <c r="G2791">
        <v>5</v>
      </c>
      <c r="H2791">
        <v>39.564</v>
      </c>
      <c r="I2791">
        <v>2</v>
      </c>
      <c r="J2791">
        <v>2014</v>
      </c>
      <c r="K2791" t="s">
        <v>2208</v>
      </c>
      <c r="L2791" t="str">
        <f>TEXT(maintable_2[[#This Row],[Order Date]],"mmmm")</f>
        <v>March</v>
      </c>
    </row>
    <row r="2792" spans="1:12" x14ac:dyDescent="0.3">
      <c r="A2792" s="1">
        <v>41596</v>
      </c>
      <c r="B2792" s="1">
        <v>41597</v>
      </c>
      <c r="C2792" t="s">
        <v>1382</v>
      </c>
      <c r="D2792" t="s">
        <v>81</v>
      </c>
      <c r="E2792" t="s">
        <v>851</v>
      </c>
      <c r="F2792">
        <v>49.5</v>
      </c>
      <c r="G2792">
        <v>5</v>
      </c>
      <c r="H2792">
        <v>13.365</v>
      </c>
      <c r="I2792">
        <v>1</v>
      </c>
      <c r="J2792">
        <v>2013</v>
      </c>
      <c r="K2792" t="s">
        <v>2209</v>
      </c>
      <c r="L2792" t="str">
        <f>TEXT(maintable_2[[#This Row],[Order Date]],"mmmm")</f>
        <v>November</v>
      </c>
    </row>
    <row r="2793" spans="1:12" x14ac:dyDescent="0.3">
      <c r="A2793" s="1">
        <v>41631</v>
      </c>
      <c r="B2793" s="1">
        <v>41633</v>
      </c>
      <c r="C2793" t="s">
        <v>729</v>
      </c>
      <c r="D2793" t="s">
        <v>17</v>
      </c>
      <c r="E2793" t="s">
        <v>107</v>
      </c>
      <c r="F2793">
        <v>55.36</v>
      </c>
      <c r="G2793">
        <v>4</v>
      </c>
      <c r="H2793">
        <v>19.376000000000001</v>
      </c>
      <c r="I2793">
        <v>2</v>
      </c>
      <c r="J2793">
        <v>2013</v>
      </c>
      <c r="K2793" t="s">
        <v>2207</v>
      </c>
      <c r="L2793" t="str">
        <f>TEXT(maintable_2[[#This Row],[Order Date]],"mmmm")</f>
        <v>December</v>
      </c>
    </row>
    <row r="2794" spans="1:12" x14ac:dyDescent="0.3">
      <c r="A2794" s="1">
        <v>41631</v>
      </c>
      <c r="B2794" s="1">
        <v>41633</v>
      </c>
      <c r="C2794" t="s">
        <v>729</v>
      </c>
      <c r="D2794" t="s">
        <v>494</v>
      </c>
      <c r="E2794" t="s">
        <v>2099</v>
      </c>
      <c r="F2794">
        <v>11.56</v>
      </c>
      <c r="G2794">
        <v>1</v>
      </c>
      <c r="H2794">
        <v>3.7570000000000001</v>
      </c>
      <c r="I2794">
        <v>2</v>
      </c>
      <c r="J2794">
        <v>2013</v>
      </c>
      <c r="K2794" t="s">
        <v>2207</v>
      </c>
      <c r="L2794" t="str">
        <f>TEXT(maintable_2[[#This Row],[Order Date]],"mmmm")</f>
        <v>December</v>
      </c>
    </row>
    <row r="2795" spans="1:12" x14ac:dyDescent="0.3">
      <c r="A2795" s="1">
        <v>41263</v>
      </c>
      <c r="B2795" s="1">
        <v>41268</v>
      </c>
      <c r="C2795" t="s">
        <v>1580</v>
      </c>
      <c r="D2795" t="s">
        <v>44</v>
      </c>
      <c r="E2795" t="s">
        <v>105</v>
      </c>
      <c r="F2795">
        <v>17.12</v>
      </c>
      <c r="G2795">
        <v>4</v>
      </c>
      <c r="H2795">
        <v>7.7039999999999997</v>
      </c>
      <c r="I2795">
        <v>5</v>
      </c>
      <c r="J2795">
        <v>2012</v>
      </c>
      <c r="K2795" t="s">
        <v>2207</v>
      </c>
      <c r="L2795" t="str">
        <f>TEXT(maintable_2[[#This Row],[Order Date]],"mmmm")</f>
        <v>December</v>
      </c>
    </row>
    <row r="2796" spans="1:12" x14ac:dyDescent="0.3">
      <c r="A2796" s="1">
        <v>41969</v>
      </c>
      <c r="B2796" s="1">
        <v>41975</v>
      </c>
      <c r="C2796" t="s">
        <v>430</v>
      </c>
      <c r="D2796" t="s">
        <v>13</v>
      </c>
      <c r="E2796" t="s">
        <v>391</v>
      </c>
      <c r="F2796">
        <v>5.16</v>
      </c>
      <c r="G2796">
        <v>2</v>
      </c>
      <c r="H2796">
        <v>1.3415999999999999</v>
      </c>
      <c r="I2796">
        <v>6</v>
      </c>
      <c r="J2796">
        <v>2014</v>
      </c>
      <c r="K2796" t="s">
        <v>2209</v>
      </c>
      <c r="L2796" t="str">
        <f>TEXT(maintable_2[[#This Row],[Order Date]],"mmmm")</f>
        <v>November</v>
      </c>
    </row>
    <row r="2797" spans="1:12" x14ac:dyDescent="0.3">
      <c r="A2797" s="1">
        <v>41625</v>
      </c>
      <c r="B2797" s="1">
        <v>41632</v>
      </c>
      <c r="C2797" t="s">
        <v>216</v>
      </c>
      <c r="D2797" t="s">
        <v>37</v>
      </c>
      <c r="E2797" t="s">
        <v>231</v>
      </c>
      <c r="F2797">
        <v>21.21</v>
      </c>
      <c r="G2797">
        <v>7</v>
      </c>
      <c r="H2797">
        <v>4.4541000000000004</v>
      </c>
      <c r="I2797">
        <v>7</v>
      </c>
      <c r="J2797">
        <v>2013</v>
      </c>
      <c r="K2797" t="s">
        <v>2207</v>
      </c>
      <c r="L2797" t="str">
        <f>TEXT(maintable_2[[#This Row],[Order Date]],"mmmm")</f>
        <v>December</v>
      </c>
    </row>
    <row r="2798" spans="1:12" x14ac:dyDescent="0.3">
      <c r="A2798" s="1">
        <v>41452</v>
      </c>
      <c r="B2798" s="1">
        <v>41452</v>
      </c>
      <c r="C2798" t="s">
        <v>758</v>
      </c>
      <c r="D2798" t="s">
        <v>81</v>
      </c>
      <c r="E2798" t="s">
        <v>220</v>
      </c>
      <c r="F2798">
        <v>231.72</v>
      </c>
      <c r="G2798">
        <v>2</v>
      </c>
      <c r="H2798">
        <v>11.586</v>
      </c>
      <c r="I2798">
        <v>0</v>
      </c>
      <c r="J2798">
        <v>2013</v>
      </c>
      <c r="K2798" t="s">
        <v>2206</v>
      </c>
      <c r="L2798" t="str">
        <f>TEXT(maintable_2[[#This Row],[Order Date]],"mmmm")</f>
        <v>June</v>
      </c>
    </row>
    <row r="2799" spans="1:12" x14ac:dyDescent="0.3">
      <c r="A2799" s="1">
        <v>41452</v>
      </c>
      <c r="B2799" s="1">
        <v>41452</v>
      </c>
      <c r="C2799" t="s">
        <v>758</v>
      </c>
      <c r="D2799" t="s">
        <v>78</v>
      </c>
      <c r="E2799" t="s">
        <v>158</v>
      </c>
      <c r="F2799">
        <v>17.899999999999999</v>
      </c>
      <c r="G2799">
        <v>5</v>
      </c>
      <c r="H2799">
        <v>8.9499999999999993</v>
      </c>
      <c r="I2799">
        <v>0</v>
      </c>
      <c r="J2799">
        <v>2013</v>
      </c>
      <c r="K2799" t="s">
        <v>2206</v>
      </c>
      <c r="L2799" t="str">
        <f>TEXT(maintable_2[[#This Row],[Order Date]],"mmmm")</f>
        <v>June</v>
      </c>
    </row>
    <row r="2800" spans="1:12" x14ac:dyDescent="0.3">
      <c r="A2800" s="1">
        <v>41452</v>
      </c>
      <c r="B2800" s="1">
        <v>41452</v>
      </c>
      <c r="C2800" t="s">
        <v>758</v>
      </c>
      <c r="D2800" t="s">
        <v>44</v>
      </c>
      <c r="E2800" t="s">
        <v>837</v>
      </c>
      <c r="F2800">
        <v>12.48</v>
      </c>
      <c r="G2800">
        <v>2</v>
      </c>
      <c r="H2800">
        <v>5.6159999999999997</v>
      </c>
      <c r="I2800">
        <v>0</v>
      </c>
      <c r="J2800">
        <v>2013</v>
      </c>
      <c r="K2800" t="s">
        <v>2206</v>
      </c>
      <c r="L2800" t="str">
        <f>TEXT(maintable_2[[#This Row],[Order Date]],"mmmm")</f>
        <v>June</v>
      </c>
    </row>
    <row r="2801" spans="1:12" x14ac:dyDescent="0.3">
      <c r="A2801" s="1">
        <v>41572</v>
      </c>
      <c r="B2801" s="1">
        <v>41576</v>
      </c>
      <c r="C2801" t="s">
        <v>729</v>
      </c>
      <c r="D2801" t="s">
        <v>37</v>
      </c>
      <c r="E2801" t="s">
        <v>1663</v>
      </c>
      <c r="F2801">
        <v>450</v>
      </c>
      <c r="G2801">
        <v>5</v>
      </c>
      <c r="H2801">
        <v>162</v>
      </c>
      <c r="I2801">
        <v>4</v>
      </c>
      <c r="J2801">
        <v>2013</v>
      </c>
      <c r="K2801" t="s">
        <v>2209</v>
      </c>
      <c r="L2801" t="str">
        <f>TEXT(maintable_2[[#This Row],[Order Date]],"mmmm")</f>
        <v>October</v>
      </c>
    </row>
    <row r="2802" spans="1:12" x14ac:dyDescent="0.3">
      <c r="A2802" s="1">
        <v>41898</v>
      </c>
      <c r="B2802" s="1">
        <v>41900</v>
      </c>
      <c r="C2802" t="s">
        <v>660</v>
      </c>
      <c r="D2802" t="s">
        <v>21</v>
      </c>
      <c r="E2802" t="s">
        <v>529</v>
      </c>
      <c r="F2802">
        <v>300.904</v>
      </c>
      <c r="G2802">
        <v>1</v>
      </c>
      <c r="H2802">
        <v>11.283899999999999</v>
      </c>
      <c r="I2802">
        <v>2</v>
      </c>
      <c r="J2802">
        <v>2014</v>
      </c>
      <c r="K2802" t="s">
        <v>2209</v>
      </c>
      <c r="L2802" t="str">
        <f>TEXT(maintable_2[[#This Row],[Order Date]],"mmmm")</f>
        <v>September</v>
      </c>
    </row>
    <row r="2803" spans="1:12" x14ac:dyDescent="0.3">
      <c r="A2803" s="1">
        <v>40817</v>
      </c>
      <c r="B2803" s="1">
        <v>40821</v>
      </c>
      <c r="C2803" t="s">
        <v>2100</v>
      </c>
      <c r="D2803" t="s">
        <v>78</v>
      </c>
      <c r="E2803" t="s">
        <v>2101</v>
      </c>
      <c r="F2803">
        <v>4.71</v>
      </c>
      <c r="G2803">
        <v>1</v>
      </c>
      <c r="H2803">
        <v>0</v>
      </c>
      <c r="I2803">
        <v>4</v>
      </c>
      <c r="J2803">
        <v>2011</v>
      </c>
      <c r="K2803" t="s">
        <v>2209</v>
      </c>
      <c r="L2803" t="str">
        <f>TEXT(maintable_2[[#This Row],[Order Date]],"mmmm")</f>
        <v>October</v>
      </c>
    </row>
    <row r="2804" spans="1:12" x14ac:dyDescent="0.3">
      <c r="A2804" s="1">
        <v>40863</v>
      </c>
      <c r="B2804" s="1">
        <v>40865</v>
      </c>
      <c r="C2804" t="s">
        <v>1730</v>
      </c>
      <c r="D2804" t="s">
        <v>15</v>
      </c>
      <c r="E2804" t="s">
        <v>1872</v>
      </c>
      <c r="F2804">
        <v>79.968000000000004</v>
      </c>
      <c r="G2804">
        <v>4</v>
      </c>
      <c r="H2804">
        <v>-17.992799999999999</v>
      </c>
      <c r="I2804">
        <v>2</v>
      </c>
      <c r="J2804">
        <v>2011</v>
      </c>
      <c r="K2804" t="s">
        <v>2209</v>
      </c>
      <c r="L2804" t="str">
        <f>TEXT(maintable_2[[#This Row],[Order Date]],"mmmm")</f>
        <v>November</v>
      </c>
    </row>
    <row r="2805" spans="1:12" x14ac:dyDescent="0.3">
      <c r="A2805" s="1">
        <v>40863</v>
      </c>
      <c r="B2805" s="1">
        <v>40865</v>
      </c>
      <c r="C2805" t="s">
        <v>1730</v>
      </c>
      <c r="D2805" t="s">
        <v>196</v>
      </c>
      <c r="E2805" t="s">
        <v>649</v>
      </c>
      <c r="F2805">
        <v>305.97449999999998</v>
      </c>
      <c r="G2805">
        <v>3</v>
      </c>
      <c r="H2805">
        <v>25.197900000000001</v>
      </c>
      <c r="I2805">
        <v>2</v>
      </c>
      <c r="J2805">
        <v>2011</v>
      </c>
      <c r="K2805" t="s">
        <v>2209</v>
      </c>
      <c r="L2805" t="str">
        <f>TEXT(maintable_2[[#This Row],[Order Date]],"mmmm")</f>
        <v>November</v>
      </c>
    </row>
    <row r="2806" spans="1:12" x14ac:dyDescent="0.3">
      <c r="A2806" s="1">
        <v>40863</v>
      </c>
      <c r="B2806" s="1">
        <v>40865</v>
      </c>
      <c r="C2806" t="s">
        <v>1730</v>
      </c>
      <c r="D2806" t="s">
        <v>27</v>
      </c>
      <c r="E2806" t="s">
        <v>1539</v>
      </c>
      <c r="F2806">
        <v>344.91</v>
      </c>
      <c r="G2806">
        <v>3</v>
      </c>
      <c r="H2806">
        <v>10.347300000000001</v>
      </c>
      <c r="I2806">
        <v>2</v>
      </c>
      <c r="J2806">
        <v>2011</v>
      </c>
      <c r="K2806" t="s">
        <v>2209</v>
      </c>
      <c r="L2806" t="str">
        <f>TEXT(maintable_2[[#This Row],[Order Date]],"mmmm")</f>
        <v>November</v>
      </c>
    </row>
    <row r="2807" spans="1:12" x14ac:dyDescent="0.3">
      <c r="A2807" s="1">
        <v>40605</v>
      </c>
      <c r="B2807" s="1">
        <v>40609</v>
      </c>
      <c r="C2807" t="s">
        <v>1622</v>
      </c>
      <c r="D2807" t="s">
        <v>21</v>
      </c>
      <c r="E2807" t="s">
        <v>1500</v>
      </c>
      <c r="F2807">
        <v>626.35199999999998</v>
      </c>
      <c r="G2807">
        <v>3</v>
      </c>
      <c r="H2807">
        <v>-23.488199999999999</v>
      </c>
      <c r="I2807">
        <v>4</v>
      </c>
      <c r="J2807">
        <v>2011</v>
      </c>
      <c r="K2807" t="s">
        <v>2208</v>
      </c>
      <c r="L2807" t="str">
        <f>TEXT(maintable_2[[#This Row],[Order Date]],"mmmm")</f>
        <v>March</v>
      </c>
    </row>
    <row r="2808" spans="1:12" x14ac:dyDescent="0.3">
      <c r="A2808" s="1">
        <v>41246</v>
      </c>
      <c r="B2808" s="1">
        <v>41250</v>
      </c>
      <c r="C2808" t="s">
        <v>971</v>
      </c>
      <c r="D2808" t="s">
        <v>196</v>
      </c>
      <c r="E2808" t="s">
        <v>1074</v>
      </c>
      <c r="F2808">
        <v>359.49900000000002</v>
      </c>
      <c r="G2808">
        <v>3</v>
      </c>
      <c r="H2808">
        <v>-29.605799999999999</v>
      </c>
      <c r="I2808">
        <v>4</v>
      </c>
      <c r="J2808">
        <v>2012</v>
      </c>
      <c r="K2808" t="s">
        <v>2207</v>
      </c>
      <c r="L2808" t="str">
        <f>TEXT(maintable_2[[#This Row],[Order Date]],"mmmm")</f>
        <v>December</v>
      </c>
    </row>
    <row r="2809" spans="1:12" x14ac:dyDescent="0.3">
      <c r="A2809" s="1">
        <v>41832</v>
      </c>
      <c r="B2809" s="1">
        <v>41837</v>
      </c>
      <c r="C2809" t="s">
        <v>1473</v>
      </c>
      <c r="D2809" t="s">
        <v>15</v>
      </c>
      <c r="E2809" t="s">
        <v>2102</v>
      </c>
      <c r="F2809">
        <v>71.951999999999998</v>
      </c>
      <c r="G2809">
        <v>6</v>
      </c>
      <c r="H2809">
        <v>5.3963999999999999</v>
      </c>
      <c r="I2809">
        <v>5</v>
      </c>
      <c r="J2809">
        <v>2014</v>
      </c>
      <c r="K2809" t="s">
        <v>2206</v>
      </c>
      <c r="L2809" t="str">
        <f>TEXT(maintable_2[[#This Row],[Order Date]],"mmmm")</f>
        <v>July</v>
      </c>
    </row>
    <row r="2810" spans="1:12" x14ac:dyDescent="0.3">
      <c r="A2810" s="1">
        <v>41832</v>
      </c>
      <c r="B2810" s="1">
        <v>41837</v>
      </c>
      <c r="C2810" t="s">
        <v>1473</v>
      </c>
      <c r="D2810" t="s">
        <v>17</v>
      </c>
      <c r="E2810" t="s">
        <v>599</v>
      </c>
      <c r="F2810">
        <v>29.8</v>
      </c>
      <c r="G2810">
        <v>5</v>
      </c>
      <c r="H2810">
        <v>9.3125</v>
      </c>
      <c r="I2810">
        <v>5</v>
      </c>
      <c r="J2810">
        <v>2014</v>
      </c>
      <c r="K2810" t="s">
        <v>2206</v>
      </c>
      <c r="L2810" t="str">
        <f>TEXT(maintable_2[[#This Row],[Order Date]],"mmmm")</f>
        <v>July</v>
      </c>
    </row>
    <row r="2811" spans="1:12" x14ac:dyDescent="0.3">
      <c r="A2811" s="1">
        <v>41717</v>
      </c>
      <c r="B2811" s="1">
        <v>41722</v>
      </c>
      <c r="C2811" t="s">
        <v>1090</v>
      </c>
      <c r="D2811" t="s">
        <v>13</v>
      </c>
      <c r="E2811" t="s">
        <v>394</v>
      </c>
      <c r="F2811">
        <v>46.2</v>
      </c>
      <c r="G2811">
        <v>4</v>
      </c>
      <c r="H2811">
        <v>21.251999999999999</v>
      </c>
      <c r="I2811">
        <v>5</v>
      </c>
      <c r="J2811">
        <v>2014</v>
      </c>
      <c r="K2811" t="s">
        <v>2208</v>
      </c>
      <c r="L2811" t="str">
        <f>TEXT(maintable_2[[#This Row],[Order Date]],"mmmm")</f>
        <v>March</v>
      </c>
    </row>
    <row r="2812" spans="1:12" x14ac:dyDescent="0.3">
      <c r="A2812" s="1">
        <v>41818</v>
      </c>
      <c r="B2812" s="1">
        <v>41820</v>
      </c>
      <c r="C2812" t="s">
        <v>2027</v>
      </c>
      <c r="D2812" t="s">
        <v>44</v>
      </c>
      <c r="E2812" t="s">
        <v>1909</v>
      </c>
      <c r="F2812">
        <v>19.440000000000001</v>
      </c>
      <c r="G2812">
        <v>3</v>
      </c>
      <c r="H2812">
        <v>9.3312000000000008</v>
      </c>
      <c r="I2812">
        <v>2</v>
      </c>
      <c r="J2812">
        <v>2014</v>
      </c>
      <c r="K2812" t="s">
        <v>2206</v>
      </c>
      <c r="L2812" t="str">
        <f>TEXT(maintable_2[[#This Row],[Order Date]],"mmmm")</f>
        <v>June</v>
      </c>
    </row>
    <row r="2813" spans="1:12" x14ac:dyDescent="0.3">
      <c r="A2813" s="1">
        <v>41818</v>
      </c>
      <c r="B2813" s="1">
        <v>41820</v>
      </c>
      <c r="C2813" t="s">
        <v>2027</v>
      </c>
      <c r="D2813" t="s">
        <v>11</v>
      </c>
      <c r="E2813" t="s">
        <v>2103</v>
      </c>
      <c r="F2813">
        <v>126.3</v>
      </c>
      <c r="G2813">
        <v>3</v>
      </c>
      <c r="H2813">
        <v>40.415999999999997</v>
      </c>
      <c r="I2813">
        <v>2</v>
      </c>
      <c r="J2813">
        <v>2014</v>
      </c>
      <c r="K2813" t="s">
        <v>2206</v>
      </c>
      <c r="L2813" t="str">
        <f>TEXT(maintable_2[[#This Row],[Order Date]],"mmmm")</f>
        <v>June</v>
      </c>
    </row>
    <row r="2814" spans="1:12" x14ac:dyDescent="0.3">
      <c r="A2814" s="1">
        <v>41818</v>
      </c>
      <c r="B2814" s="1">
        <v>41820</v>
      </c>
      <c r="C2814" t="s">
        <v>2027</v>
      </c>
      <c r="D2814" t="s">
        <v>37</v>
      </c>
      <c r="E2814" t="s">
        <v>130</v>
      </c>
      <c r="F2814">
        <v>1287.45</v>
      </c>
      <c r="G2814">
        <v>5</v>
      </c>
      <c r="H2814">
        <v>244.6155</v>
      </c>
      <c r="I2814">
        <v>2</v>
      </c>
      <c r="J2814">
        <v>2014</v>
      </c>
      <c r="K2814" t="s">
        <v>2206</v>
      </c>
      <c r="L2814" t="str">
        <f>TEXT(maintable_2[[#This Row],[Order Date]],"mmmm")</f>
        <v>June</v>
      </c>
    </row>
    <row r="2815" spans="1:12" x14ac:dyDescent="0.3">
      <c r="A2815" s="1">
        <v>41184</v>
      </c>
      <c r="B2815" s="1">
        <v>41186</v>
      </c>
      <c r="C2815" t="s">
        <v>1681</v>
      </c>
      <c r="D2815" t="s">
        <v>11</v>
      </c>
      <c r="E2815" t="s">
        <v>1069</v>
      </c>
      <c r="F2815">
        <v>11.032</v>
      </c>
      <c r="G2815">
        <v>1</v>
      </c>
      <c r="H2815">
        <v>3.0337999999999998</v>
      </c>
      <c r="I2815">
        <v>2</v>
      </c>
      <c r="J2815">
        <v>2012</v>
      </c>
      <c r="K2815" t="s">
        <v>2209</v>
      </c>
      <c r="L2815" t="str">
        <f>TEXT(maintable_2[[#This Row],[Order Date]],"mmmm")</f>
        <v>October</v>
      </c>
    </row>
    <row r="2816" spans="1:12" x14ac:dyDescent="0.3">
      <c r="A2816" s="1">
        <v>41184</v>
      </c>
      <c r="B2816" s="1">
        <v>41186</v>
      </c>
      <c r="C2816" t="s">
        <v>1681</v>
      </c>
      <c r="D2816" t="s">
        <v>37</v>
      </c>
      <c r="E2816" t="s">
        <v>113</v>
      </c>
      <c r="F2816">
        <v>53.04</v>
      </c>
      <c r="G2816">
        <v>3</v>
      </c>
      <c r="H2816">
        <v>-4.641</v>
      </c>
      <c r="I2816">
        <v>2</v>
      </c>
      <c r="J2816">
        <v>2012</v>
      </c>
      <c r="K2816" t="s">
        <v>2209</v>
      </c>
      <c r="L2816" t="str">
        <f>TEXT(maintable_2[[#This Row],[Order Date]],"mmmm")</f>
        <v>October</v>
      </c>
    </row>
    <row r="2817" spans="1:12" x14ac:dyDescent="0.3">
      <c r="A2817" s="1">
        <v>41673</v>
      </c>
      <c r="B2817" s="1">
        <v>41678</v>
      </c>
      <c r="C2817" t="s">
        <v>1006</v>
      </c>
      <c r="D2817" t="s">
        <v>11</v>
      </c>
      <c r="E2817" t="s">
        <v>2104</v>
      </c>
      <c r="F2817">
        <v>210.58</v>
      </c>
      <c r="G2817">
        <v>2</v>
      </c>
      <c r="H2817">
        <v>12.6348</v>
      </c>
      <c r="I2817">
        <v>5</v>
      </c>
      <c r="J2817">
        <v>2014</v>
      </c>
      <c r="K2817" t="s">
        <v>2210</v>
      </c>
      <c r="L2817" t="str">
        <f>TEXT(maintable_2[[#This Row],[Order Date]],"mmmm")</f>
        <v>February</v>
      </c>
    </row>
    <row r="2818" spans="1:12" x14ac:dyDescent="0.3">
      <c r="A2818" s="1">
        <v>41673</v>
      </c>
      <c r="B2818" s="1">
        <v>41678</v>
      </c>
      <c r="C2818" t="s">
        <v>1006</v>
      </c>
      <c r="D2818" t="s">
        <v>17</v>
      </c>
      <c r="E2818" t="s">
        <v>1346</v>
      </c>
      <c r="F2818">
        <v>30.96</v>
      </c>
      <c r="G2818">
        <v>2</v>
      </c>
      <c r="H2818">
        <v>10.061999999999999</v>
      </c>
      <c r="I2818">
        <v>5</v>
      </c>
      <c r="J2818">
        <v>2014</v>
      </c>
      <c r="K2818" t="s">
        <v>2210</v>
      </c>
      <c r="L2818" t="str">
        <f>TEXT(maintable_2[[#This Row],[Order Date]],"mmmm")</f>
        <v>February</v>
      </c>
    </row>
    <row r="2819" spans="1:12" x14ac:dyDescent="0.3">
      <c r="A2819" s="1">
        <v>41673</v>
      </c>
      <c r="B2819" s="1">
        <v>41678</v>
      </c>
      <c r="C2819" t="s">
        <v>1006</v>
      </c>
      <c r="D2819" t="s">
        <v>494</v>
      </c>
      <c r="E2819" t="s">
        <v>2105</v>
      </c>
      <c r="F2819">
        <v>239.98400000000001</v>
      </c>
      <c r="G2819">
        <v>2</v>
      </c>
      <c r="H2819">
        <v>38.997399999999999</v>
      </c>
      <c r="I2819">
        <v>5</v>
      </c>
      <c r="J2819">
        <v>2014</v>
      </c>
      <c r="K2819" t="s">
        <v>2210</v>
      </c>
      <c r="L2819" t="str">
        <f>TEXT(maintable_2[[#This Row],[Order Date]],"mmmm")</f>
        <v>February</v>
      </c>
    </row>
    <row r="2820" spans="1:12" x14ac:dyDescent="0.3">
      <c r="A2820" s="1">
        <v>41638</v>
      </c>
      <c r="B2820" s="1">
        <v>41642</v>
      </c>
      <c r="C2820" t="s">
        <v>2106</v>
      </c>
      <c r="D2820" t="s">
        <v>27</v>
      </c>
      <c r="E2820" t="s">
        <v>447</v>
      </c>
      <c r="F2820">
        <v>14.03</v>
      </c>
      <c r="G2820">
        <v>1</v>
      </c>
      <c r="H2820">
        <v>4.0686999999999998</v>
      </c>
      <c r="I2820">
        <v>4</v>
      </c>
      <c r="J2820">
        <v>2013</v>
      </c>
      <c r="K2820" t="s">
        <v>2207</v>
      </c>
      <c r="L2820" t="str">
        <f>TEXT(maintable_2[[#This Row],[Order Date]],"mmmm")</f>
        <v>December</v>
      </c>
    </row>
    <row r="2821" spans="1:12" x14ac:dyDescent="0.3">
      <c r="A2821" s="1">
        <v>41638</v>
      </c>
      <c r="B2821" s="1">
        <v>41642</v>
      </c>
      <c r="C2821" t="s">
        <v>2106</v>
      </c>
      <c r="D2821" t="s">
        <v>81</v>
      </c>
      <c r="E2821" t="s">
        <v>1548</v>
      </c>
      <c r="F2821">
        <v>27.96</v>
      </c>
      <c r="G2821">
        <v>2</v>
      </c>
      <c r="H2821">
        <v>7.2695999999999996</v>
      </c>
      <c r="I2821">
        <v>4</v>
      </c>
      <c r="J2821">
        <v>2013</v>
      </c>
      <c r="K2821" t="s">
        <v>2207</v>
      </c>
      <c r="L2821" t="str">
        <f>TEXT(maintable_2[[#This Row],[Order Date]],"mmmm")</f>
        <v>December</v>
      </c>
    </row>
    <row r="2822" spans="1:12" x14ac:dyDescent="0.3">
      <c r="A2822" s="1">
        <v>41530</v>
      </c>
      <c r="B2822" s="1">
        <v>41531</v>
      </c>
      <c r="C2822" t="s">
        <v>1119</v>
      </c>
      <c r="D2822" t="s">
        <v>15</v>
      </c>
      <c r="E2822" t="s">
        <v>2107</v>
      </c>
      <c r="F2822">
        <v>146.952</v>
      </c>
      <c r="G2822">
        <v>3</v>
      </c>
      <c r="H2822">
        <v>9.1844999999999999</v>
      </c>
      <c r="I2822">
        <v>1</v>
      </c>
      <c r="J2822">
        <v>2013</v>
      </c>
      <c r="K2822" t="s">
        <v>2209</v>
      </c>
      <c r="L2822" t="str">
        <f>TEXT(maintable_2[[#This Row],[Order Date]],"mmmm")</f>
        <v>September</v>
      </c>
    </row>
    <row r="2823" spans="1:12" x14ac:dyDescent="0.3">
      <c r="A2823" s="1">
        <v>41530</v>
      </c>
      <c r="B2823" s="1">
        <v>41531</v>
      </c>
      <c r="C2823" t="s">
        <v>1119</v>
      </c>
      <c r="D2823" t="s">
        <v>71</v>
      </c>
      <c r="E2823" t="s">
        <v>1007</v>
      </c>
      <c r="F2823">
        <v>83.135999999999996</v>
      </c>
      <c r="G2823">
        <v>4</v>
      </c>
      <c r="H2823">
        <v>5.1959999999999997</v>
      </c>
      <c r="I2823">
        <v>1</v>
      </c>
      <c r="J2823">
        <v>2013</v>
      </c>
      <c r="K2823" t="s">
        <v>2209</v>
      </c>
      <c r="L2823" t="str">
        <f>TEXT(maintable_2[[#This Row],[Order Date]],"mmmm")</f>
        <v>September</v>
      </c>
    </row>
    <row r="2824" spans="1:12" x14ac:dyDescent="0.3">
      <c r="A2824" s="1">
        <v>40988</v>
      </c>
      <c r="B2824" s="1">
        <v>40990</v>
      </c>
      <c r="C2824" t="s">
        <v>1921</v>
      </c>
      <c r="D2824" t="s">
        <v>27</v>
      </c>
      <c r="E2824" t="s">
        <v>1763</v>
      </c>
      <c r="F2824">
        <v>29.303999999999998</v>
      </c>
      <c r="G2824">
        <v>3</v>
      </c>
      <c r="H2824">
        <v>2.5640999999999998</v>
      </c>
      <c r="I2824">
        <v>2</v>
      </c>
      <c r="J2824">
        <v>2012</v>
      </c>
      <c r="K2824" t="s">
        <v>2208</v>
      </c>
      <c r="L2824" t="str">
        <f>TEXT(maintable_2[[#This Row],[Order Date]],"mmmm")</f>
        <v>March</v>
      </c>
    </row>
    <row r="2825" spans="1:12" x14ac:dyDescent="0.3">
      <c r="A2825" s="1">
        <v>41533</v>
      </c>
      <c r="B2825" s="1">
        <v>41538</v>
      </c>
      <c r="C2825" t="s">
        <v>1730</v>
      </c>
      <c r="D2825" t="s">
        <v>17</v>
      </c>
      <c r="E2825" t="s">
        <v>2048</v>
      </c>
      <c r="F2825">
        <v>20.416</v>
      </c>
      <c r="G2825">
        <v>4</v>
      </c>
      <c r="H2825">
        <v>6.6352000000000002</v>
      </c>
      <c r="I2825">
        <v>5</v>
      </c>
      <c r="J2825">
        <v>2013</v>
      </c>
      <c r="K2825" t="s">
        <v>2209</v>
      </c>
      <c r="L2825" t="str">
        <f>TEXT(maintable_2[[#This Row],[Order Date]],"mmmm")</f>
        <v>September</v>
      </c>
    </row>
    <row r="2826" spans="1:12" x14ac:dyDescent="0.3">
      <c r="A2826" s="1">
        <v>41533</v>
      </c>
      <c r="B2826" s="1">
        <v>41538</v>
      </c>
      <c r="C2826" t="s">
        <v>1730</v>
      </c>
      <c r="D2826" t="s">
        <v>21</v>
      </c>
      <c r="E2826" t="s">
        <v>529</v>
      </c>
      <c r="F2826">
        <v>1128.3900000000001</v>
      </c>
      <c r="G2826">
        <v>3</v>
      </c>
      <c r="H2826">
        <v>259.52969999999999</v>
      </c>
      <c r="I2826">
        <v>5</v>
      </c>
      <c r="J2826">
        <v>2013</v>
      </c>
      <c r="K2826" t="s">
        <v>2209</v>
      </c>
      <c r="L2826" t="str">
        <f>TEXT(maintable_2[[#This Row],[Order Date]],"mmmm")</f>
        <v>September</v>
      </c>
    </row>
    <row r="2827" spans="1:12" x14ac:dyDescent="0.3">
      <c r="A2827" s="1">
        <v>41788</v>
      </c>
      <c r="B2827" s="1">
        <v>41793</v>
      </c>
      <c r="C2827" t="s">
        <v>1617</v>
      </c>
      <c r="D2827" t="s">
        <v>15</v>
      </c>
      <c r="E2827" t="s">
        <v>2108</v>
      </c>
      <c r="F2827">
        <v>195.96</v>
      </c>
      <c r="G2827">
        <v>5</v>
      </c>
      <c r="H2827">
        <v>19.596</v>
      </c>
      <c r="I2827">
        <v>5</v>
      </c>
      <c r="J2827">
        <v>2014</v>
      </c>
      <c r="K2827" t="s">
        <v>2208</v>
      </c>
      <c r="L2827" t="str">
        <f>TEXT(maintable_2[[#This Row],[Order Date]],"mmmm")</f>
        <v>May</v>
      </c>
    </row>
    <row r="2828" spans="1:12" x14ac:dyDescent="0.3">
      <c r="A2828" s="1">
        <v>41788</v>
      </c>
      <c r="B2828" s="1">
        <v>41793</v>
      </c>
      <c r="C2828" t="s">
        <v>1617</v>
      </c>
      <c r="D2828" t="s">
        <v>44</v>
      </c>
      <c r="E2828" t="s">
        <v>1154</v>
      </c>
      <c r="F2828">
        <v>15.552</v>
      </c>
      <c r="G2828">
        <v>3</v>
      </c>
      <c r="H2828">
        <v>5.4432</v>
      </c>
      <c r="I2828">
        <v>5</v>
      </c>
      <c r="J2828">
        <v>2014</v>
      </c>
      <c r="K2828" t="s">
        <v>2208</v>
      </c>
      <c r="L2828" t="str">
        <f>TEXT(maintable_2[[#This Row],[Order Date]],"mmmm")</f>
        <v>May</v>
      </c>
    </row>
    <row r="2829" spans="1:12" x14ac:dyDescent="0.3">
      <c r="A2829" s="1">
        <v>41788</v>
      </c>
      <c r="B2829" s="1">
        <v>41793</v>
      </c>
      <c r="C2829" t="s">
        <v>1617</v>
      </c>
      <c r="D2829" t="s">
        <v>37</v>
      </c>
      <c r="E2829" t="s">
        <v>1906</v>
      </c>
      <c r="F2829">
        <v>271.96800000000002</v>
      </c>
      <c r="G2829">
        <v>4</v>
      </c>
      <c r="H2829">
        <v>54.393599999999999</v>
      </c>
      <c r="I2829">
        <v>5</v>
      </c>
      <c r="J2829">
        <v>2014</v>
      </c>
      <c r="K2829" t="s">
        <v>2208</v>
      </c>
      <c r="L2829" t="str">
        <f>TEXT(maintable_2[[#This Row],[Order Date]],"mmmm")</f>
        <v>May</v>
      </c>
    </row>
    <row r="2830" spans="1:12" x14ac:dyDescent="0.3">
      <c r="A2830" s="1">
        <v>40896</v>
      </c>
      <c r="B2830" s="1">
        <v>40898</v>
      </c>
      <c r="C2830" t="s">
        <v>1427</v>
      </c>
      <c r="D2830" t="s">
        <v>8</v>
      </c>
      <c r="E2830" t="s">
        <v>1868</v>
      </c>
      <c r="F2830">
        <v>14.62</v>
      </c>
      <c r="G2830">
        <v>2</v>
      </c>
      <c r="H2830">
        <v>6.8714000000000004</v>
      </c>
      <c r="I2830">
        <v>2</v>
      </c>
      <c r="J2830">
        <v>2011</v>
      </c>
      <c r="K2830" t="s">
        <v>2207</v>
      </c>
      <c r="L2830" t="str">
        <f>TEXT(maintable_2[[#This Row],[Order Date]],"mmmm")</f>
        <v>December</v>
      </c>
    </row>
    <row r="2831" spans="1:12" x14ac:dyDescent="0.3">
      <c r="A2831" s="1">
        <v>40896</v>
      </c>
      <c r="B2831" s="1">
        <v>40898</v>
      </c>
      <c r="C2831" t="s">
        <v>1427</v>
      </c>
      <c r="D2831" t="s">
        <v>78</v>
      </c>
      <c r="E2831" t="s">
        <v>899</v>
      </c>
      <c r="F2831">
        <v>22.55</v>
      </c>
      <c r="G2831">
        <v>5</v>
      </c>
      <c r="H2831">
        <v>8.7944999999999993</v>
      </c>
      <c r="I2831">
        <v>2</v>
      </c>
      <c r="J2831">
        <v>2011</v>
      </c>
      <c r="K2831" t="s">
        <v>2207</v>
      </c>
      <c r="L2831" t="str">
        <f>TEXT(maintable_2[[#This Row],[Order Date]],"mmmm")</f>
        <v>December</v>
      </c>
    </row>
    <row r="2832" spans="1:12" x14ac:dyDescent="0.3">
      <c r="A2832" s="1">
        <v>40896</v>
      </c>
      <c r="B2832" s="1">
        <v>40898</v>
      </c>
      <c r="C2832" t="s">
        <v>1427</v>
      </c>
      <c r="D2832" t="s">
        <v>15</v>
      </c>
      <c r="E2832" t="s">
        <v>2109</v>
      </c>
      <c r="F2832">
        <v>583.79999999999995</v>
      </c>
      <c r="G2832">
        <v>5</v>
      </c>
      <c r="H2832">
        <v>72.974999999999994</v>
      </c>
      <c r="I2832">
        <v>2</v>
      </c>
      <c r="J2832">
        <v>2011</v>
      </c>
      <c r="K2832" t="s">
        <v>2207</v>
      </c>
      <c r="L2832" t="str">
        <f>TEXT(maintable_2[[#This Row],[Order Date]],"mmmm")</f>
        <v>December</v>
      </c>
    </row>
    <row r="2833" spans="1:12" x14ac:dyDescent="0.3">
      <c r="A2833" s="1">
        <v>40896</v>
      </c>
      <c r="B2833" s="1">
        <v>40898</v>
      </c>
      <c r="C2833" t="s">
        <v>1427</v>
      </c>
      <c r="D2833" t="s">
        <v>15</v>
      </c>
      <c r="E2833" t="s">
        <v>1194</v>
      </c>
      <c r="F2833">
        <v>211.16800000000001</v>
      </c>
      <c r="G2833">
        <v>4</v>
      </c>
      <c r="H2833">
        <v>15.8376</v>
      </c>
      <c r="I2833">
        <v>2</v>
      </c>
      <c r="J2833">
        <v>2011</v>
      </c>
      <c r="K2833" t="s">
        <v>2207</v>
      </c>
      <c r="L2833" t="str">
        <f>TEXT(maintable_2[[#This Row],[Order Date]],"mmmm")</f>
        <v>December</v>
      </c>
    </row>
    <row r="2834" spans="1:12" x14ac:dyDescent="0.3">
      <c r="A2834" s="1">
        <v>41463</v>
      </c>
      <c r="B2834" s="1">
        <v>41469</v>
      </c>
      <c r="C2834" t="s">
        <v>106</v>
      </c>
      <c r="D2834" t="s">
        <v>44</v>
      </c>
      <c r="E2834" t="s">
        <v>273</v>
      </c>
      <c r="F2834">
        <v>12.96</v>
      </c>
      <c r="G2834">
        <v>2</v>
      </c>
      <c r="H2834">
        <v>6.2207999999999997</v>
      </c>
      <c r="I2834">
        <v>6</v>
      </c>
      <c r="J2834">
        <v>2013</v>
      </c>
      <c r="K2834" t="s">
        <v>2206</v>
      </c>
      <c r="L2834" t="str">
        <f>TEXT(maintable_2[[#This Row],[Order Date]],"mmmm")</f>
        <v>July</v>
      </c>
    </row>
    <row r="2835" spans="1:12" x14ac:dyDescent="0.3">
      <c r="A2835" s="1">
        <v>41463</v>
      </c>
      <c r="B2835" s="1">
        <v>41469</v>
      </c>
      <c r="C2835" t="s">
        <v>106</v>
      </c>
      <c r="D2835" t="s">
        <v>13</v>
      </c>
      <c r="E2835" t="s">
        <v>1640</v>
      </c>
      <c r="F2835">
        <v>45.98</v>
      </c>
      <c r="G2835">
        <v>2</v>
      </c>
      <c r="H2835">
        <v>12.8744</v>
      </c>
      <c r="I2835">
        <v>6</v>
      </c>
      <c r="J2835">
        <v>2013</v>
      </c>
      <c r="K2835" t="s">
        <v>2206</v>
      </c>
      <c r="L2835" t="str">
        <f>TEXT(maintable_2[[#This Row],[Order Date]],"mmmm")</f>
        <v>July</v>
      </c>
    </row>
    <row r="2836" spans="1:12" x14ac:dyDescent="0.3">
      <c r="A2836" s="1">
        <v>41871</v>
      </c>
      <c r="B2836" s="1">
        <v>41875</v>
      </c>
      <c r="C2836" t="s">
        <v>1291</v>
      </c>
      <c r="D2836" t="s">
        <v>17</v>
      </c>
      <c r="E2836" t="s">
        <v>1882</v>
      </c>
      <c r="F2836">
        <v>102.72</v>
      </c>
      <c r="G2836">
        <v>3</v>
      </c>
      <c r="H2836">
        <v>37.235999999999997</v>
      </c>
      <c r="I2836">
        <v>4</v>
      </c>
      <c r="J2836">
        <v>2014</v>
      </c>
      <c r="K2836" t="s">
        <v>2206</v>
      </c>
      <c r="L2836" t="str">
        <f>TEXT(maintable_2[[#This Row],[Order Date]],"mmmm")</f>
        <v>August</v>
      </c>
    </row>
    <row r="2837" spans="1:12" x14ac:dyDescent="0.3">
      <c r="A2837" s="1">
        <v>41790</v>
      </c>
      <c r="B2837" s="1">
        <v>41795</v>
      </c>
      <c r="C2837" t="s">
        <v>2078</v>
      </c>
      <c r="D2837" t="s">
        <v>44</v>
      </c>
      <c r="E2837" t="s">
        <v>1903</v>
      </c>
      <c r="F2837">
        <v>37.520000000000003</v>
      </c>
      <c r="G2837">
        <v>4</v>
      </c>
      <c r="H2837">
        <v>18.009599999999999</v>
      </c>
      <c r="I2837">
        <v>5</v>
      </c>
      <c r="J2837">
        <v>2014</v>
      </c>
      <c r="K2837" t="s">
        <v>2208</v>
      </c>
      <c r="L2837" t="str">
        <f>TEXT(maintable_2[[#This Row],[Order Date]],"mmmm")</f>
        <v>May</v>
      </c>
    </row>
    <row r="2838" spans="1:12" x14ac:dyDescent="0.3">
      <c r="A2838" s="1">
        <v>41116</v>
      </c>
      <c r="B2838" s="1">
        <v>41121</v>
      </c>
      <c r="C2838" t="s">
        <v>399</v>
      </c>
      <c r="D2838" t="s">
        <v>71</v>
      </c>
      <c r="E2838" t="s">
        <v>1811</v>
      </c>
      <c r="F2838">
        <v>266.35199999999998</v>
      </c>
      <c r="G2838">
        <v>3</v>
      </c>
      <c r="H2838">
        <v>13.317600000000001</v>
      </c>
      <c r="I2838">
        <v>5</v>
      </c>
      <c r="J2838">
        <v>2012</v>
      </c>
      <c r="K2838" t="s">
        <v>2206</v>
      </c>
      <c r="L2838" t="str">
        <f>TEXT(maintable_2[[#This Row],[Order Date]],"mmmm")</f>
        <v>July</v>
      </c>
    </row>
    <row r="2839" spans="1:12" x14ac:dyDescent="0.3">
      <c r="A2839" s="1">
        <v>41508</v>
      </c>
      <c r="B2839" s="1">
        <v>41511</v>
      </c>
      <c r="C2839" t="s">
        <v>407</v>
      </c>
      <c r="D2839" t="s">
        <v>17</v>
      </c>
      <c r="E2839" t="s">
        <v>467</v>
      </c>
      <c r="F2839">
        <v>33.44</v>
      </c>
      <c r="G2839">
        <v>10</v>
      </c>
      <c r="H2839">
        <v>11.704000000000001</v>
      </c>
      <c r="I2839">
        <v>3</v>
      </c>
      <c r="J2839">
        <v>2013</v>
      </c>
      <c r="K2839" t="s">
        <v>2206</v>
      </c>
      <c r="L2839" t="str">
        <f>TEXT(maintable_2[[#This Row],[Order Date]],"mmmm")</f>
        <v>August</v>
      </c>
    </row>
    <row r="2840" spans="1:12" x14ac:dyDescent="0.3">
      <c r="A2840" s="1">
        <v>40639</v>
      </c>
      <c r="B2840" s="1">
        <v>40643</v>
      </c>
      <c r="C2840" t="s">
        <v>754</v>
      </c>
      <c r="D2840" t="s">
        <v>13</v>
      </c>
      <c r="E2840" t="s">
        <v>1276</v>
      </c>
      <c r="F2840">
        <v>70.95</v>
      </c>
      <c r="G2840">
        <v>3</v>
      </c>
      <c r="H2840">
        <v>18.446999999999999</v>
      </c>
      <c r="I2840">
        <v>4</v>
      </c>
      <c r="J2840">
        <v>2011</v>
      </c>
      <c r="K2840" t="s">
        <v>2208</v>
      </c>
      <c r="L2840" t="str">
        <f>TEXT(maintable_2[[#This Row],[Order Date]],"mmmm")</f>
        <v>April</v>
      </c>
    </row>
    <row r="2841" spans="1:12" x14ac:dyDescent="0.3">
      <c r="A2841" s="1">
        <v>40639</v>
      </c>
      <c r="B2841" s="1">
        <v>40643</v>
      </c>
      <c r="C2841" t="s">
        <v>754</v>
      </c>
      <c r="D2841" t="s">
        <v>17</v>
      </c>
      <c r="E2841" t="s">
        <v>64</v>
      </c>
      <c r="F2841">
        <v>65.567999999999998</v>
      </c>
      <c r="G2841">
        <v>2</v>
      </c>
      <c r="H2841">
        <v>23.7684</v>
      </c>
      <c r="I2841">
        <v>4</v>
      </c>
      <c r="J2841">
        <v>2011</v>
      </c>
      <c r="K2841" t="s">
        <v>2208</v>
      </c>
      <c r="L2841" t="str">
        <f>TEXT(maintable_2[[#This Row],[Order Date]],"mmmm")</f>
        <v>April</v>
      </c>
    </row>
    <row r="2842" spans="1:12" x14ac:dyDescent="0.3">
      <c r="A2842" s="1">
        <v>40639</v>
      </c>
      <c r="B2842" s="1">
        <v>40643</v>
      </c>
      <c r="C2842" t="s">
        <v>754</v>
      </c>
      <c r="D2842" t="s">
        <v>37</v>
      </c>
      <c r="E2842" t="s">
        <v>967</v>
      </c>
      <c r="F2842">
        <v>299.97000000000003</v>
      </c>
      <c r="G2842">
        <v>3</v>
      </c>
      <c r="H2842">
        <v>131.98679999999999</v>
      </c>
      <c r="I2842">
        <v>4</v>
      </c>
      <c r="J2842">
        <v>2011</v>
      </c>
      <c r="K2842" t="s">
        <v>2208</v>
      </c>
      <c r="L2842" t="str">
        <f>TEXT(maintable_2[[#This Row],[Order Date]],"mmmm")</f>
        <v>April</v>
      </c>
    </row>
    <row r="2843" spans="1:12" x14ac:dyDescent="0.3">
      <c r="A2843" s="1">
        <v>41314</v>
      </c>
      <c r="B2843" s="1">
        <v>41318</v>
      </c>
      <c r="C2843" t="s">
        <v>1793</v>
      </c>
      <c r="D2843" t="s">
        <v>37</v>
      </c>
      <c r="E2843" t="s">
        <v>135</v>
      </c>
      <c r="F2843">
        <v>89.97</v>
      </c>
      <c r="G2843">
        <v>3</v>
      </c>
      <c r="H2843">
        <v>39.586799999999997</v>
      </c>
      <c r="I2843">
        <v>4</v>
      </c>
      <c r="J2843">
        <v>2013</v>
      </c>
      <c r="K2843" t="s">
        <v>2210</v>
      </c>
      <c r="L2843" t="str">
        <f>TEXT(maintable_2[[#This Row],[Order Date]],"mmmm")</f>
        <v>February</v>
      </c>
    </row>
    <row r="2844" spans="1:12" x14ac:dyDescent="0.3">
      <c r="A2844" s="1">
        <v>41314</v>
      </c>
      <c r="B2844" s="1">
        <v>41318</v>
      </c>
      <c r="C2844" t="s">
        <v>1793</v>
      </c>
      <c r="D2844" t="s">
        <v>37</v>
      </c>
      <c r="E2844" t="s">
        <v>2110</v>
      </c>
      <c r="F2844">
        <v>31.86</v>
      </c>
      <c r="G2844">
        <v>2</v>
      </c>
      <c r="H2844">
        <v>11.151</v>
      </c>
      <c r="I2844">
        <v>4</v>
      </c>
      <c r="J2844">
        <v>2013</v>
      </c>
      <c r="K2844" t="s">
        <v>2210</v>
      </c>
      <c r="L2844" t="str">
        <f>TEXT(maintable_2[[#This Row],[Order Date]],"mmmm")</f>
        <v>February</v>
      </c>
    </row>
    <row r="2845" spans="1:12" x14ac:dyDescent="0.3">
      <c r="A2845" s="1">
        <v>41998</v>
      </c>
      <c r="B2845" s="1">
        <v>42004</v>
      </c>
      <c r="C2845" t="s">
        <v>390</v>
      </c>
      <c r="D2845" t="s">
        <v>17</v>
      </c>
      <c r="E2845" t="s">
        <v>2111</v>
      </c>
      <c r="F2845">
        <v>21.312000000000001</v>
      </c>
      <c r="G2845">
        <v>3</v>
      </c>
      <c r="H2845">
        <v>7.992</v>
      </c>
      <c r="I2845">
        <v>6</v>
      </c>
      <c r="J2845">
        <v>2014</v>
      </c>
      <c r="K2845" t="s">
        <v>2207</v>
      </c>
      <c r="L2845" t="str">
        <f>TEXT(maintable_2[[#This Row],[Order Date]],"mmmm")</f>
        <v>December</v>
      </c>
    </row>
    <row r="2846" spans="1:12" x14ac:dyDescent="0.3">
      <c r="A2846" s="1">
        <v>41926</v>
      </c>
      <c r="B2846" s="1">
        <v>41933</v>
      </c>
      <c r="C2846" t="s">
        <v>624</v>
      </c>
      <c r="D2846" t="s">
        <v>37</v>
      </c>
      <c r="E2846" t="s">
        <v>1494</v>
      </c>
      <c r="F2846">
        <v>209.94</v>
      </c>
      <c r="G2846">
        <v>6</v>
      </c>
      <c r="H2846">
        <v>39.888599999999997</v>
      </c>
      <c r="I2846">
        <v>7</v>
      </c>
      <c r="J2846">
        <v>2014</v>
      </c>
      <c r="K2846" t="s">
        <v>2209</v>
      </c>
      <c r="L2846" t="str">
        <f>TEXT(maintable_2[[#This Row],[Order Date]],"mmmm")</f>
        <v>October</v>
      </c>
    </row>
    <row r="2847" spans="1:12" x14ac:dyDescent="0.3">
      <c r="A2847" s="1">
        <v>41926</v>
      </c>
      <c r="B2847" s="1">
        <v>41933</v>
      </c>
      <c r="C2847" t="s">
        <v>624</v>
      </c>
      <c r="D2847" t="s">
        <v>15</v>
      </c>
      <c r="E2847" t="s">
        <v>1907</v>
      </c>
      <c r="F2847">
        <v>31.984000000000002</v>
      </c>
      <c r="G2847">
        <v>2</v>
      </c>
      <c r="H2847">
        <v>-7.9960000000000004</v>
      </c>
      <c r="I2847">
        <v>7</v>
      </c>
      <c r="J2847">
        <v>2014</v>
      </c>
      <c r="K2847" t="s">
        <v>2209</v>
      </c>
      <c r="L2847" t="str">
        <f>TEXT(maintable_2[[#This Row],[Order Date]],"mmmm")</f>
        <v>October</v>
      </c>
    </row>
    <row r="2848" spans="1:12" x14ac:dyDescent="0.3">
      <c r="A2848" s="1">
        <v>41926</v>
      </c>
      <c r="B2848" s="1">
        <v>41933</v>
      </c>
      <c r="C2848" t="s">
        <v>624</v>
      </c>
      <c r="D2848" t="s">
        <v>17</v>
      </c>
      <c r="E2848" t="s">
        <v>895</v>
      </c>
      <c r="F2848">
        <v>5083.96</v>
      </c>
      <c r="G2848">
        <v>5</v>
      </c>
      <c r="H2848">
        <v>1906.4849999999999</v>
      </c>
      <c r="I2848">
        <v>7</v>
      </c>
      <c r="J2848">
        <v>2014</v>
      </c>
      <c r="K2848" t="s">
        <v>2209</v>
      </c>
      <c r="L2848" t="str">
        <f>TEXT(maintable_2[[#This Row],[Order Date]],"mmmm")</f>
        <v>October</v>
      </c>
    </row>
    <row r="2849" spans="1:12" x14ac:dyDescent="0.3">
      <c r="A2849" s="1">
        <v>41583</v>
      </c>
      <c r="B2849" s="1">
        <v>41587</v>
      </c>
      <c r="C2849" t="s">
        <v>1572</v>
      </c>
      <c r="D2849" t="s">
        <v>494</v>
      </c>
      <c r="E2849" t="s">
        <v>1792</v>
      </c>
      <c r="F2849">
        <v>686.4</v>
      </c>
      <c r="G2849">
        <v>2</v>
      </c>
      <c r="H2849">
        <v>77.22</v>
      </c>
      <c r="I2849">
        <v>4</v>
      </c>
      <c r="J2849">
        <v>2013</v>
      </c>
      <c r="K2849" t="s">
        <v>2209</v>
      </c>
      <c r="L2849" t="str">
        <f>TEXT(maintable_2[[#This Row],[Order Date]],"mmmm")</f>
        <v>November</v>
      </c>
    </row>
    <row r="2850" spans="1:12" x14ac:dyDescent="0.3">
      <c r="A2850" s="1">
        <v>41975</v>
      </c>
      <c r="B2850" s="1">
        <v>41980</v>
      </c>
      <c r="C2850" t="s">
        <v>84</v>
      </c>
      <c r="D2850" t="s">
        <v>17</v>
      </c>
      <c r="E2850" t="s">
        <v>1491</v>
      </c>
      <c r="F2850">
        <v>15.92</v>
      </c>
      <c r="G2850">
        <v>5</v>
      </c>
      <c r="H2850">
        <v>5.3730000000000002</v>
      </c>
      <c r="I2850">
        <v>5</v>
      </c>
      <c r="J2850">
        <v>2014</v>
      </c>
      <c r="K2850" t="s">
        <v>2207</v>
      </c>
      <c r="L2850" t="str">
        <f>TEXT(maintable_2[[#This Row],[Order Date]],"mmmm")</f>
        <v>December</v>
      </c>
    </row>
    <row r="2851" spans="1:12" x14ac:dyDescent="0.3">
      <c r="A2851" s="1">
        <v>41975</v>
      </c>
      <c r="B2851" s="1">
        <v>41980</v>
      </c>
      <c r="C2851" t="s">
        <v>84</v>
      </c>
      <c r="D2851" t="s">
        <v>11</v>
      </c>
      <c r="E2851" t="s">
        <v>217</v>
      </c>
      <c r="F2851">
        <v>70.680000000000007</v>
      </c>
      <c r="G2851">
        <v>12</v>
      </c>
      <c r="H2851">
        <v>31.0992</v>
      </c>
      <c r="I2851">
        <v>5</v>
      </c>
      <c r="J2851">
        <v>2014</v>
      </c>
      <c r="K2851" t="s">
        <v>2207</v>
      </c>
      <c r="L2851" t="str">
        <f>TEXT(maintable_2[[#This Row],[Order Date]],"mmmm")</f>
        <v>December</v>
      </c>
    </row>
    <row r="2852" spans="1:12" x14ac:dyDescent="0.3">
      <c r="A2852" s="1">
        <v>41975</v>
      </c>
      <c r="B2852" s="1">
        <v>41980</v>
      </c>
      <c r="C2852" t="s">
        <v>84</v>
      </c>
      <c r="D2852" t="s">
        <v>27</v>
      </c>
      <c r="E2852" t="s">
        <v>1503</v>
      </c>
      <c r="F2852">
        <v>541.24</v>
      </c>
      <c r="G2852">
        <v>4</v>
      </c>
      <c r="H2852">
        <v>5.4123999999999999</v>
      </c>
      <c r="I2852">
        <v>5</v>
      </c>
      <c r="J2852">
        <v>2014</v>
      </c>
      <c r="K2852" t="s">
        <v>2207</v>
      </c>
      <c r="L2852" t="str">
        <f>TEXT(maintable_2[[#This Row],[Order Date]],"mmmm")</f>
        <v>December</v>
      </c>
    </row>
    <row r="2853" spans="1:12" x14ac:dyDescent="0.3">
      <c r="A2853" s="1">
        <v>40991</v>
      </c>
      <c r="B2853" s="1">
        <v>40993</v>
      </c>
      <c r="C2853" t="s">
        <v>936</v>
      </c>
      <c r="D2853" t="s">
        <v>44</v>
      </c>
      <c r="E2853" t="s">
        <v>1668</v>
      </c>
      <c r="F2853">
        <v>192.72</v>
      </c>
      <c r="G2853">
        <v>11</v>
      </c>
      <c r="H2853">
        <v>92.505600000000001</v>
      </c>
      <c r="I2853">
        <v>2</v>
      </c>
      <c r="J2853">
        <v>2012</v>
      </c>
      <c r="K2853" t="s">
        <v>2208</v>
      </c>
      <c r="L2853" t="str">
        <f>TEXT(maintable_2[[#This Row],[Order Date]],"mmmm")</f>
        <v>March</v>
      </c>
    </row>
    <row r="2854" spans="1:12" x14ac:dyDescent="0.3">
      <c r="A2854" s="1">
        <v>40991</v>
      </c>
      <c r="B2854" s="1">
        <v>40993</v>
      </c>
      <c r="C2854" t="s">
        <v>936</v>
      </c>
      <c r="D2854" t="s">
        <v>37</v>
      </c>
      <c r="E2854" t="s">
        <v>1571</v>
      </c>
      <c r="F2854">
        <v>239.97</v>
      </c>
      <c r="G2854">
        <v>3</v>
      </c>
      <c r="H2854">
        <v>86.389200000000002</v>
      </c>
      <c r="I2854">
        <v>2</v>
      </c>
      <c r="J2854">
        <v>2012</v>
      </c>
      <c r="K2854" t="s">
        <v>2208</v>
      </c>
      <c r="L2854" t="str">
        <f>TEXT(maintable_2[[#This Row],[Order Date]],"mmmm")</f>
        <v>March</v>
      </c>
    </row>
    <row r="2855" spans="1:12" x14ac:dyDescent="0.3">
      <c r="A2855" s="1">
        <v>40751</v>
      </c>
      <c r="B2855" s="1">
        <v>40754</v>
      </c>
      <c r="C2855" t="s">
        <v>138</v>
      </c>
      <c r="D2855" t="s">
        <v>27</v>
      </c>
      <c r="E2855" t="s">
        <v>2112</v>
      </c>
      <c r="F2855">
        <v>276.27999999999997</v>
      </c>
      <c r="G2855">
        <v>2</v>
      </c>
      <c r="H2855">
        <v>0</v>
      </c>
      <c r="I2855">
        <v>3</v>
      </c>
      <c r="J2855">
        <v>2011</v>
      </c>
      <c r="K2855" t="s">
        <v>2206</v>
      </c>
      <c r="L2855" t="str">
        <f>TEXT(maintable_2[[#This Row],[Order Date]],"mmmm")</f>
        <v>July</v>
      </c>
    </row>
    <row r="2856" spans="1:12" x14ac:dyDescent="0.3">
      <c r="A2856" s="1">
        <v>41975</v>
      </c>
      <c r="B2856" s="1">
        <v>41981</v>
      </c>
      <c r="C2856" t="s">
        <v>799</v>
      </c>
      <c r="D2856" t="s">
        <v>11</v>
      </c>
      <c r="E2856" t="s">
        <v>331</v>
      </c>
      <c r="F2856">
        <v>629.64</v>
      </c>
      <c r="G2856">
        <v>9</v>
      </c>
      <c r="H2856">
        <v>107.03879999999999</v>
      </c>
      <c r="I2856">
        <v>6</v>
      </c>
      <c r="J2856">
        <v>2014</v>
      </c>
      <c r="K2856" t="s">
        <v>2207</v>
      </c>
      <c r="L2856" t="str">
        <f>TEXT(maintable_2[[#This Row],[Order Date]],"mmmm")</f>
        <v>December</v>
      </c>
    </row>
    <row r="2857" spans="1:12" x14ac:dyDescent="0.3">
      <c r="A2857" s="1">
        <v>41244</v>
      </c>
      <c r="B2857" s="1">
        <v>41249</v>
      </c>
      <c r="C2857" t="s">
        <v>2113</v>
      </c>
      <c r="D2857" t="s">
        <v>71</v>
      </c>
      <c r="E2857" t="s">
        <v>513</v>
      </c>
      <c r="F2857">
        <v>2676.672</v>
      </c>
      <c r="G2857">
        <v>9</v>
      </c>
      <c r="H2857">
        <v>267.66719999999998</v>
      </c>
      <c r="I2857">
        <v>5</v>
      </c>
      <c r="J2857">
        <v>2012</v>
      </c>
      <c r="K2857" t="s">
        <v>2209</v>
      </c>
      <c r="L2857" t="str">
        <f>TEXT(maintable_2[[#This Row],[Order Date]],"mmmm")</f>
        <v>December</v>
      </c>
    </row>
    <row r="2858" spans="1:12" x14ac:dyDescent="0.3">
      <c r="A2858" s="1">
        <v>41502</v>
      </c>
      <c r="B2858" s="1">
        <v>41509</v>
      </c>
      <c r="C2858" t="s">
        <v>266</v>
      </c>
      <c r="D2858" t="s">
        <v>11</v>
      </c>
      <c r="E2858" t="s">
        <v>2114</v>
      </c>
      <c r="F2858">
        <v>312.02999999999997</v>
      </c>
      <c r="G2858">
        <v>3</v>
      </c>
      <c r="H2858">
        <v>43.684199999999997</v>
      </c>
      <c r="I2858">
        <v>7</v>
      </c>
      <c r="J2858">
        <v>2013</v>
      </c>
      <c r="K2858" t="s">
        <v>2206</v>
      </c>
      <c r="L2858" t="str">
        <f>TEXT(maintable_2[[#This Row],[Order Date]],"mmmm")</f>
        <v>August</v>
      </c>
    </row>
    <row r="2859" spans="1:12" x14ac:dyDescent="0.3">
      <c r="A2859" s="1">
        <v>41502</v>
      </c>
      <c r="B2859" s="1">
        <v>41509</v>
      </c>
      <c r="C2859" t="s">
        <v>266</v>
      </c>
      <c r="D2859" t="s">
        <v>27</v>
      </c>
      <c r="E2859" t="s">
        <v>793</v>
      </c>
      <c r="F2859">
        <v>17.940000000000001</v>
      </c>
      <c r="G2859">
        <v>3</v>
      </c>
      <c r="H2859">
        <v>3.0497999999999998</v>
      </c>
      <c r="I2859">
        <v>7</v>
      </c>
      <c r="J2859">
        <v>2013</v>
      </c>
      <c r="K2859" t="s">
        <v>2206</v>
      </c>
      <c r="L2859" t="str">
        <f>TEXT(maintable_2[[#This Row],[Order Date]],"mmmm")</f>
        <v>August</v>
      </c>
    </row>
    <row r="2860" spans="1:12" x14ac:dyDescent="0.3">
      <c r="A2860" s="1">
        <v>41502</v>
      </c>
      <c r="B2860" s="1">
        <v>41509</v>
      </c>
      <c r="C2860" t="s">
        <v>266</v>
      </c>
      <c r="D2860" t="s">
        <v>15</v>
      </c>
      <c r="E2860" t="s">
        <v>1776</v>
      </c>
      <c r="F2860">
        <v>165.6</v>
      </c>
      <c r="G2860">
        <v>3</v>
      </c>
      <c r="H2860">
        <v>10.35</v>
      </c>
      <c r="I2860">
        <v>7</v>
      </c>
      <c r="J2860">
        <v>2013</v>
      </c>
      <c r="K2860" t="s">
        <v>2206</v>
      </c>
      <c r="L2860" t="str">
        <f>TEXT(maintable_2[[#This Row],[Order Date]],"mmmm")</f>
        <v>August</v>
      </c>
    </row>
    <row r="2861" spans="1:12" x14ac:dyDescent="0.3">
      <c r="A2861" s="1">
        <v>41502</v>
      </c>
      <c r="B2861" s="1">
        <v>41509</v>
      </c>
      <c r="C2861" t="s">
        <v>266</v>
      </c>
      <c r="D2861" t="s">
        <v>44</v>
      </c>
      <c r="E2861" t="s">
        <v>1903</v>
      </c>
      <c r="F2861">
        <v>37.520000000000003</v>
      </c>
      <c r="G2861">
        <v>4</v>
      </c>
      <c r="H2861">
        <v>18.009599999999999</v>
      </c>
      <c r="I2861">
        <v>7</v>
      </c>
      <c r="J2861">
        <v>2013</v>
      </c>
      <c r="K2861" t="s">
        <v>2206</v>
      </c>
      <c r="L2861" t="str">
        <f>TEXT(maintable_2[[#This Row],[Order Date]],"mmmm")</f>
        <v>August</v>
      </c>
    </row>
    <row r="2862" spans="1:12" x14ac:dyDescent="0.3">
      <c r="A2862" s="1">
        <v>41627</v>
      </c>
      <c r="B2862" s="1">
        <v>41629</v>
      </c>
      <c r="C2862" t="s">
        <v>1121</v>
      </c>
      <c r="D2862" t="s">
        <v>15</v>
      </c>
      <c r="E2862" t="s">
        <v>1707</v>
      </c>
      <c r="F2862">
        <v>66.975999999999999</v>
      </c>
      <c r="G2862">
        <v>7</v>
      </c>
      <c r="H2862">
        <v>6.6976000000000004</v>
      </c>
      <c r="I2862">
        <v>2</v>
      </c>
      <c r="J2862">
        <v>2013</v>
      </c>
      <c r="K2862" t="s">
        <v>2207</v>
      </c>
      <c r="L2862" t="str">
        <f>TEXT(maintable_2[[#This Row],[Order Date]],"mmmm")</f>
        <v>December</v>
      </c>
    </row>
    <row r="2863" spans="1:12" x14ac:dyDescent="0.3">
      <c r="A2863" s="1">
        <v>40934</v>
      </c>
      <c r="B2863" s="1">
        <v>40940</v>
      </c>
      <c r="C2863" t="s">
        <v>1918</v>
      </c>
      <c r="D2863" t="s">
        <v>44</v>
      </c>
      <c r="E2863" t="s">
        <v>1230</v>
      </c>
      <c r="F2863">
        <v>182.72</v>
      </c>
      <c r="G2863">
        <v>8</v>
      </c>
      <c r="H2863">
        <v>84.051199999999994</v>
      </c>
      <c r="I2863">
        <v>6</v>
      </c>
      <c r="J2863">
        <v>2012</v>
      </c>
      <c r="K2863" t="s">
        <v>2210</v>
      </c>
      <c r="L2863" t="str">
        <f>TEXT(maintable_2[[#This Row],[Order Date]],"mmmm")</f>
        <v>January</v>
      </c>
    </row>
    <row r="2864" spans="1:12" x14ac:dyDescent="0.3">
      <c r="A2864" s="1">
        <v>41179</v>
      </c>
      <c r="B2864" s="1">
        <v>41181</v>
      </c>
      <c r="C2864" t="s">
        <v>1795</v>
      </c>
      <c r="D2864" t="s">
        <v>13</v>
      </c>
      <c r="E2864" t="s">
        <v>761</v>
      </c>
      <c r="F2864">
        <v>99.2</v>
      </c>
      <c r="G2864">
        <v>5</v>
      </c>
      <c r="H2864">
        <v>25.792000000000002</v>
      </c>
      <c r="I2864">
        <v>2</v>
      </c>
      <c r="J2864">
        <v>2012</v>
      </c>
      <c r="K2864" t="s">
        <v>2209</v>
      </c>
      <c r="L2864" t="str">
        <f>TEXT(maintable_2[[#This Row],[Order Date]],"mmmm")</f>
        <v>September</v>
      </c>
    </row>
    <row r="2865" spans="1:12" x14ac:dyDescent="0.3">
      <c r="A2865" s="1">
        <v>41260</v>
      </c>
      <c r="B2865" s="1">
        <v>41262</v>
      </c>
      <c r="C2865" t="s">
        <v>766</v>
      </c>
      <c r="D2865" t="s">
        <v>13</v>
      </c>
      <c r="E2865" t="s">
        <v>526</v>
      </c>
      <c r="F2865">
        <v>204.85</v>
      </c>
      <c r="G2865">
        <v>5</v>
      </c>
      <c r="H2865">
        <v>53.261000000000003</v>
      </c>
      <c r="I2865">
        <v>2</v>
      </c>
      <c r="J2865">
        <v>2012</v>
      </c>
      <c r="K2865" t="s">
        <v>2207</v>
      </c>
      <c r="L2865" t="str">
        <f>TEXT(maintable_2[[#This Row],[Order Date]],"mmmm")</f>
        <v>December</v>
      </c>
    </row>
    <row r="2866" spans="1:12" x14ac:dyDescent="0.3">
      <c r="A2866" s="1">
        <v>41260</v>
      </c>
      <c r="B2866" s="1">
        <v>41262</v>
      </c>
      <c r="C2866" t="s">
        <v>766</v>
      </c>
      <c r="D2866" t="s">
        <v>15</v>
      </c>
      <c r="E2866" t="s">
        <v>1835</v>
      </c>
      <c r="F2866">
        <v>135.98400000000001</v>
      </c>
      <c r="G2866">
        <v>2</v>
      </c>
      <c r="H2866">
        <v>16.998000000000001</v>
      </c>
      <c r="I2866">
        <v>2</v>
      </c>
      <c r="J2866">
        <v>2012</v>
      </c>
      <c r="K2866" t="s">
        <v>2207</v>
      </c>
      <c r="L2866" t="str">
        <f>TEXT(maintable_2[[#This Row],[Order Date]],"mmmm")</f>
        <v>December</v>
      </c>
    </row>
    <row r="2867" spans="1:12" x14ac:dyDescent="0.3">
      <c r="A2867" s="1">
        <v>41260</v>
      </c>
      <c r="B2867" s="1">
        <v>41262</v>
      </c>
      <c r="C2867" t="s">
        <v>766</v>
      </c>
      <c r="D2867" t="s">
        <v>13</v>
      </c>
      <c r="E2867" t="s">
        <v>2115</v>
      </c>
      <c r="F2867">
        <v>16.399999999999999</v>
      </c>
      <c r="G2867">
        <v>5</v>
      </c>
      <c r="H2867">
        <v>7.0519999999999996</v>
      </c>
      <c r="I2867">
        <v>2</v>
      </c>
      <c r="J2867">
        <v>2012</v>
      </c>
      <c r="K2867" t="s">
        <v>2207</v>
      </c>
      <c r="L2867" t="str">
        <f>TEXT(maintable_2[[#This Row],[Order Date]],"mmmm")</f>
        <v>December</v>
      </c>
    </row>
    <row r="2868" spans="1:12" x14ac:dyDescent="0.3">
      <c r="A2868" s="1">
        <v>41260</v>
      </c>
      <c r="B2868" s="1">
        <v>41262</v>
      </c>
      <c r="C2868" t="s">
        <v>766</v>
      </c>
      <c r="D2868" t="s">
        <v>17</v>
      </c>
      <c r="E2868" t="s">
        <v>948</v>
      </c>
      <c r="F2868">
        <v>92.96</v>
      </c>
      <c r="G2868">
        <v>2</v>
      </c>
      <c r="H2868">
        <v>31.373999999999999</v>
      </c>
      <c r="I2868">
        <v>2</v>
      </c>
      <c r="J2868">
        <v>2012</v>
      </c>
      <c r="K2868" t="s">
        <v>2207</v>
      </c>
      <c r="L2868" t="str">
        <f>TEXT(maintable_2[[#This Row],[Order Date]],"mmmm")</f>
        <v>December</v>
      </c>
    </row>
    <row r="2869" spans="1:12" x14ac:dyDescent="0.3">
      <c r="A2869" s="1">
        <v>41582</v>
      </c>
      <c r="B2869" s="1">
        <v>41584</v>
      </c>
      <c r="C2869" t="s">
        <v>686</v>
      </c>
      <c r="D2869" t="s">
        <v>17</v>
      </c>
      <c r="E2869" t="s">
        <v>1374</v>
      </c>
      <c r="F2869">
        <v>4.1580000000000004</v>
      </c>
      <c r="G2869">
        <v>7</v>
      </c>
      <c r="H2869">
        <v>-3.4649999999999999</v>
      </c>
      <c r="I2869">
        <v>2</v>
      </c>
      <c r="J2869">
        <v>2013</v>
      </c>
      <c r="K2869" t="s">
        <v>2209</v>
      </c>
      <c r="L2869" t="str">
        <f>TEXT(maintable_2[[#This Row],[Order Date]],"mmmm")</f>
        <v>November</v>
      </c>
    </row>
    <row r="2870" spans="1:12" x14ac:dyDescent="0.3">
      <c r="A2870" s="1">
        <v>41582</v>
      </c>
      <c r="B2870" s="1">
        <v>41584</v>
      </c>
      <c r="C2870" t="s">
        <v>686</v>
      </c>
      <c r="D2870" t="s">
        <v>494</v>
      </c>
      <c r="E2870" t="s">
        <v>2116</v>
      </c>
      <c r="F2870">
        <v>179.99100000000001</v>
      </c>
      <c r="G2870">
        <v>3</v>
      </c>
      <c r="H2870">
        <v>-251.98740000000001</v>
      </c>
      <c r="I2870">
        <v>2</v>
      </c>
      <c r="J2870">
        <v>2013</v>
      </c>
      <c r="K2870" t="s">
        <v>2209</v>
      </c>
      <c r="L2870" t="str">
        <f>TEXT(maintable_2[[#This Row],[Order Date]],"mmmm")</f>
        <v>November</v>
      </c>
    </row>
    <row r="2871" spans="1:12" x14ac:dyDescent="0.3">
      <c r="A2871" s="1">
        <v>40884</v>
      </c>
      <c r="B2871" s="1">
        <v>40885</v>
      </c>
      <c r="C2871" t="s">
        <v>464</v>
      </c>
      <c r="D2871" t="s">
        <v>44</v>
      </c>
      <c r="E2871" t="s">
        <v>1020</v>
      </c>
      <c r="F2871">
        <v>164.88</v>
      </c>
      <c r="G2871">
        <v>3</v>
      </c>
      <c r="H2871">
        <v>80.791200000000003</v>
      </c>
      <c r="I2871">
        <v>1</v>
      </c>
      <c r="J2871">
        <v>2011</v>
      </c>
      <c r="K2871" t="s">
        <v>2207</v>
      </c>
      <c r="L2871" t="str">
        <f>TEXT(maintable_2[[#This Row],[Order Date]],"mmmm")</f>
        <v>December</v>
      </c>
    </row>
    <row r="2872" spans="1:12" x14ac:dyDescent="0.3">
      <c r="A2872" s="1">
        <v>40862</v>
      </c>
      <c r="B2872" s="1">
        <v>40864</v>
      </c>
      <c r="C2872" t="s">
        <v>938</v>
      </c>
      <c r="D2872" t="s">
        <v>81</v>
      </c>
      <c r="E2872" t="s">
        <v>290</v>
      </c>
      <c r="F2872">
        <v>10.95</v>
      </c>
      <c r="G2872">
        <v>3</v>
      </c>
      <c r="H2872">
        <v>3.2850000000000001</v>
      </c>
      <c r="I2872">
        <v>2</v>
      </c>
      <c r="J2872">
        <v>2011</v>
      </c>
      <c r="K2872" t="s">
        <v>2209</v>
      </c>
      <c r="L2872" t="str">
        <f>TEXT(maintable_2[[#This Row],[Order Date]],"mmmm")</f>
        <v>November</v>
      </c>
    </row>
    <row r="2873" spans="1:12" x14ac:dyDescent="0.3">
      <c r="A2873" s="1">
        <v>40901</v>
      </c>
      <c r="B2873" s="1">
        <v>40903</v>
      </c>
      <c r="C2873" t="s">
        <v>2117</v>
      </c>
      <c r="D2873" t="s">
        <v>19</v>
      </c>
      <c r="E2873" t="s">
        <v>2037</v>
      </c>
      <c r="F2873">
        <v>13.97</v>
      </c>
      <c r="G2873">
        <v>1</v>
      </c>
      <c r="H2873">
        <v>3.6322000000000001</v>
      </c>
      <c r="I2873">
        <v>2</v>
      </c>
      <c r="J2873">
        <v>2011</v>
      </c>
      <c r="K2873" t="s">
        <v>2207</v>
      </c>
      <c r="L2873" t="str">
        <f>TEXT(maintable_2[[#This Row],[Order Date]],"mmmm")</f>
        <v>December</v>
      </c>
    </row>
    <row r="2874" spans="1:12" x14ac:dyDescent="0.3">
      <c r="A2874" s="1">
        <v>40806</v>
      </c>
      <c r="B2874" s="1">
        <v>40810</v>
      </c>
      <c r="C2874" t="s">
        <v>552</v>
      </c>
      <c r="D2874" t="s">
        <v>44</v>
      </c>
      <c r="E2874" t="s">
        <v>1985</v>
      </c>
      <c r="F2874">
        <v>8.56</v>
      </c>
      <c r="G2874">
        <v>2</v>
      </c>
      <c r="H2874">
        <v>3.8519999999999999</v>
      </c>
      <c r="I2874">
        <v>4</v>
      </c>
      <c r="J2874">
        <v>2011</v>
      </c>
      <c r="K2874" t="s">
        <v>2209</v>
      </c>
      <c r="L2874" t="str">
        <f>TEXT(maintable_2[[#This Row],[Order Date]],"mmmm")</f>
        <v>September</v>
      </c>
    </row>
    <row r="2875" spans="1:12" x14ac:dyDescent="0.3">
      <c r="A2875" s="1">
        <v>41755</v>
      </c>
      <c r="B2875" s="1">
        <v>41757</v>
      </c>
      <c r="C2875" t="s">
        <v>1958</v>
      </c>
      <c r="D2875" t="s">
        <v>196</v>
      </c>
      <c r="E2875" t="s">
        <v>1916</v>
      </c>
      <c r="F2875">
        <v>344.98099999999999</v>
      </c>
      <c r="G2875">
        <v>7</v>
      </c>
      <c r="H2875">
        <v>28.4102</v>
      </c>
      <c r="I2875">
        <v>2</v>
      </c>
      <c r="J2875">
        <v>2014</v>
      </c>
      <c r="K2875" t="s">
        <v>2208</v>
      </c>
      <c r="L2875" t="str">
        <f>TEXT(maintable_2[[#This Row],[Order Date]],"mmmm")</f>
        <v>April</v>
      </c>
    </row>
    <row r="2876" spans="1:12" x14ac:dyDescent="0.3">
      <c r="A2876" s="1">
        <v>41914</v>
      </c>
      <c r="B2876" s="1">
        <v>41919</v>
      </c>
      <c r="C2876" t="s">
        <v>216</v>
      </c>
      <c r="D2876" t="s">
        <v>37</v>
      </c>
      <c r="E2876" t="s">
        <v>1453</v>
      </c>
      <c r="F2876">
        <v>104.75</v>
      </c>
      <c r="G2876">
        <v>5</v>
      </c>
      <c r="H2876">
        <v>21.997499999999999</v>
      </c>
      <c r="I2876">
        <v>5</v>
      </c>
      <c r="J2876">
        <v>2014</v>
      </c>
      <c r="K2876" t="s">
        <v>2209</v>
      </c>
      <c r="L2876" t="str">
        <f>TEXT(maintable_2[[#This Row],[Order Date]],"mmmm")</f>
        <v>October</v>
      </c>
    </row>
    <row r="2877" spans="1:12" x14ac:dyDescent="0.3">
      <c r="A2877" s="1">
        <v>40716</v>
      </c>
      <c r="B2877" s="1">
        <v>40716</v>
      </c>
      <c r="C2877" t="s">
        <v>2118</v>
      </c>
      <c r="D2877" t="s">
        <v>17</v>
      </c>
      <c r="E2877" t="s">
        <v>1612</v>
      </c>
      <c r="F2877">
        <v>8.2260000000000009</v>
      </c>
      <c r="G2877">
        <v>3</v>
      </c>
      <c r="H2877">
        <v>-6.0324</v>
      </c>
      <c r="I2877">
        <v>0</v>
      </c>
      <c r="J2877">
        <v>2011</v>
      </c>
      <c r="K2877" t="s">
        <v>2206</v>
      </c>
      <c r="L2877" t="str">
        <f>TEXT(maintable_2[[#This Row],[Order Date]],"mmmm")</f>
        <v>June</v>
      </c>
    </row>
    <row r="2878" spans="1:12" x14ac:dyDescent="0.3">
      <c r="A2878" s="1">
        <v>41004</v>
      </c>
      <c r="B2878" s="1">
        <v>41005</v>
      </c>
      <c r="C2878" t="s">
        <v>1810</v>
      </c>
      <c r="D2878" t="s">
        <v>37</v>
      </c>
      <c r="E2878" t="s">
        <v>611</v>
      </c>
      <c r="F2878">
        <v>239.94</v>
      </c>
      <c r="G2878">
        <v>6</v>
      </c>
      <c r="H2878">
        <v>26.3934</v>
      </c>
      <c r="I2878">
        <v>1</v>
      </c>
      <c r="J2878">
        <v>2012</v>
      </c>
      <c r="K2878" t="s">
        <v>2208</v>
      </c>
      <c r="L2878" t="str">
        <f>TEXT(maintable_2[[#This Row],[Order Date]],"mmmm")</f>
        <v>April</v>
      </c>
    </row>
    <row r="2879" spans="1:12" x14ac:dyDescent="0.3">
      <c r="A2879" s="1">
        <v>41004</v>
      </c>
      <c r="B2879" s="1">
        <v>41005</v>
      </c>
      <c r="C2879" t="s">
        <v>1810</v>
      </c>
      <c r="D2879" t="s">
        <v>13</v>
      </c>
      <c r="E2879" t="s">
        <v>2119</v>
      </c>
      <c r="F2879">
        <v>23.84</v>
      </c>
      <c r="G2879">
        <v>8</v>
      </c>
      <c r="H2879">
        <v>6.4367999999999999</v>
      </c>
      <c r="I2879">
        <v>1</v>
      </c>
      <c r="J2879">
        <v>2012</v>
      </c>
      <c r="K2879" t="s">
        <v>2208</v>
      </c>
      <c r="L2879" t="str">
        <f>TEXT(maintable_2[[#This Row],[Order Date]],"mmmm")</f>
        <v>April</v>
      </c>
    </row>
    <row r="2880" spans="1:12" x14ac:dyDescent="0.3">
      <c r="A2880" s="1">
        <v>41717</v>
      </c>
      <c r="B2880" s="1">
        <v>41721</v>
      </c>
      <c r="C2880" t="s">
        <v>2120</v>
      </c>
      <c r="D2880" t="s">
        <v>13</v>
      </c>
      <c r="E2880" t="s">
        <v>1041</v>
      </c>
      <c r="F2880">
        <v>13.9</v>
      </c>
      <c r="G2880">
        <v>5</v>
      </c>
      <c r="H2880">
        <v>3.7530000000000001</v>
      </c>
      <c r="I2880">
        <v>4</v>
      </c>
      <c r="J2880">
        <v>2014</v>
      </c>
      <c r="K2880" t="s">
        <v>2208</v>
      </c>
      <c r="L2880" t="str">
        <f>TEXT(maintable_2[[#This Row],[Order Date]],"mmmm")</f>
        <v>March</v>
      </c>
    </row>
    <row r="2881" spans="1:12" x14ac:dyDescent="0.3">
      <c r="A2881" s="1">
        <v>41717</v>
      </c>
      <c r="B2881" s="1">
        <v>41721</v>
      </c>
      <c r="C2881" t="s">
        <v>2120</v>
      </c>
      <c r="D2881" t="s">
        <v>86</v>
      </c>
      <c r="E2881" t="s">
        <v>1726</v>
      </c>
      <c r="F2881">
        <v>19.399999999999999</v>
      </c>
      <c r="G2881">
        <v>5</v>
      </c>
      <c r="H2881">
        <v>9.3119999999999994</v>
      </c>
      <c r="I2881">
        <v>4</v>
      </c>
      <c r="J2881">
        <v>2014</v>
      </c>
      <c r="K2881" t="s">
        <v>2208</v>
      </c>
      <c r="L2881" t="str">
        <f>TEXT(maintable_2[[#This Row],[Order Date]],"mmmm")</f>
        <v>March</v>
      </c>
    </row>
    <row r="2882" spans="1:12" x14ac:dyDescent="0.3">
      <c r="A2882" s="1">
        <v>41626</v>
      </c>
      <c r="B2882" s="1">
        <v>41632</v>
      </c>
      <c r="C2882" t="s">
        <v>479</v>
      </c>
      <c r="D2882" t="s">
        <v>17</v>
      </c>
      <c r="E2882" t="s">
        <v>387</v>
      </c>
      <c r="F2882">
        <v>13.488</v>
      </c>
      <c r="G2882">
        <v>2</v>
      </c>
      <c r="H2882">
        <v>4.3836000000000004</v>
      </c>
      <c r="I2882">
        <v>6</v>
      </c>
      <c r="J2882">
        <v>2013</v>
      </c>
      <c r="K2882" t="s">
        <v>2207</v>
      </c>
      <c r="L2882" t="str">
        <f>TEXT(maintable_2[[#This Row],[Order Date]],"mmmm")</f>
        <v>December</v>
      </c>
    </row>
    <row r="2883" spans="1:12" x14ac:dyDescent="0.3">
      <c r="A2883" s="1">
        <v>41626</v>
      </c>
      <c r="B2883" s="1">
        <v>41632</v>
      </c>
      <c r="C2883" t="s">
        <v>479</v>
      </c>
      <c r="D2883" t="s">
        <v>17</v>
      </c>
      <c r="E2883" t="s">
        <v>2121</v>
      </c>
      <c r="F2883">
        <v>11.416</v>
      </c>
      <c r="G2883">
        <v>1</v>
      </c>
      <c r="H2883">
        <v>3.8529</v>
      </c>
      <c r="I2883">
        <v>6</v>
      </c>
      <c r="J2883">
        <v>2013</v>
      </c>
      <c r="K2883" t="s">
        <v>2207</v>
      </c>
      <c r="L2883" t="str">
        <f>TEXT(maintable_2[[#This Row],[Order Date]],"mmmm")</f>
        <v>December</v>
      </c>
    </row>
    <row r="2884" spans="1:12" x14ac:dyDescent="0.3">
      <c r="A2884" s="1">
        <v>41360</v>
      </c>
      <c r="B2884" s="1">
        <v>41362</v>
      </c>
      <c r="C2884" t="s">
        <v>1423</v>
      </c>
      <c r="D2884" t="s">
        <v>44</v>
      </c>
      <c r="E2884" t="s">
        <v>1185</v>
      </c>
      <c r="F2884">
        <v>17.64</v>
      </c>
      <c r="G2884">
        <v>3</v>
      </c>
      <c r="H2884">
        <v>8.6435999999999993</v>
      </c>
      <c r="I2884">
        <v>2</v>
      </c>
      <c r="J2884">
        <v>2013</v>
      </c>
      <c r="K2884" t="s">
        <v>2208</v>
      </c>
      <c r="L2884" t="str">
        <f>TEXT(maintable_2[[#This Row],[Order Date]],"mmmm")</f>
        <v>March</v>
      </c>
    </row>
    <row r="2885" spans="1:12" x14ac:dyDescent="0.3">
      <c r="A2885" s="1">
        <v>41360</v>
      </c>
      <c r="B2885" s="1">
        <v>41362</v>
      </c>
      <c r="C2885" t="s">
        <v>1423</v>
      </c>
      <c r="D2885" t="s">
        <v>17</v>
      </c>
      <c r="E2885" t="s">
        <v>32</v>
      </c>
      <c r="F2885">
        <v>17.04</v>
      </c>
      <c r="G2885">
        <v>3</v>
      </c>
      <c r="H2885">
        <v>5.5380000000000003</v>
      </c>
      <c r="I2885">
        <v>2</v>
      </c>
      <c r="J2885">
        <v>2013</v>
      </c>
      <c r="K2885" t="s">
        <v>2208</v>
      </c>
      <c r="L2885" t="str">
        <f>TEXT(maintable_2[[#This Row],[Order Date]],"mmmm")</f>
        <v>March</v>
      </c>
    </row>
    <row r="2886" spans="1:12" x14ac:dyDescent="0.3">
      <c r="A2886" s="1">
        <v>41509</v>
      </c>
      <c r="B2886" s="1">
        <v>41510</v>
      </c>
      <c r="C2886" t="s">
        <v>1228</v>
      </c>
      <c r="D2886" t="s">
        <v>11</v>
      </c>
      <c r="E2886" t="s">
        <v>305</v>
      </c>
      <c r="F2886">
        <v>98.328000000000003</v>
      </c>
      <c r="G2886">
        <v>3</v>
      </c>
      <c r="H2886">
        <v>9.8328000000000007</v>
      </c>
      <c r="I2886">
        <v>1</v>
      </c>
      <c r="J2886">
        <v>2013</v>
      </c>
      <c r="K2886" t="s">
        <v>2206</v>
      </c>
      <c r="L2886" t="str">
        <f>TEXT(maintable_2[[#This Row],[Order Date]],"mmmm")</f>
        <v>August</v>
      </c>
    </row>
    <row r="2887" spans="1:12" x14ac:dyDescent="0.3">
      <c r="A2887" s="1">
        <v>41884</v>
      </c>
      <c r="B2887" s="1">
        <v>41884</v>
      </c>
      <c r="C2887" t="s">
        <v>591</v>
      </c>
      <c r="D2887" t="s">
        <v>19</v>
      </c>
      <c r="E2887" t="s">
        <v>2122</v>
      </c>
      <c r="F2887">
        <v>314.60000000000002</v>
      </c>
      <c r="G2887">
        <v>4</v>
      </c>
      <c r="H2887">
        <v>103.818</v>
      </c>
      <c r="I2887">
        <v>0</v>
      </c>
      <c r="J2887">
        <v>2014</v>
      </c>
      <c r="K2887" t="s">
        <v>2209</v>
      </c>
      <c r="L2887" t="str">
        <f>TEXT(maintable_2[[#This Row],[Order Date]],"mmmm")</f>
        <v>September</v>
      </c>
    </row>
    <row r="2888" spans="1:12" x14ac:dyDescent="0.3">
      <c r="A2888" s="1">
        <v>41884</v>
      </c>
      <c r="B2888" s="1">
        <v>41884</v>
      </c>
      <c r="C2888" t="s">
        <v>591</v>
      </c>
      <c r="D2888" t="s">
        <v>21</v>
      </c>
      <c r="E2888" t="s">
        <v>350</v>
      </c>
      <c r="F2888">
        <v>283.56</v>
      </c>
      <c r="G2888">
        <v>4</v>
      </c>
      <c r="H2888">
        <v>45.369599999999998</v>
      </c>
      <c r="I2888">
        <v>0</v>
      </c>
      <c r="J2888">
        <v>2014</v>
      </c>
      <c r="K2888" t="s">
        <v>2209</v>
      </c>
      <c r="L2888" t="str">
        <f>TEXT(maintable_2[[#This Row],[Order Date]],"mmmm")</f>
        <v>September</v>
      </c>
    </row>
    <row r="2889" spans="1:12" x14ac:dyDescent="0.3">
      <c r="A2889" s="1">
        <v>40805</v>
      </c>
      <c r="B2889" s="1">
        <v>40810</v>
      </c>
      <c r="C2889" t="s">
        <v>2123</v>
      </c>
      <c r="D2889" t="s">
        <v>21</v>
      </c>
      <c r="E2889" t="s">
        <v>1982</v>
      </c>
      <c r="F2889">
        <v>73.915000000000006</v>
      </c>
      <c r="G2889">
        <v>1</v>
      </c>
      <c r="H2889">
        <v>-45.827300000000001</v>
      </c>
      <c r="I2889">
        <v>5</v>
      </c>
      <c r="J2889">
        <v>2011</v>
      </c>
      <c r="K2889" t="s">
        <v>2209</v>
      </c>
      <c r="L2889" t="str">
        <f>TEXT(maintable_2[[#This Row],[Order Date]],"mmmm")</f>
        <v>September</v>
      </c>
    </row>
    <row r="2890" spans="1:12" x14ac:dyDescent="0.3">
      <c r="A2890" s="1">
        <v>41174</v>
      </c>
      <c r="B2890" s="1">
        <v>41178</v>
      </c>
      <c r="C2890" t="s">
        <v>1399</v>
      </c>
      <c r="D2890" t="s">
        <v>19</v>
      </c>
      <c r="E2890" t="s">
        <v>511</v>
      </c>
      <c r="F2890">
        <v>61.44</v>
      </c>
      <c r="G2890">
        <v>3</v>
      </c>
      <c r="H2890">
        <v>16.588799999999999</v>
      </c>
      <c r="I2890">
        <v>4</v>
      </c>
      <c r="J2890">
        <v>2012</v>
      </c>
      <c r="K2890" t="s">
        <v>2209</v>
      </c>
      <c r="L2890" t="str">
        <f>TEXT(maintable_2[[#This Row],[Order Date]],"mmmm")</f>
        <v>September</v>
      </c>
    </row>
    <row r="2891" spans="1:12" x14ac:dyDescent="0.3">
      <c r="A2891" s="1">
        <v>41586</v>
      </c>
      <c r="B2891" s="1">
        <v>41592</v>
      </c>
      <c r="C2891" t="s">
        <v>675</v>
      </c>
      <c r="D2891" t="s">
        <v>37</v>
      </c>
      <c r="E2891" t="s">
        <v>177</v>
      </c>
      <c r="F2891">
        <v>479.97</v>
      </c>
      <c r="G2891">
        <v>3</v>
      </c>
      <c r="H2891">
        <v>163.18979999999999</v>
      </c>
      <c r="I2891">
        <v>6</v>
      </c>
      <c r="J2891">
        <v>2013</v>
      </c>
      <c r="K2891" t="s">
        <v>2209</v>
      </c>
      <c r="L2891" t="str">
        <f>TEXT(maintable_2[[#This Row],[Order Date]],"mmmm")</f>
        <v>November</v>
      </c>
    </row>
    <row r="2892" spans="1:12" x14ac:dyDescent="0.3">
      <c r="A2892" s="1">
        <v>41990</v>
      </c>
      <c r="B2892" s="1">
        <v>41994</v>
      </c>
      <c r="C2892" t="s">
        <v>2124</v>
      </c>
      <c r="D2892" t="s">
        <v>17</v>
      </c>
      <c r="E2892" t="s">
        <v>1178</v>
      </c>
      <c r="F2892">
        <v>5.984</v>
      </c>
      <c r="G2892">
        <v>2</v>
      </c>
      <c r="H2892">
        <v>2.2440000000000002</v>
      </c>
      <c r="I2892">
        <v>4</v>
      </c>
      <c r="J2892">
        <v>2014</v>
      </c>
      <c r="K2892" t="s">
        <v>2207</v>
      </c>
      <c r="L2892" t="str">
        <f>TEXT(maintable_2[[#This Row],[Order Date]],"mmmm")</f>
        <v>December</v>
      </c>
    </row>
    <row r="2893" spans="1:12" x14ac:dyDescent="0.3">
      <c r="A2893" s="1">
        <v>41990</v>
      </c>
      <c r="B2893" s="1">
        <v>41994</v>
      </c>
      <c r="C2893" t="s">
        <v>2124</v>
      </c>
      <c r="D2893" t="s">
        <v>37</v>
      </c>
      <c r="E2893" t="s">
        <v>930</v>
      </c>
      <c r="F2893">
        <v>189.95</v>
      </c>
      <c r="G2893">
        <v>5</v>
      </c>
      <c r="H2893">
        <v>45.588000000000001</v>
      </c>
      <c r="I2893">
        <v>4</v>
      </c>
      <c r="J2893">
        <v>2014</v>
      </c>
      <c r="K2893" t="s">
        <v>2207</v>
      </c>
      <c r="L2893" t="str">
        <f>TEXT(maintable_2[[#This Row],[Order Date]],"mmmm")</f>
        <v>December</v>
      </c>
    </row>
    <row r="2894" spans="1:12" x14ac:dyDescent="0.3">
      <c r="A2894" s="1">
        <v>41990</v>
      </c>
      <c r="B2894" s="1">
        <v>41994</v>
      </c>
      <c r="C2894" t="s">
        <v>2124</v>
      </c>
      <c r="D2894" t="s">
        <v>37</v>
      </c>
      <c r="E2894" t="s">
        <v>1883</v>
      </c>
      <c r="F2894">
        <v>149.94999999999999</v>
      </c>
      <c r="G2894">
        <v>5</v>
      </c>
      <c r="H2894">
        <v>31.4895</v>
      </c>
      <c r="I2894">
        <v>4</v>
      </c>
      <c r="J2894">
        <v>2014</v>
      </c>
      <c r="K2894" t="s">
        <v>2207</v>
      </c>
      <c r="L2894" t="str">
        <f>TEXT(maintable_2[[#This Row],[Order Date]],"mmmm")</f>
        <v>December</v>
      </c>
    </row>
    <row r="2895" spans="1:12" x14ac:dyDescent="0.3">
      <c r="A2895" s="1">
        <v>41990</v>
      </c>
      <c r="B2895" s="1">
        <v>41994</v>
      </c>
      <c r="C2895" t="s">
        <v>2124</v>
      </c>
      <c r="D2895" t="s">
        <v>13</v>
      </c>
      <c r="E2895" t="s">
        <v>2125</v>
      </c>
      <c r="F2895">
        <v>29.95</v>
      </c>
      <c r="G2895">
        <v>5</v>
      </c>
      <c r="H2895">
        <v>8.6854999999999993</v>
      </c>
      <c r="I2895">
        <v>4</v>
      </c>
      <c r="J2895">
        <v>2014</v>
      </c>
      <c r="K2895" t="s">
        <v>2207</v>
      </c>
      <c r="L2895" t="str">
        <f>TEXT(maintable_2[[#This Row],[Order Date]],"mmmm")</f>
        <v>December</v>
      </c>
    </row>
    <row r="2896" spans="1:12" x14ac:dyDescent="0.3">
      <c r="A2896" s="1">
        <v>41990</v>
      </c>
      <c r="B2896" s="1">
        <v>41994</v>
      </c>
      <c r="C2896" t="s">
        <v>2124</v>
      </c>
      <c r="D2896" t="s">
        <v>8</v>
      </c>
      <c r="E2896" t="s">
        <v>1716</v>
      </c>
      <c r="F2896">
        <v>44.4</v>
      </c>
      <c r="G2896">
        <v>3</v>
      </c>
      <c r="H2896">
        <v>22.2</v>
      </c>
      <c r="I2896">
        <v>4</v>
      </c>
      <c r="J2896">
        <v>2014</v>
      </c>
      <c r="K2896" t="s">
        <v>2207</v>
      </c>
      <c r="L2896" t="str">
        <f>TEXT(maintable_2[[#This Row],[Order Date]],"mmmm")</f>
        <v>December</v>
      </c>
    </row>
    <row r="2897" spans="1:12" x14ac:dyDescent="0.3">
      <c r="A2897" s="1">
        <v>41047</v>
      </c>
      <c r="B2897" s="1">
        <v>41051</v>
      </c>
      <c r="C2897" t="s">
        <v>1633</v>
      </c>
      <c r="D2897" t="s">
        <v>44</v>
      </c>
      <c r="E2897" t="s">
        <v>191</v>
      </c>
      <c r="F2897">
        <v>10.86</v>
      </c>
      <c r="G2897">
        <v>2</v>
      </c>
      <c r="H2897">
        <v>5.3213999999999997</v>
      </c>
      <c r="I2897">
        <v>4</v>
      </c>
      <c r="J2897">
        <v>2012</v>
      </c>
      <c r="K2897" t="s">
        <v>2208</v>
      </c>
      <c r="L2897" t="str">
        <f>TEXT(maintable_2[[#This Row],[Order Date]],"mmmm")</f>
        <v>May</v>
      </c>
    </row>
    <row r="2898" spans="1:12" x14ac:dyDescent="0.3">
      <c r="A2898" s="1">
        <v>40628</v>
      </c>
      <c r="B2898" s="1">
        <v>40633</v>
      </c>
      <c r="C2898" t="s">
        <v>597</v>
      </c>
      <c r="D2898" t="s">
        <v>13</v>
      </c>
      <c r="E2898" t="s">
        <v>849</v>
      </c>
      <c r="F2898">
        <v>3.36</v>
      </c>
      <c r="G2898">
        <v>2</v>
      </c>
      <c r="H2898">
        <v>0.84</v>
      </c>
      <c r="I2898">
        <v>5</v>
      </c>
      <c r="J2898">
        <v>2011</v>
      </c>
      <c r="K2898" t="s">
        <v>2208</v>
      </c>
      <c r="L2898" t="str">
        <f>TEXT(maintable_2[[#This Row],[Order Date]],"mmmm")</f>
        <v>March</v>
      </c>
    </row>
    <row r="2899" spans="1:12" x14ac:dyDescent="0.3">
      <c r="A2899" s="1">
        <v>40628</v>
      </c>
      <c r="B2899" s="1">
        <v>40633</v>
      </c>
      <c r="C2899" t="s">
        <v>597</v>
      </c>
      <c r="D2899" t="s">
        <v>17</v>
      </c>
      <c r="E2899" t="s">
        <v>344</v>
      </c>
      <c r="F2899">
        <v>27.936</v>
      </c>
      <c r="G2899">
        <v>4</v>
      </c>
      <c r="H2899">
        <v>9.4283999999999999</v>
      </c>
      <c r="I2899">
        <v>5</v>
      </c>
      <c r="J2899">
        <v>2011</v>
      </c>
      <c r="K2899" t="s">
        <v>2208</v>
      </c>
      <c r="L2899" t="str">
        <f>TEXT(maintable_2[[#This Row],[Order Date]],"mmmm")</f>
        <v>March</v>
      </c>
    </row>
    <row r="2900" spans="1:12" x14ac:dyDescent="0.3">
      <c r="A2900" s="1">
        <v>40628</v>
      </c>
      <c r="B2900" s="1">
        <v>40633</v>
      </c>
      <c r="C2900" t="s">
        <v>597</v>
      </c>
      <c r="D2900" t="s">
        <v>15</v>
      </c>
      <c r="E2900" t="s">
        <v>1736</v>
      </c>
      <c r="F2900">
        <v>28.783999999999999</v>
      </c>
      <c r="G2900">
        <v>2</v>
      </c>
      <c r="H2900">
        <v>2.8784000000000001</v>
      </c>
      <c r="I2900">
        <v>5</v>
      </c>
      <c r="J2900">
        <v>2011</v>
      </c>
      <c r="K2900" t="s">
        <v>2208</v>
      </c>
      <c r="L2900" t="str">
        <f>TEXT(maintable_2[[#This Row],[Order Date]],"mmmm")</f>
        <v>March</v>
      </c>
    </row>
    <row r="2901" spans="1:12" x14ac:dyDescent="0.3">
      <c r="A2901" s="1">
        <v>41905</v>
      </c>
      <c r="B2901" s="1">
        <v>41911</v>
      </c>
      <c r="C2901" t="s">
        <v>804</v>
      </c>
      <c r="D2901" t="s">
        <v>81</v>
      </c>
      <c r="E2901" t="s">
        <v>82</v>
      </c>
      <c r="F2901">
        <v>21.96</v>
      </c>
      <c r="G2901">
        <v>2</v>
      </c>
      <c r="H2901">
        <v>6.1487999999999996</v>
      </c>
      <c r="I2901">
        <v>6</v>
      </c>
      <c r="J2901">
        <v>2014</v>
      </c>
      <c r="K2901" t="s">
        <v>2209</v>
      </c>
      <c r="L2901" t="str">
        <f>TEXT(maintable_2[[#This Row],[Order Date]],"mmmm")</f>
        <v>September</v>
      </c>
    </row>
    <row r="2902" spans="1:12" x14ac:dyDescent="0.3">
      <c r="A2902" s="1">
        <v>41164</v>
      </c>
      <c r="B2902" s="1">
        <v>41169</v>
      </c>
      <c r="C2902" t="s">
        <v>785</v>
      </c>
      <c r="D2902" t="s">
        <v>37</v>
      </c>
      <c r="E2902" t="s">
        <v>1179</v>
      </c>
      <c r="F2902">
        <v>21.98</v>
      </c>
      <c r="G2902">
        <v>2</v>
      </c>
      <c r="H2902">
        <v>8.5722000000000005</v>
      </c>
      <c r="I2902">
        <v>5</v>
      </c>
      <c r="J2902">
        <v>2012</v>
      </c>
      <c r="K2902" t="s">
        <v>2209</v>
      </c>
      <c r="L2902" t="str">
        <f>TEXT(maintable_2[[#This Row],[Order Date]],"mmmm")</f>
        <v>September</v>
      </c>
    </row>
    <row r="2903" spans="1:12" x14ac:dyDescent="0.3">
      <c r="A2903" s="1">
        <v>41202</v>
      </c>
      <c r="B2903" s="1">
        <v>41206</v>
      </c>
      <c r="C2903" t="s">
        <v>1029</v>
      </c>
      <c r="D2903" t="s">
        <v>11</v>
      </c>
      <c r="E2903" t="s">
        <v>2126</v>
      </c>
      <c r="F2903">
        <v>74.760000000000005</v>
      </c>
      <c r="G2903">
        <v>7</v>
      </c>
      <c r="H2903">
        <v>23.923200000000001</v>
      </c>
      <c r="I2903">
        <v>4</v>
      </c>
      <c r="J2903">
        <v>2012</v>
      </c>
      <c r="K2903" t="s">
        <v>2209</v>
      </c>
      <c r="L2903" t="str">
        <f>TEXT(maintable_2[[#This Row],[Order Date]],"mmmm")</f>
        <v>October</v>
      </c>
    </row>
    <row r="2904" spans="1:12" x14ac:dyDescent="0.3">
      <c r="A2904" s="1">
        <v>41202</v>
      </c>
      <c r="B2904" s="1">
        <v>41206</v>
      </c>
      <c r="C2904" t="s">
        <v>1029</v>
      </c>
      <c r="D2904" t="s">
        <v>21</v>
      </c>
      <c r="E2904" t="s">
        <v>1686</v>
      </c>
      <c r="F2904">
        <v>364.77600000000001</v>
      </c>
      <c r="G2904">
        <v>3</v>
      </c>
      <c r="H2904">
        <v>27.3582</v>
      </c>
      <c r="I2904">
        <v>4</v>
      </c>
      <c r="J2904">
        <v>2012</v>
      </c>
      <c r="K2904" t="s">
        <v>2209</v>
      </c>
      <c r="L2904" t="str">
        <f>TEXT(maintable_2[[#This Row],[Order Date]],"mmmm")</f>
        <v>October</v>
      </c>
    </row>
    <row r="2905" spans="1:12" x14ac:dyDescent="0.3">
      <c r="A2905" s="1">
        <v>41440</v>
      </c>
      <c r="B2905" s="1">
        <v>41444</v>
      </c>
      <c r="C2905" t="s">
        <v>324</v>
      </c>
      <c r="D2905" t="s">
        <v>21</v>
      </c>
      <c r="E2905" t="s">
        <v>528</v>
      </c>
      <c r="F2905">
        <v>1115.17</v>
      </c>
      <c r="G2905">
        <v>7</v>
      </c>
      <c r="H2905">
        <v>334.55099999999999</v>
      </c>
      <c r="I2905">
        <v>4</v>
      </c>
      <c r="J2905">
        <v>2013</v>
      </c>
      <c r="K2905" t="s">
        <v>2206</v>
      </c>
      <c r="L2905" t="str">
        <f>TEXT(maintable_2[[#This Row],[Order Date]],"mmmm")</f>
        <v>June</v>
      </c>
    </row>
    <row r="2906" spans="1:12" x14ac:dyDescent="0.3">
      <c r="A2906" s="1">
        <v>41233</v>
      </c>
      <c r="B2906" s="1">
        <v>41234</v>
      </c>
      <c r="C2906" t="s">
        <v>1410</v>
      </c>
      <c r="D2906" t="s">
        <v>17</v>
      </c>
      <c r="E2906" t="s">
        <v>1376</v>
      </c>
      <c r="F2906">
        <v>89.695999999999998</v>
      </c>
      <c r="G2906">
        <v>4</v>
      </c>
      <c r="H2906">
        <v>33.636000000000003</v>
      </c>
      <c r="I2906">
        <v>1</v>
      </c>
      <c r="J2906">
        <v>2012</v>
      </c>
      <c r="K2906" t="s">
        <v>2209</v>
      </c>
      <c r="L2906" t="str">
        <f>TEXT(maintable_2[[#This Row],[Order Date]],"mmmm")</f>
        <v>November</v>
      </c>
    </row>
    <row r="2907" spans="1:12" x14ac:dyDescent="0.3">
      <c r="A2907" s="1">
        <v>41233</v>
      </c>
      <c r="B2907" s="1">
        <v>41234</v>
      </c>
      <c r="C2907" t="s">
        <v>1410</v>
      </c>
      <c r="D2907" t="s">
        <v>8</v>
      </c>
      <c r="E2907" t="s">
        <v>1184</v>
      </c>
      <c r="F2907">
        <v>50.12</v>
      </c>
      <c r="G2907">
        <v>4</v>
      </c>
      <c r="H2907">
        <v>23.5564</v>
      </c>
      <c r="I2907">
        <v>1</v>
      </c>
      <c r="J2907">
        <v>2012</v>
      </c>
      <c r="K2907" t="s">
        <v>2209</v>
      </c>
      <c r="L2907" t="str">
        <f>TEXT(maintable_2[[#This Row],[Order Date]],"mmmm")</f>
        <v>November</v>
      </c>
    </row>
    <row r="2908" spans="1:12" x14ac:dyDescent="0.3">
      <c r="A2908" s="1">
        <v>41520</v>
      </c>
      <c r="B2908" s="1">
        <v>41523</v>
      </c>
      <c r="C2908" t="s">
        <v>1922</v>
      </c>
      <c r="D2908" t="s">
        <v>71</v>
      </c>
      <c r="E2908" t="s">
        <v>723</v>
      </c>
      <c r="F2908">
        <v>215.976</v>
      </c>
      <c r="G2908">
        <v>3</v>
      </c>
      <c r="H2908">
        <v>-2.6997</v>
      </c>
      <c r="I2908">
        <v>3</v>
      </c>
      <c r="J2908">
        <v>2013</v>
      </c>
      <c r="K2908" t="s">
        <v>2209</v>
      </c>
      <c r="L2908" t="str">
        <f>TEXT(maintable_2[[#This Row],[Order Date]],"mmmm")</f>
        <v>September</v>
      </c>
    </row>
    <row r="2909" spans="1:12" x14ac:dyDescent="0.3">
      <c r="A2909" s="1">
        <v>41520</v>
      </c>
      <c r="B2909" s="1">
        <v>41523</v>
      </c>
      <c r="C2909" t="s">
        <v>1922</v>
      </c>
      <c r="D2909" t="s">
        <v>86</v>
      </c>
      <c r="E2909" t="s">
        <v>1437</v>
      </c>
      <c r="F2909">
        <v>65.94</v>
      </c>
      <c r="G2909">
        <v>3</v>
      </c>
      <c r="H2909">
        <v>30.991800000000001</v>
      </c>
      <c r="I2909">
        <v>3</v>
      </c>
      <c r="J2909">
        <v>2013</v>
      </c>
      <c r="K2909" t="s">
        <v>2209</v>
      </c>
      <c r="L2909" t="str">
        <f>TEXT(maintable_2[[#This Row],[Order Date]],"mmmm")</f>
        <v>September</v>
      </c>
    </row>
    <row r="2910" spans="1:12" x14ac:dyDescent="0.3">
      <c r="A2910" s="1">
        <v>41894</v>
      </c>
      <c r="B2910" s="1">
        <v>41896</v>
      </c>
      <c r="C2910" t="s">
        <v>1095</v>
      </c>
      <c r="D2910" t="s">
        <v>15</v>
      </c>
      <c r="E2910" t="s">
        <v>1757</v>
      </c>
      <c r="F2910">
        <v>143.952</v>
      </c>
      <c r="G2910">
        <v>6</v>
      </c>
      <c r="H2910">
        <v>17.994</v>
      </c>
      <c r="I2910">
        <v>2</v>
      </c>
      <c r="J2910">
        <v>2014</v>
      </c>
      <c r="K2910" t="s">
        <v>2209</v>
      </c>
      <c r="L2910" t="str">
        <f>TEXT(maintable_2[[#This Row],[Order Date]],"mmmm")</f>
        <v>September</v>
      </c>
    </row>
    <row r="2911" spans="1:12" x14ac:dyDescent="0.3">
      <c r="A2911" s="1">
        <v>41894</v>
      </c>
      <c r="B2911" s="1">
        <v>41896</v>
      </c>
      <c r="C2911" t="s">
        <v>1095</v>
      </c>
      <c r="D2911" t="s">
        <v>44</v>
      </c>
      <c r="E2911" t="s">
        <v>616</v>
      </c>
      <c r="F2911">
        <v>19.440000000000001</v>
      </c>
      <c r="G2911">
        <v>3</v>
      </c>
      <c r="H2911">
        <v>9.3312000000000008</v>
      </c>
      <c r="I2911">
        <v>2</v>
      </c>
      <c r="J2911">
        <v>2014</v>
      </c>
      <c r="K2911" t="s">
        <v>2209</v>
      </c>
      <c r="L2911" t="str">
        <f>TEXT(maintable_2[[#This Row],[Order Date]],"mmmm")</f>
        <v>September</v>
      </c>
    </row>
    <row r="2912" spans="1:12" x14ac:dyDescent="0.3">
      <c r="A2912" s="1">
        <v>41528</v>
      </c>
      <c r="B2912" s="1">
        <v>41530</v>
      </c>
      <c r="C2912" t="s">
        <v>293</v>
      </c>
      <c r="D2912" t="s">
        <v>17</v>
      </c>
      <c r="E2912" t="s">
        <v>2127</v>
      </c>
      <c r="F2912">
        <v>276.78399999999999</v>
      </c>
      <c r="G2912">
        <v>2</v>
      </c>
      <c r="H2912">
        <v>89.954800000000006</v>
      </c>
      <c r="I2912">
        <v>2</v>
      </c>
      <c r="J2912">
        <v>2013</v>
      </c>
      <c r="K2912" t="s">
        <v>2209</v>
      </c>
      <c r="L2912" t="str">
        <f>TEXT(maintable_2[[#This Row],[Order Date]],"mmmm")</f>
        <v>September</v>
      </c>
    </row>
    <row r="2913" spans="1:12" x14ac:dyDescent="0.3">
      <c r="A2913" s="1">
        <v>41312</v>
      </c>
      <c r="B2913" s="1">
        <v>41315</v>
      </c>
      <c r="C2913" t="s">
        <v>543</v>
      </c>
      <c r="D2913" t="s">
        <v>15</v>
      </c>
      <c r="E2913" t="s">
        <v>1927</v>
      </c>
      <c r="F2913">
        <v>623.96</v>
      </c>
      <c r="G2913">
        <v>5</v>
      </c>
      <c r="H2913">
        <v>38.997500000000002</v>
      </c>
      <c r="I2913">
        <v>3</v>
      </c>
      <c r="J2913">
        <v>2013</v>
      </c>
      <c r="K2913" t="s">
        <v>2210</v>
      </c>
      <c r="L2913" t="str">
        <f>TEXT(maintable_2[[#This Row],[Order Date]],"mmmm")</f>
        <v>February</v>
      </c>
    </row>
    <row r="2914" spans="1:12" x14ac:dyDescent="0.3">
      <c r="A2914" s="1">
        <v>41432</v>
      </c>
      <c r="B2914" s="1">
        <v>41438</v>
      </c>
      <c r="C2914" t="s">
        <v>968</v>
      </c>
      <c r="D2914" t="s">
        <v>8</v>
      </c>
      <c r="E2914" t="s">
        <v>475</v>
      </c>
      <c r="F2914">
        <v>22.05</v>
      </c>
      <c r="G2914">
        <v>7</v>
      </c>
      <c r="H2914">
        <v>10.584</v>
      </c>
      <c r="I2914">
        <v>6</v>
      </c>
      <c r="J2914">
        <v>2013</v>
      </c>
      <c r="K2914" t="s">
        <v>2206</v>
      </c>
      <c r="L2914" t="str">
        <f>TEXT(maintable_2[[#This Row],[Order Date]],"mmmm")</f>
        <v>June</v>
      </c>
    </row>
    <row r="2915" spans="1:12" x14ac:dyDescent="0.3">
      <c r="A2915" s="1">
        <v>41432</v>
      </c>
      <c r="B2915" s="1">
        <v>41438</v>
      </c>
      <c r="C2915" t="s">
        <v>968</v>
      </c>
      <c r="D2915" t="s">
        <v>44</v>
      </c>
      <c r="E2915" t="s">
        <v>2128</v>
      </c>
      <c r="F2915">
        <v>99.9</v>
      </c>
      <c r="G2915">
        <v>5</v>
      </c>
      <c r="H2915">
        <v>46.953000000000003</v>
      </c>
      <c r="I2915">
        <v>6</v>
      </c>
      <c r="J2915">
        <v>2013</v>
      </c>
      <c r="K2915" t="s">
        <v>2206</v>
      </c>
      <c r="L2915" t="str">
        <f>TEXT(maintable_2[[#This Row],[Order Date]],"mmmm")</f>
        <v>June</v>
      </c>
    </row>
    <row r="2916" spans="1:12" x14ac:dyDescent="0.3">
      <c r="A2916" s="1">
        <v>41717</v>
      </c>
      <c r="B2916" s="1">
        <v>41719</v>
      </c>
      <c r="C2916" t="s">
        <v>2129</v>
      </c>
      <c r="D2916" t="s">
        <v>19</v>
      </c>
      <c r="E2916" t="s">
        <v>296</v>
      </c>
      <c r="F2916">
        <v>90.86</v>
      </c>
      <c r="G2916">
        <v>7</v>
      </c>
      <c r="H2916">
        <v>26.349399999999999</v>
      </c>
      <c r="I2916">
        <v>2</v>
      </c>
      <c r="J2916">
        <v>2014</v>
      </c>
      <c r="K2916" t="s">
        <v>2208</v>
      </c>
      <c r="L2916" t="str">
        <f>TEXT(maintable_2[[#This Row],[Order Date]],"mmmm")</f>
        <v>March</v>
      </c>
    </row>
    <row r="2917" spans="1:12" x14ac:dyDescent="0.3">
      <c r="A2917" s="1">
        <v>41968</v>
      </c>
      <c r="B2917" s="1">
        <v>41968</v>
      </c>
      <c r="C2917" t="s">
        <v>1208</v>
      </c>
      <c r="D2917" t="s">
        <v>44</v>
      </c>
      <c r="E2917" t="s">
        <v>1180</v>
      </c>
      <c r="F2917">
        <v>7.78</v>
      </c>
      <c r="G2917">
        <v>1</v>
      </c>
      <c r="H2917">
        <v>3.5009999999999999</v>
      </c>
      <c r="I2917">
        <v>0</v>
      </c>
      <c r="J2917">
        <v>2014</v>
      </c>
      <c r="K2917" t="s">
        <v>2209</v>
      </c>
      <c r="L2917" t="str">
        <f>TEXT(maintable_2[[#This Row],[Order Date]],"mmmm")</f>
        <v>November</v>
      </c>
    </row>
    <row r="2918" spans="1:12" x14ac:dyDescent="0.3">
      <c r="A2918" s="1">
        <v>41241</v>
      </c>
      <c r="B2918" s="1">
        <v>41246</v>
      </c>
      <c r="C2918" t="s">
        <v>1397</v>
      </c>
      <c r="D2918" t="s">
        <v>13</v>
      </c>
      <c r="E2918" t="s">
        <v>1462</v>
      </c>
      <c r="F2918">
        <v>8.2799999999999994</v>
      </c>
      <c r="G2918">
        <v>2</v>
      </c>
      <c r="H2918">
        <v>3.4775999999999998</v>
      </c>
      <c r="I2918">
        <v>5</v>
      </c>
      <c r="J2918">
        <v>2012</v>
      </c>
      <c r="K2918" t="s">
        <v>2209</v>
      </c>
      <c r="L2918" t="str">
        <f>TEXT(maintable_2[[#This Row],[Order Date]],"mmmm")</f>
        <v>November</v>
      </c>
    </row>
    <row r="2919" spans="1:12" x14ac:dyDescent="0.3">
      <c r="A2919" s="1">
        <v>41887</v>
      </c>
      <c r="B2919" s="1">
        <v>41888</v>
      </c>
      <c r="C2919" t="s">
        <v>1141</v>
      </c>
      <c r="D2919" t="s">
        <v>17</v>
      </c>
      <c r="E2919" t="s">
        <v>416</v>
      </c>
      <c r="F2919">
        <v>88.073999999999998</v>
      </c>
      <c r="G2919">
        <v>7</v>
      </c>
      <c r="H2919">
        <v>-58.716000000000001</v>
      </c>
      <c r="I2919">
        <v>1</v>
      </c>
      <c r="J2919">
        <v>2014</v>
      </c>
      <c r="K2919" t="s">
        <v>2209</v>
      </c>
      <c r="L2919" t="str">
        <f>TEXT(maintable_2[[#This Row],[Order Date]],"mmmm")</f>
        <v>September</v>
      </c>
    </row>
    <row r="2920" spans="1:12" x14ac:dyDescent="0.3">
      <c r="A2920" s="1">
        <v>41152</v>
      </c>
      <c r="B2920" s="1">
        <v>41156</v>
      </c>
      <c r="C2920" t="s">
        <v>892</v>
      </c>
      <c r="D2920" t="s">
        <v>15</v>
      </c>
      <c r="E2920" t="s">
        <v>512</v>
      </c>
      <c r="F2920">
        <v>555.96</v>
      </c>
      <c r="G2920">
        <v>5</v>
      </c>
      <c r="H2920">
        <v>41.697000000000003</v>
      </c>
      <c r="I2920">
        <v>4</v>
      </c>
      <c r="J2920">
        <v>2012</v>
      </c>
      <c r="K2920" t="s">
        <v>2206</v>
      </c>
      <c r="L2920" t="str">
        <f>TEXT(maintable_2[[#This Row],[Order Date]],"mmmm")</f>
        <v>August</v>
      </c>
    </row>
    <row r="2921" spans="1:12" x14ac:dyDescent="0.3">
      <c r="A2921" s="1">
        <v>41913</v>
      </c>
      <c r="B2921" s="1">
        <v>41915</v>
      </c>
      <c r="C2921" t="s">
        <v>510</v>
      </c>
      <c r="D2921" t="s">
        <v>37</v>
      </c>
      <c r="E2921" t="s">
        <v>2130</v>
      </c>
      <c r="F2921">
        <v>159.97999999999999</v>
      </c>
      <c r="G2921">
        <v>2</v>
      </c>
      <c r="H2921">
        <v>47.994</v>
      </c>
      <c r="I2921">
        <v>2</v>
      </c>
      <c r="J2921">
        <v>2014</v>
      </c>
      <c r="K2921" t="s">
        <v>2209</v>
      </c>
      <c r="L2921" t="str">
        <f>TEXT(maintable_2[[#This Row],[Order Date]],"mmmm")</f>
        <v>October</v>
      </c>
    </row>
    <row r="2922" spans="1:12" x14ac:dyDescent="0.3">
      <c r="A2922" s="1">
        <v>41780</v>
      </c>
      <c r="B2922" s="1">
        <v>41786</v>
      </c>
      <c r="C2922" t="s">
        <v>666</v>
      </c>
      <c r="D2922" t="s">
        <v>17</v>
      </c>
      <c r="E2922" t="s">
        <v>1565</v>
      </c>
      <c r="F2922">
        <v>8.2880000000000003</v>
      </c>
      <c r="G2922">
        <v>2</v>
      </c>
      <c r="H2922">
        <v>3.0044</v>
      </c>
      <c r="I2922">
        <v>6</v>
      </c>
      <c r="J2922">
        <v>2014</v>
      </c>
      <c r="K2922" t="s">
        <v>2208</v>
      </c>
      <c r="L2922" t="str">
        <f>TEXT(maintable_2[[#This Row],[Order Date]],"mmmm")</f>
        <v>May</v>
      </c>
    </row>
    <row r="2923" spans="1:12" x14ac:dyDescent="0.3">
      <c r="A2923" s="1">
        <v>41780</v>
      </c>
      <c r="B2923" s="1">
        <v>41786</v>
      </c>
      <c r="C2923" t="s">
        <v>666</v>
      </c>
      <c r="D2923" t="s">
        <v>15</v>
      </c>
      <c r="E2923" t="s">
        <v>1927</v>
      </c>
      <c r="F2923">
        <v>1123.1279999999999</v>
      </c>
      <c r="G2923">
        <v>9</v>
      </c>
      <c r="H2923">
        <v>70.195499999999996</v>
      </c>
      <c r="I2923">
        <v>6</v>
      </c>
      <c r="J2923">
        <v>2014</v>
      </c>
      <c r="K2923" t="s">
        <v>2208</v>
      </c>
      <c r="L2923" t="str">
        <f>TEXT(maintable_2[[#This Row],[Order Date]],"mmmm")</f>
        <v>May</v>
      </c>
    </row>
    <row r="2924" spans="1:12" x14ac:dyDescent="0.3">
      <c r="A2924" s="1">
        <v>41780</v>
      </c>
      <c r="B2924" s="1">
        <v>41786</v>
      </c>
      <c r="C2924" t="s">
        <v>666</v>
      </c>
      <c r="D2924" t="s">
        <v>19</v>
      </c>
      <c r="E2924" t="s">
        <v>296</v>
      </c>
      <c r="F2924">
        <v>64.900000000000006</v>
      </c>
      <c r="G2924">
        <v>5</v>
      </c>
      <c r="H2924">
        <v>18.821000000000002</v>
      </c>
      <c r="I2924">
        <v>6</v>
      </c>
      <c r="J2924">
        <v>2014</v>
      </c>
      <c r="K2924" t="s">
        <v>2208</v>
      </c>
      <c r="L2924" t="str">
        <f>TEXT(maintable_2[[#This Row],[Order Date]],"mmmm")</f>
        <v>May</v>
      </c>
    </row>
    <row r="2925" spans="1:12" x14ac:dyDescent="0.3">
      <c r="A2925" s="1">
        <v>41176</v>
      </c>
      <c r="B2925" s="1">
        <v>41181</v>
      </c>
      <c r="C2925" t="s">
        <v>41</v>
      </c>
      <c r="D2925" t="s">
        <v>13</v>
      </c>
      <c r="E2925" t="s">
        <v>1312</v>
      </c>
      <c r="F2925">
        <v>14.576000000000001</v>
      </c>
      <c r="G2925">
        <v>2</v>
      </c>
      <c r="H2925">
        <v>2.3685999999999998</v>
      </c>
      <c r="I2925">
        <v>5</v>
      </c>
      <c r="J2925">
        <v>2012</v>
      </c>
      <c r="K2925" t="s">
        <v>2209</v>
      </c>
      <c r="L2925" t="str">
        <f>TEXT(maintable_2[[#This Row],[Order Date]],"mmmm")</f>
        <v>September</v>
      </c>
    </row>
    <row r="2926" spans="1:12" x14ac:dyDescent="0.3">
      <c r="A2926" s="1">
        <v>41176</v>
      </c>
      <c r="B2926" s="1">
        <v>41181</v>
      </c>
      <c r="C2926" t="s">
        <v>41</v>
      </c>
      <c r="D2926" t="s">
        <v>37</v>
      </c>
      <c r="E2926" t="s">
        <v>1250</v>
      </c>
      <c r="F2926">
        <v>23.2</v>
      </c>
      <c r="G2926">
        <v>2</v>
      </c>
      <c r="H2926">
        <v>1.45</v>
      </c>
      <c r="I2926">
        <v>5</v>
      </c>
      <c r="J2926">
        <v>2012</v>
      </c>
      <c r="K2926" t="s">
        <v>2209</v>
      </c>
      <c r="L2926" t="str">
        <f>TEXT(maintable_2[[#This Row],[Order Date]],"mmmm")</f>
        <v>September</v>
      </c>
    </row>
    <row r="2927" spans="1:12" x14ac:dyDescent="0.3">
      <c r="A2927" s="1">
        <v>41176</v>
      </c>
      <c r="B2927" s="1">
        <v>41181</v>
      </c>
      <c r="C2927" t="s">
        <v>41</v>
      </c>
      <c r="D2927" t="s">
        <v>13</v>
      </c>
      <c r="E2927" t="s">
        <v>250</v>
      </c>
      <c r="F2927">
        <v>16.463999999999999</v>
      </c>
      <c r="G2927">
        <v>7</v>
      </c>
      <c r="H2927">
        <v>1.8522000000000001</v>
      </c>
      <c r="I2927">
        <v>5</v>
      </c>
      <c r="J2927">
        <v>2012</v>
      </c>
      <c r="K2927" t="s">
        <v>2209</v>
      </c>
      <c r="L2927" t="str">
        <f>TEXT(maintable_2[[#This Row],[Order Date]],"mmmm")</f>
        <v>September</v>
      </c>
    </row>
    <row r="2928" spans="1:12" x14ac:dyDescent="0.3">
      <c r="A2928" s="1">
        <v>40567</v>
      </c>
      <c r="B2928" s="1">
        <v>40572</v>
      </c>
      <c r="C2928" t="s">
        <v>1892</v>
      </c>
      <c r="D2928" t="s">
        <v>44</v>
      </c>
      <c r="E2928" t="s">
        <v>75</v>
      </c>
      <c r="F2928">
        <v>40.08</v>
      </c>
      <c r="G2928">
        <v>6</v>
      </c>
      <c r="H2928">
        <v>19.238399999999999</v>
      </c>
      <c r="I2928">
        <v>5</v>
      </c>
      <c r="J2928">
        <v>2011</v>
      </c>
      <c r="K2928" t="s">
        <v>2210</v>
      </c>
      <c r="L2928" t="str">
        <f>TEXT(maintable_2[[#This Row],[Order Date]],"mmmm")</f>
        <v>January</v>
      </c>
    </row>
    <row r="2929" spans="1:12" x14ac:dyDescent="0.3">
      <c r="A2929" s="1">
        <v>41450</v>
      </c>
      <c r="B2929" s="1">
        <v>41452</v>
      </c>
      <c r="C2929" t="s">
        <v>106</v>
      </c>
      <c r="D2929" t="s">
        <v>494</v>
      </c>
      <c r="E2929" t="s">
        <v>2058</v>
      </c>
      <c r="F2929">
        <v>4476.8</v>
      </c>
      <c r="G2929">
        <v>4</v>
      </c>
      <c r="H2929">
        <v>503.64</v>
      </c>
      <c r="I2929">
        <v>2</v>
      </c>
      <c r="J2929">
        <v>2013</v>
      </c>
      <c r="K2929" t="s">
        <v>2206</v>
      </c>
      <c r="L2929" t="str">
        <f>TEXT(maintable_2[[#This Row],[Order Date]],"mmmm")</f>
        <v>June</v>
      </c>
    </row>
    <row r="2930" spans="1:12" x14ac:dyDescent="0.3">
      <c r="A2930" s="1">
        <v>41450</v>
      </c>
      <c r="B2930" s="1">
        <v>41452</v>
      </c>
      <c r="C2930" t="s">
        <v>106</v>
      </c>
      <c r="D2930" t="s">
        <v>44</v>
      </c>
      <c r="E2930" t="s">
        <v>1772</v>
      </c>
      <c r="F2930">
        <v>104.85</v>
      </c>
      <c r="G2930">
        <v>1</v>
      </c>
      <c r="H2930">
        <v>50.328000000000003</v>
      </c>
      <c r="I2930">
        <v>2</v>
      </c>
      <c r="J2930">
        <v>2013</v>
      </c>
      <c r="K2930" t="s">
        <v>2206</v>
      </c>
      <c r="L2930" t="str">
        <f>TEXT(maintable_2[[#This Row],[Order Date]],"mmmm")</f>
        <v>June</v>
      </c>
    </row>
    <row r="2931" spans="1:12" x14ac:dyDescent="0.3">
      <c r="A2931" s="1">
        <v>41450</v>
      </c>
      <c r="B2931" s="1">
        <v>41452</v>
      </c>
      <c r="C2931" t="s">
        <v>106</v>
      </c>
      <c r="D2931" t="s">
        <v>19</v>
      </c>
      <c r="E2931" t="s">
        <v>1198</v>
      </c>
      <c r="F2931">
        <v>241.44</v>
      </c>
      <c r="G2931">
        <v>3</v>
      </c>
      <c r="H2931">
        <v>72.432000000000002</v>
      </c>
      <c r="I2931">
        <v>2</v>
      </c>
      <c r="J2931">
        <v>2013</v>
      </c>
      <c r="K2931" t="s">
        <v>2206</v>
      </c>
      <c r="L2931" t="str">
        <f>TEXT(maintable_2[[#This Row],[Order Date]],"mmmm")</f>
        <v>June</v>
      </c>
    </row>
    <row r="2932" spans="1:12" x14ac:dyDescent="0.3">
      <c r="A2932" s="1">
        <v>41610</v>
      </c>
      <c r="B2932" s="1">
        <v>41610</v>
      </c>
      <c r="C2932" t="s">
        <v>1986</v>
      </c>
      <c r="D2932" t="s">
        <v>11</v>
      </c>
      <c r="E2932" t="s">
        <v>261</v>
      </c>
      <c r="F2932">
        <v>31.96</v>
      </c>
      <c r="G2932">
        <v>2</v>
      </c>
      <c r="H2932">
        <v>1.5980000000000001</v>
      </c>
      <c r="I2932">
        <v>0</v>
      </c>
      <c r="J2932">
        <v>2013</v>
      </c>
      <c r="K2932" t="s">
        <v>2207</v>
      </c>
      <c r="L2932" t="str">
        <f>TEXT(maintable_2[[#This Row],[Order Date]],"mmmm")</f>
        <v>December</v>
      </c>
    </row>
    <row r="2933" spans="1:12" x14ac:dyDescent="0.3">
      <c r="A2933" s="1">
        <v>41610</v>
      </c>
      <c r="B2933" s="1">
        <v>41610</v>
      </c>
      <c r="C2933" t="s">
        <v>1986</v>
      </c>
      <c r="D2933" t="s">
        <v>44</v>
      </c>
      <c r="E2933" t="s">
        <v>2131</v>
      </c>
      <c r="F2933">
        <v>47.9</v>
      </c>
      <c r="G2933">
        <v>1</v>
      </c>
      <c r="H2933">
        <v>22.992000000000001</v>
      </c>
      <c r="I2933">
        <v>0</v>
      </c>
      <c r="J2933">
        <v>2013</v>
      </c>
      <c r="K2933" t="s">
        <v>2207</v>
      </c>
      <c r="L2933" t="str">
        <f>TEXT(maintable_2[[#This Row],[Order Date]],"mmmm")</f>
        <v>December</v>
      </c>
    </row>
    <row r="2934" spans="1:12" x14ac:dyDescent="0.3">
      <c r="A2934" s="1">
        <v>41610</v>
      </c>
      <c r="B2934" s="1">
        <v>41610</v>
      </c>
      <c r="C2934" t="s">
        <v>1986</v>
      </c>
      <c r="D2934" t="s">
        <v>27</v>
      </c>
      <c r="E2934" t="s">
        <v>517</v>
      </c>
      <c r="F2934">
        <v>1112.94</v>
      </c>
      <c r="G2934">
        <v>3</v>
      </c>
      <c r="H2934">
        <v>222.58799999999999</v>
      </c>
      <c r="I2934">
        <v>0</v>
      </c>
      <c r="J2934">
        <v>2013</v>
      </c>
      <c r="K2934" t="s">
        <v>2207</v>
      </c>
      <c r="L2934" t="str">
        <f>TEXT(maintable_2[[#This Row],[Order Date]],"mmmm")</f>
        <v>December</v>
      </c>
    </row>
    <row r="2935" spans="1:12" x14ac:dyDescent="0.3">
      <c r="A2935" s="1">
        <v>41610</v>
      </c>
      <c r="B2935" s="1">
        <v>41610</v>
      </c>
      <c r="C2935" t="s">
        <v>1986</v>
      </c>
      <c r="D2935" t="s">
        <v>86</v>
      </c>
      <c r="E2935" t="s">
        <v>521</v>
      </c>
      <c r="F2935">
        <v>22.92</v>
      </c>
      <c r="G2935">
        <v>3</v>
      </c>
      <c r="H2935">
        <v>11.2308</v>
      </c>
      <c r="I2935">
        <v>0</v>
      </c>
      <c r="J2935">
        <v>2013</v>
      </c>
      <c r="K2935" t="s">
        <v>2207</v>
      </c>
      <c r="L2935" t="str">
        <f>TEXT(maintable_2[[#This Row],[Order Date]],"mmmm")</f>
        <v>December</v>
      </c>
    </row>
    <row r="2936" spans="1:12" x14ac:dyDescent="0.3">
      <c r="A2936" s="1">
        <v>41803</v>
      </c>
      <c r="B2936" s="1">
        <v>41805</v>
      </c>
      <c r="C2936" t="s">
        <v>2059</v>
      </c>
      <c r="D2936" t="s">
        <v>15</v>
      </c>
      <c r="E2936" t="s">
        <v>1757</v>
      </c>
      <c r="F2936">
        <v>71.975999999999999</v>
      </c>
      <c r="G2936">
        <v>3</v>
      </c>
      <c r="H2936">
        <v>8.9969999999999999</v>
      </c>
      <c r="I2936">
        <v>2</v>
      </c>
      <c r="J2936">
        <v>2014</v>
      </c>
      <c r="K2936" t="s">
        <v>2206</v>
      </c>
      <c r="L2936" t="str">
        <f>TEXT(maintable_2[[#This Row],[Order Date]],"mmmm")</f>
        <v>June</v>
      </c>
    </row>
    <row r="2937" spans="1:12" x14ac:dyDescent="0.3">
      <c r="A2937" s="1">
        <v>41803</v>
      </c>
      <c r="B2937" s="1">
        <v>41805</v>
      </c>
      <c r="C2937" t="s">
        <v>2059</v>
      </c>
      <c r="D2937" t="s">
        <v>44</v>
      </c>
      <c r="E2937" t="s">
        <v>1743</v>
      </c>
      <c r="F2937">
        <v>19.440000000000001</v>
      </c>
      <c r="G2937">
        <v>3</v>
      </c>
      <c r="H2937">
        <v>9.3312000000000008</v>
      </c>
      <c r="I2937">
        <v>2</v>
      </c>
      <c r="J2937">
        <v>2014</v>
      </c>
      <c r="K2937" t="s">
        <v>2206</v>
      </c>
      <c r="L2937" t="str">
        <f>TEXT(maintable_2[[#This Row],[Order Date]],"mmmm")</f>
        <v>June</v>
      </c>
    </row>
    <row r="2938" spans="1:12" x14ac:dyDescent="0.3">
      <c r="A2938" s="1">
        <v>41859</v>
      </c>
      <c r="B2938" s="1">
        <v>41863</v>
      </c>
      <c r="C2938" t="s">
        <v>2132</v>
      </c>
      <c r="D2938" t="s">
        <v>15</v>
      </c>
      <c r="E2938" t="s">
        <v>1934</v>
      </c>
      <c r="F2938">
        <v>707.88</v>
      </c>
      <c r="G2938">
        <v>3</v>
      </c>
      <c r="H2938">
        <v>44.2425</v>
      </c>
      <c r="I2938">
        <v>4</v>
      </c>
      <c r="J2938">
        <v>2014</v>
      </c>
      <c r="K2938" t="s">
        <v>2206</v>
      </c>
      <c r="L2938" t="str">
        <f>TEXT(maintable_2[[#This Row],[Order Date]],"mmmm")</f>
        <v>August</v>
      </c>
    </row>
    <row r="2939" spans="1:12" x14ac:dyDescent="0.3">
      <c r="A2939" s="1">
        <v>41859</v>
      </c>
      <c r="B2939" s="1">
        <v>41863</v>
      </c>
      <c r="C2939" t="s">
        <v>2132</v>
      </c>
      <c r="D2939" t="s">
        <v>17</v>
      </c>
      <c r="E2939" t="s">
        <v>335</v>
      </c>
      <c r="F2939">
        <v>11.952</v>
      </c>
      <c r="G2939">
        <v>3</v>
      </c>
      <c r="H2939">
        <v>4.1832000000000003</v>
      </c>
      <c r="I2939">
        <v>4</v>
      </c>
      <c r="J2939">
        <v>2014</v>
      </c>
      <c r="K2939" t="s">
        <v>2206</v>
      </c>
      <c r="L2939" t="str">
        <f>TEXT(maintable_2[[#This Row],[Order Date]],"mmmm")</f>
        <v>August</v>
      </c>
    </row>
    <row r="2940" spans="1:12" x14ac:dyDescent="0.3">
      <c r="A2940" s="1">
        <v>41859</v>
      </c>
      <c r="B2940" s="1">
        <v>41863</v>
      </c>
      <c r="C2940" t="s">
        <v>2132</v>
      </c>
      <c r="D2940" t="s">
        <v>17</v>
      </c>
      <c r="E2940" t="s">
        <v>2133</v>
      </c>
      <c r="F2940">
        <v>31.128</v>
      </c>
      <c r="G2940">
        <v>3</v>
      </c>
      <c r="H2940">
        <v>11.673</v>
      </c>
      <c r="I2940">
        <v>4</v>
      </c>
      <c r="J2940">
        <v>2014</v>
      </c>
      <c r="K2940" t="s">
        <v>2206</v>
      </c>
      <c r="L2940" t="str">
        <f>TEXT(maintable_2[[#This Row],[Order Date]],"mmmm")</f>
        <v>August</v>
      </c>
    </row>
    <row r="2941" spans="1:12" x14ac:dyDescent="0.3">
      <c r="A2941" s="1">
        <v>41859</v>
      </c>
      <c r="B2941" s="1">
        <v>41863</v>
      </c>
      <c r="C2941" t="s">
        <v>2132</v>
      </c>
      <c r="D2941" t="s">
        <v>37</v>
      </c>
      <c r="E2941" t="s">
        <v>1898</v>
      </c>
      <c r="F2941">
        <v>55.76</v>
      </c>
      <c r="G2941">
        <v>4</v>
      </c>
      <c r="H2941">
        <v>7.8064</v>
      </c>
      <c r="I2941">
        <v>4</v>
      </c>
      <c r="J2941">
        <v>2014</v>
      </c>
      <c r="K2941" t="s">
        <v>2206</v>
      </c>
      <c r="L2941" t="str">
        <f>TEXT(maintable_2[[#This Row],[Order Date]],"mmmm")</f>
        <v>August</v>
      </c>
    </row>
    <row r="2942" spans="1:12" x14ac:dyDescent="0.3">
      <c r="A2942" s="1">
        <v>41859</v>
      </c>
      <c r="B2942" s="1">
        <v>41863</v>
      </c>
      <c r="C2942" t="s">
        <v>2132</v>
      </c>
      <c r="D2942" t="s">
        <v>44</v>
      </c>
      <c r="E2942" t="s">
        <v>465</v>
      </c>
      <c r="F2942">
        <v>24.56</v>
      </c>
      <c r="G2942">
        <v>2</v>
      </c>
      <c r="H2942">
        <v>11.543200000000001</v>
      </c>
      <c r="I2942">
        <v>4</v>
      </c>
      <c r="J2942">
        <v>2014</v>
      </c>
      <c r="K2942" t="s">
        <v>2206</v>
      </c>
      <c r="L2942" t="str">
        <f>TEXT(maintable_2[[#This Row],[Order Date]],"mmmm")</f>
        <v>August</v>
      </c>
    </row>
    <row r="2943" spans="1:12" x14ac:dyDescent="0.3">
      <c r="A2943" s="1">
        <v>41859</v>
      </c>
      <c r="B2943" s="1">
        <v>41863</v>
      </c>
      <c r="C2943" t="s">
        <v>2132</v>
      </c>
      <c r="D2943" t="s">
        <v>11</v>
      </c>
      <c r="E2943" t="s">
        <v>446</v>
      </c>
      <c r="F2943">
        <v>51.75</v>
      </c>
      <c r="G2943">
        <v>1</v>
      </c>
      <c r="H2943">
        <v>15.525</v>
      </c>
      <c r="I2943">
        <v>4</v>
      </c>
      <c r="J2943">
        <v>2014</v>
      </c>
      <c r="K2943" t="s">
        <v>2206</v>
      </c>
      <c r="L2943" t="str">
        <f>TEXT(maintable_2[[#This Row],[Order Date]],"mmmm")</f>
        <v>August</v>
      </c>
    </row>
    <row r="2944" spans="1:12" x14ac:dyDescent="0.3">
      <c r="A2944" s="1">
        <v>41859</v>
      </c>
      <c r="B2944" s="1">
        <v>41863</v>
      </c>
      <c r="C2944" t="s">
        <v>2132</v>
      </c>
      <c r="D2944" t="s">
        <v>71</v>
      </c>
      <c r="E2944" t="s">
        <v>2134</v>
      </c>
      <c r="F2944">
        <v>207.184</v>
      </c>
      <c r="G2944">
        <v>1</v>
      </c>
      <c r="H2944">
        <v>25.898</v>
      </c>
      <c r="I2944">
        <v>4</v>
      </c>
      <c r="J2944">
        <v>2014</v>
      </c>
      <c r="K2944" t="s">
        <v>2206</v>
      </c>
      <c r="L2944" t="str">
        <f>TEXT(maintable_2[[#This Row],[Order Date]],"mmmm")</f>
        <v>August</v>
      </c>
    </row>
    <row r="2945" spans="1:12" x14ac:dyDescent="0.3">
      <c r="A2945" s="1">
        <v>41859</v>
      </c>
      <c r="B2945" s="1">
        <v>41863</v>
      </c>
      <c r="C2945" t="s">
        <v>2132</v>
      </c>
      <c r="D2945" t="s">
        <v>19</v>
      </c>
      <c r="E2945" t="s">
        <v>2135</v>
      </c>
      <c r="F2945">
        <v>1473.1</v>
      </c>
      <c r="G2945">
        <v>5</v>
      </c>
      <c r="H2945">
        <v>412.46800000000002</v>
      </c>
      <c r="I2945">
        <v>4</v>
      </c>
      <c r="J2945">
        <v>2014</v>
      </c>
      <c r="K2945" t="s">
        <v>2206</v>
      </c>
      <c r="L2945" t="str">
        <f>TEXT(maintable_2[[#This Row],[Order Date]],"mmmm")</f>
        <v>August</v>
      </c>
    </row>
    <row r="2946" spans="1:12" x14ac:dyDescent="0.3">
      <c r="A2946" s="1">
        <v>40877</v>
      </c>
      <c r="B2946" s="1">
        <v>40883</v>
      </c>
      <c r="C2946" t="s">
        <v>203</v>
      </c>
      <c r="D2946" t="s">
        <v>81</v>
      </c>
      <c r="E2946" t="s">
        <v>1579</v>
      </c>
      <c r="F2946">
        <v>47.991999999999997</v>
      </c>
      <c r="G2946">
        <v>7</v>
      </c>
      <c r="H2946">
        <v>3.5994000000000002</v>
      </c>
      <c r="I2946">
        <v>6</v>
      </c>
      <c r="J2946">
        <v>2011</v>
      </c>
      <c r="K2946" t="s">
        <v>2209</v>
      </c>
      <c r="L2946" t="str">
        <f>TEXT(maintable_2[[#This Row],[Order Date]],"mmmm")</f>
        <v>November</v>
      </c>
    </row>
    <row r="2947" spans="1:12" x14ac:dyDescent="0.3">
      <c r="A2947" s="1">
        <v>40877</v>
      </c>
      <c r="B2947" s="1">
        <v>40883</v>
      </c>
      <c r="C2947" t="s">
        <v>203</v>
      </c>
      <c r="D2947" t="s">
        <v>37</v>
      </c>
      <c r="E2947" t="s">
        <v>2136</v>
      </c>
      <c r="F2947">
        <v>102.24</v>
      </c>
      <c r="G2947">
        <v>4</v>
      </c>
      <c r="H2947">
        <v>-16.614000000000001</v>
      </c>
      <c r="I2947">
        <v>6</v>
      </c>
      <c r="J2947">
        <v>2011</v>
      </c>
      <c r="K2947" t="s">
        <v>2209</v>
      </c>
      <c r="L2947" t="str">
        <f>TEXT(maintable_2[[#This Row],[Order Date]],"mmmm")</f>
        <v>November</v>
      </c>
    </row>
    <row r="2948" spans="1:12" x14ac:dyDescent="0.3">
      <c r="A2948" s="1">
        <v>40673</v>
      </c>
      <c r="B2948" s="1">
        <v>40678</v>
      </c>
      <c r="C2948" t="s">
        <v>524</v>
      </c>
      <c r="D2948" t="s">
        <v>44</v>
      </c>
      <c r="E2948" t="s">
        <v>1832</v>
      </c>
      <c r="F2948">
        <v>39.96</v>
      </c>
      <c r="G2948">
        <v>2</v>
      </c>
      <c r="H2948">
        <v>19.180800000000001</v>
      </c>
      <c r="I2948">
        <v>5</v>
      </c>
      <c r="J2948">
        <v>2011</v>
      </c>
      <c r="K2948" t="s">
        <v>2208</v>
      </c>
      <c r="L2948" t="str">
        <f>TEXT(maintable_2[[#This Row],[Order Date]],"mmmm")</f>
        <v>May</v>
      </c>
    </row>
    <row r="2949" spans="1:12" x14ac:dyDescent="0.3">
      <c r="A2949" s="1">
        <v>40673</v>
      </c>
      <c r="B2949" s="1">
        <v>40678</v>
      </c>
      <c r="C2949" t="s">
        <v>524</v>
      </c>
      <c r="D2949" t="s">
        <v>15</v>
      </c>
      <c r="E2949" t="s">
        <v>885</v>
      </c>
      <c r="F2949">
        <v>1432</v>
      </c>
      <c r="G2949">
        <v>5</v>
      </c>
      <c r="H2949">
        <v>125.3</v>
      </c>
      <c r="I2949">
        <v>5</v>
      </c>
      <c r="J2949">
        <v>2011</v>
      </c>
      <c r="K2949" t="s">
        <v>2208</v>
      </c>
      <c r="L2949" t="str">
        <f>TEXT(maintable_2[[#This Row],[Order Date]],"mmmm")</f>
        <v>May</v>
      </c>
    </row>
    <row r="2950" spans="1:12" x14ac:dyDescent="0.3">
      <c r="A2950" s="1">
        <v>40673</v>
      </c>
      <c r="B2950" s="1">
        <v>40678</v>
      </c>
      <c r="C2950" t="s">
        <v>524</v>
      </c>
      <c r="D2950" t="s">
        <v>81</v>
      </c>
      <c r="E2950" t="s">
        <v>1618</v>
      </c>
      <c r="F2950">
        <v>41.04</v>
      </c>
      <c r="G2950">
        <v>6</v>
      </c>
      <c r="H2950">
        <v>11.0808</v>
      </c>
      <c r="I2950">
        <v>5</v>
      </c>
      <c r="J2950">
        <v>2011</v>
      </c>
      <c r="K2950" t="s">
        <v>2208</v>
      </c>
      <c r="L2950" t="str">
        <f>TEXT(maintable_2[[#This Row],[Order Date]],"mmmm")</f>
        <v>May</v>
      </c>
    </row>
    <row r="2951" spans="1:12" x14ac:dyDescent="0.3">
      <c r="A2951" s="1">
        <v>40673</v>
      </c>
      <c r="B2951" s="1">
        <v>40678</v>
      </c>
      <c r="C2951" t="s">
        <v>524</v>
      </c>
      <c r="D2951" t="s">
        <v>71</v>
      </c>
      <c r="E2951" t="s">
        <v>1144</v>
      </c>
      <c r="F2951">
        <v>256.78399999999999</v>
      </c>
      <c r="G2951">
        <v>1</v>
      </c>
      <c r="H2951">
        <v>32.097999999999999</v>
      </c>
      <c r="I2951">
        <v>5</v>
      </c>
      <c r="J2951">
        <v>2011</v>
      </c>
      <c r="K2951" t="s">
        <v>2208</v>
      </c>
      <c r="L2951" t="str">
        <f>TEXT(maintable_2[[#This Row],[Order Date]],"mmmm")</f>
        <v>May</v>
      </c>
    </row>
    <row r="2952" spans="1:12" x14ac:dyDescent="0.3">
      <c r="A2952" s="1">
        <v>41610</v>
      </c>
      <c r="B2952" s="1">
        <v>41614</v>
      </c>
      <c r="C2952" t="s">
        <v>690</v>
      </c>
      <c r="D2952" t="s">
        <v>13</v>
      </c>
      <c r="E2952" t="s">
        <v>77</v>
      </c>
      <c r="F2952">
        <v>23.04</v>
      </c>
      <c r="G2952">
        <v>8</v>
      </c>
      <c r="H2952">
        <v>6.9119999999999999</v>
      </c>
      <c r="I2952">
        <v>4</v>
      </c>
      <c r="J2952">
        <v>2013</v>
      </c>
      <c r="K2952" t="s">
        <v>2207</v>
      </c>
      <c r="L2952" t="str">
        <f>TEXT(maintable_2[[#This Row],[Order Date]],"mmmm")</f>
        <v>December</v>
      </c>
    </row>
    <row r="2953" spans="1:12" x14ac:dyDescent="0.3">
      <c r="A2953" s="1">
        <v>41855</v>
      </c>
      <c r="B2953" s="1">
        <v>41860</v>
      </c>
      <c r="C2953" t="s">
        <v>1905</v>
      </c>
      <c r="D2953" t="s">
        <v>27</v>
      </c>
      <c r="E2953" t="s">
        <v>817</v>
      </c>
      <c r="F2953">
        <v>16.059999999999999</v>
      </c>
      <c r="G2953">
        <v>1</v>
      </c>
      <c r="H2953">
        <v>4.1756000000000002</v>
      </c>
      <c r="I2953">
        <v>5</v>
      </c>
      <c r="J2953">
        <v>2014</v>
      </c>
      <c r="K2953" t="s">
        <v>2206</v>
      </c>
      <c r="L2953" t="str">
        <f>TEXT(maintable_2[[#This Row],[Order Date]],"mmmm")</f>
        <v>August</v>
      </c>
    </row>
    <row r="2954" spans="1:12" x14ac:dyDescent="0.3">
      <c r="A2954" s="1">
        <v>40982</v>
      </c>
      <c r="B2954" s="1">
        <v>40987</v>
      </c>
      <c r="C2954" t="s">
        <v>1580</v>
      </c>
      <c r="D2954" t="s">
        <v>44</v>
      </c>
      <c r="E2954" t="s">
        <v>493</v>
      </c>
      <c r="F2954">
        <v>19.440000000000001</v>
      </c>
      <c r="G2954">
        <v>3</v>
      </c>
      <c r="H2954">
        <v>9.3312000000000008</v>
      </c>
      <c r="I2954">
        <v>5</v>
      </c>
      <c r="J2954">
        <v>2012</v>
      </c>
      <c r="K2954" t="s">
        <v>2208</v>
      </c>
      <c r="L2954" t="str">
        <f>TEXT(maintable_2[[#This Row],[Order Date]],"mmmm")</f>
        <v>March</v>
      </c>
    </row>
    <row r="2955" spans="1:12" x14ac:dyDescent="0.3">
      <c r="A2955" s="1">
        <v>40885</v>
      </c>
      <c r="B2955" s="1">
        <v>40892</v>
      </c>
      <c r="C2955" t="s">
        <v>1501</v>
      </c>
      <c r="D2955" t="s">
        <v>11</v>
      </c>
      <c r="E2955" t="s">
        <v>46</v>
      </c>
      <c r="F2955">
        <v>39.880000000000003</v>
      </c>
      <c r="G2955">
        <v>2</v>
      </c>
      <c r="H2955">
        <v>11.166399999999999</v>
      </c>
      <c r="I2955">
        <v>7</v>
      </c>
      <c r="J2955">
        <v>2011</v>
      </c>
      <c r="K2955" t="s">
        <v>2207</v>
      </c>
      <c r="L2955" t="str">
        <f>TEXT(maintable_2[[#This Row],[Order Date]],"mmmm")</f>
        <v>December</v>
      </c>
    </row>
    <row r="2956" spans="1:12" x14ac:dyDescent="0.3">
      <c r="A2956" s="1">
        <v>40885</v>
      </c>
      <c r="B2956" s="1">
        <v>40892</v>
      </c>
      <c r="C2956" t="s">
        <v>1501</v>
      </c>
      <c r="D2956" t="s">
        <v>11</v>
      </c>
      <c r="E2956" t="s">
        <v>960</v>
      </c>
      <c r="F2956">
        <v>79.44</v>
      </c>
      <c r="G2956">
        <v>3</v>
      </c>
      <c r="H2956">
        <v>28.598400000000002</v>
      </c>
      <c r="I2956">
        <v>7</v>
      </c>
      <c r="J2956">
        <v>2011</v>
      </c>
      <c r="K2956" t="s">
        <v>2207</v>
      </c>
      <c r="L2956" t="str">
        <f>TEXT(maintable_2[[#This Row],[Order Date]],"mmmm")</f>
        <v>December</v>
      </c>
    </row>
    <row r="2957" spans="1:12" x14ac:dyDescent="0.3">
      <c r="A2957" s="1">
        <v>41600</v>
      </c>
      <c r="B2957" s="1">
        <v>41605</v>
      </c>
      <c r="C2957" t="s">
        <v>1406</v>
      </c>
      <c r="D2957" t="s">
        <v>44</v>
      </c>
      <c r="E2957" t="s">
        <v>284</v>
      </c>
      <c r="F2957">
        <v>32.4</v>
      </c>
      <c r="G2957">
        <v>5</v>
      </c>
      <c r="H2957">
        <v>15.552</v>
      </c>
      <c r="I2957">
        <v>5</v>
      </c>
      <c r="J2957">
        <v>2013</v>
      </c>
      <c r="K2957" t="s">
        <v>2209</v>
      </c>
      <c r="L2957" t="str">
        <f>TEXT(maintable_2[[#This Row],[Order Date]],"mmmm")</f>
        <v>November</v>
      </c>
    </row>
    <row r="2958" spans="1:12" x14ac:dyDescent="0.3">
      <c r="A2958" s="1">
        <v>41718</v>
      </c>
      <c r="B2958" s="1">
        <v>41723</v>
      </c>
      <c r="C2958" t="s">
        <v>1961</v>
      </c>
      <c r="D2958" t="s">
        <v>19</v>
      </c>
      <c r="E2958" t="s">
        <v>1854</v>
      </c>
      <c r="F2958">
        <v>381.36</v>
      </c>
      <c r="G2958">
        <v>7</v>
      </c>
      <c r="H2958">
        <v>106.7808</v>
      </c>
      <c r="I2958">
        <v>5</v>
      </c>
      <c r="J2958">
        <v>2014</v>
      </c>
      <c r="K2958" t="s">
        <v>2208</v>
      </c>
      <c r="L2958" t="str">
        <f>TEXT(maintable_2[[#This Row],[Order Date]],"mmmm")</f>
        <v>March</v>
      </c>
    </row>
    <row r="2959" spans="1:12" x14ac:dyDescent="0.3">
      <c r="A2959" s="1">
        <v>40850</v>
      </c>
      <c r="B2959" s="1">
        <v>40850</v>
      </c>
      <c r="C2959" t="s">
        <v>1559</v>
      </c>
      <c r="D2959" t="s">
        <v>13</v>
      </c>
      <c r="E2959" t="s">
        <v>630</v>
      </c>
      <c r="F2959">
        <v>6.72</v>
      </c>
      <c r="G2959">
        <v>4</v>
      </c>
      <c r="H2959">
        <v>3.36</v>
      </c>
      <c r="I2959">
        <v>0</v>
      </c>
      <c r="J2959">
        <v>2011</v>
      </c>
      <c r="K2959" t="s">
        <v>2209</v>
      </c>
      <c r="L2959" t="str">
        <f>TEXT(maintable_2[[#This Row],[Order Date]],"mmmm")</f>
        <v>November</v>
      </c>
    </row>
    <row r="2960" spans="1:12" x14ac:dyDescent="0.3">
      <c r="A2960" s="1">
        <v>41844</v>
      </c>
      <c r="B2960" s="1">
        <v>41847</v>
      </c>
      <c r="C2960" t="s">
        <v>143</v>
      </c>
      <c r="D2960" t="s">
        <v>17</v>
      </c>
      <c r="E2960" t="s">
        <v>1258</v>
      </c>
      <c r="F2960">
        <v>15.192</v>
      </c>
      <c r="G2960">
        <v>3</v>
      </c>
      <c r="H2960">
        <v>5.5071000000000003</v>
      </c>
      <c r="I2960">
        <v>3</v>
      </c>
      <c r="J2960">
        <v>2014</v>
      </c>
      <c r="K2960" t="s">
        <v>2206</v>
      </c>
      <c r="L2960" t="str">
        <f>TEXT(maintable_2[[#This Row],[Order Date]],"mmmm")</f>
        <v>July</v>
      </c>
    </row>
    <row r="2961" spans="1:12" x14ac:dyDescent="0.3">
      <c r="A2961" s="1">
        <v>41844</v>
      </c>
      <c r="B2961" s="1">
        <v>41847</v>
      </c>
      <c r="C2961" t="s">
        <v>143</v>
      </c>
      <c r="D2961" t="s">
        <v>44</v>
      </c>
      <c r="E2961" t="s">
        <v>2137</v>
      </c>
      <c r="F2961">
        <v>58.32</v>
      </c>
      <c r="G2961">
        <v>9</v>
      </c>
      <c r="H2961">
        <v>27.993600000000001</v>
      </c>
      <c r="I2961">
        <v>3</v>
      </c>
      <c r="J2961">
        <v>2014</v>
      </c>
      <c r="K2961" t="s">
        <v>2206</v>
      </c>
      <c r="L2961" t="str">
        <f>TEXT(maintable_2[[#This Row],[Order Date]],"mmmm")</f>
        <v>July</v>
      </c>
    </row>
    <row r="2962" spans="1:12" x14ac:dyDescent="0.3">
      <c r="A2962" s="1">
        <v>40904</v>
      </c>
      <c r="B2962" s="1">
        <v>40908</v>
      </c>
      <c r="C2962" t="s">
        <v>2080</v>
      </c>
      <c r="D2962" t="s">
        <v>17</v>
      </c>
      <c r="E2962" t="s">
        <v>1302</v>
      </c>
      <c r="F2962">
        <v>946.76400000000001</v>
      </c>
      <c r="G2962">
        <v>6</v>
      </c>
      <c r="H2962">
        <v>-694.29359999999997</v>
      </c>
      <c r="I2962">
        <v>4</v>
      </c>
      <c r="J2962">
        <v>2011</v>
      </c>
      <c r="K2962" t="s">
        <v>2207</v>
      </c>
      <c r="L2962" t="str">
        <f>TEXT(maintable_2[[#This Row],[Order Date]],"mmmm")</f>
        <v>December</v>
      </c>
    </row>
    <row r="2963" spans="1:12" x14ac:dyDescent="0.3">
      <c r="A2963" s="1">
        <v>41520</v>
      </c>
      <c r="B2963" s="1">
        <v>41524</v>
      </c>
      <c r="C2963" t="s">
        <v>302</v>
      </c>
      <c r="D2963" t="s">
        <v>11</v>
      </c>
      <c r="E2963" t="s">
        <v>767</v>
      </c>
      <c r="F2963">
        <v>94.68</v>
      </c>
      <c r="G2963">
        <v>9</v>
      </c>
      <c r="H2963">
        <v>31.244399999999999</v>
      </c>
      <c r="I2963">
        <v>4</v>
      </c>
      <c r="J2963">
        <v>2013</v>
      </c>
      <c r="K2963" t="s">
        <v>2209</v>
      </c>
      <c r="L2963" t="str">
        <f>TEXT(maintable_2[[#This Row],[Order Date]],"mmmm")</f>
        <v>September</v>
      </c>
    </row>
    <row r="2964" spans="1:12" x14ac:dyDescent="0.3">
      <c r="A2964" s="1">
        <v>41520</v>
      </c>
      <c r="B2964" s="1">
        <v>41524</v>
      </c>
      <c r="C2964" t="s">
        <v>302</v>
      </c>
      <c r="D2964" t="s">
        <v>27</v>
      </c>
      <c r="E2964" t="s">
        <v>1639</v>
      </c>
      <c r="F2964">
        <v>23.67</v>
      </c>
      <c r="G2964">
        <v>3</v>
      </c>
      <c r="H2964">
        <v>0.94679999999999997</v>
      </c>
      <c r="I2964">
        <v>4</v>
      </c>
      <c r="J2964">
        <v>2013</v>
      </c>
      <c r="K2964" t="s">
        <v>2209</v>
      </c>
      <c r="L2964" t="str">
        <f>TEXT(maintable_2[[#This Row],[Order Date]],"mmmm")</f>
        <v>September</v>
      </c>
    </row>
    <row r="2965" spans="1:12" x14ac:dyDescent="0.3">
      <c r="A2965" s="1">
        <v>41520</v>
      </c>
      <c r="B2965" s="1">
        <v>41524</v>
      </c>
      <c r="C2965" t="s">
        <v>302</v>
      </c>
      <c r="D2965" t="s">
        <v>15</v>
      </c>
      <c r="E2965" t="s">
        <v>1224</v>
      </c>
      <c r="F2965">
        <v>1091.1679999999999</v>
      </c>
      <c r="G2965">
        <v>4</v>
      </c>
      <c r="H2965">
        <v>68.197999999999993</v>
      </c>
      <c r="I2965">
        <v>4</v>
      </c>
      <c r="J2965">
        <v>2013</v>
      </c>
      <c r="K2965" t="s">
        <v>2209</v>
      </c>
      <c r="L2965" t="str">
        <f>TEXT(maintable_2[[#This Row],[Order Date]],"mmmm")</f>
        <v>September</v>
      </c>
    </row>
    <row r="2966" spans="1:12" x14ac:dyDescent="0.3">
      <c r="A2966" s="1">
        <v>41520</v>
      </c>
      <c r="B2966" s="1">
        <v>41524</v>
      </c>
      <c r="C2966" t="s">
        <v>302</v>
      </c>
      <c r="D2966" t="s">
        <v>13</v>
      </c>
      <c r="E2966" t="s">
        <v>2138</v>
      </c>
      <c r="F2966">
        <v>18.690000000000001</v>
      </c>
      <c r="G2966">
        <v>7</v>
      </c>
      <c r="H2966">
        <v>5.2332000000000001</v>
      </c>
      <c r="I2966">
        <v>4</v>
      </c>
      <c r="J2966">
        <v>2013</v>
      </c>
      <c r="K2966" t="s">
        <v>2209</v>
      </c>
      <c r="L2966" t="str">
        <f>TEXT(maintable_2[[#This Row],[Order Date]],"mmmm")</f>
        <v>September</v>
      </c>
    </row>
    <row r="2967" spans="1:12" x14ac:dyDescent="0.3">
      <c r="A2967" s="1">
        <v>41520</v>
      </c>
      <c r="B2967" s="1">
        <v>41524</v>
      </c>
      <c r="C2967" t="s">
        <v>302</v>
      </c>
      <c r="D2967" t="s">
        <v>21</v>
      </c>
      <c r="E2967" t="s">
        <v>22</v>
      </c>
      <c r="F2967">
        <v>568.72799999999995</v>
      </c>
      <c r="G2967">
        <v>3</v>
      </c>
      <c r="H2967">
        <v>28.436399999999999</v>
      </c>
      <c r="I2967">
        <v>4</v>
      </c>
      <c r="J2967">
        <v>2013</v>
      </c>
      <c r="K2967" t="s">
        <v>2209</v>
      </c>
      <c r="L2967" t="str">
        <f>TEXT(maintable_2[[#This Row],[Order Date]],"mmmm")</f>
        <v>September</v>
      </c>
    </row>
    <row r="2968" spans="1:12" x14ac:dyDescent="0.3">
      <c r="A2968" s="1">
        <v>41520</v>
      </c>
      <c r="B2968" s="1">
        <v>41524</v>
      </c>
      <c r="C2968" t="s">
        <v>302</v>
      </c>
      <c r="D2968" t="s">
        <v>17</v>
      </c>
      <c r="E2968" t="s">
        <v>1612</v>
      </c>
      <c r="F2968">
        <v>7.3120000000000003</v>
      </c>
      <c r="G2968">
        <v>1</v>
      </c>
      <c r="H2968">
        <v>2.5592000000000001</v>
      </c>
      <c r="I2968">
        <v>4</v>
      </c>
      <c r="J2968">
        <v>2013</v>
      </c>
      <c r="K2968" t="s">
        <v>2209</v>
      </c>
      <c r="L2968" t="str">
        <f>TEXT(maintable_2[[#This Row],[Order Date]],"mmmm")</f>
        <v>September</v>
      </c>
    </row>
    <row r="2969" spans="1:12" x14ac:dyDescent="0.3">
      <c r="A2969" s="1">
        <v>40733</v>
      </c>
      <c r="B2969" s="1">
        <v>40738</v>
      </c>
      <c r="C2969" t="s">
        <v>340</v>
      </c>
      <c r="D2969" t="s">
        <v>17</v>
      </c>
      <c r="E2969" t="s">
        <v>2139</v>
      </c>
      <c r="F2969">
        <v>14.304</v>
      </c>
      <c r="G2969">
        <v>6</v>
      </c>
      <c r="H2969">
        <v>4.6487999999999996</v>
      </c>
      <c r="I2969">
        <v>5</v>
      </c>
      <c r="J2969">
        <v>2011</v>
      </c>
      <c r="K2969" t="s">
        <v>2206</v>
      </c>
      <c r="L2969" t="str">
        <f>TEXT(maintable_2[[#This Row],[Order Date]],"mmmm")</f>
        <v>July</v>
      </c>
    </row>
    <row r="2970" spans="1:12" x14ac:dyDescent="0.3">
      <c r="A2970" s="1">
        <v>40733</v>
      </c>
      <c r="B2970" s="1">
        <v>40738</v>
      </c>
      <c r="C2970" t="s">
        <v>340</v>
      </c>
      <c r="D2970" t="s">
        <v>196</v>
      </c>
      <c r="E2970" t="s">
        <v>1659</v>
      </c>
      <c r="F2970">
        <v>119.833</v>
      </c>
      <c r="G2970">
        <v>1</v>
      </c>
      <c r="H2970">
        <v>7.0490000000000004</v>
      </c>
      <c r="I2970">
        <v>5</v>
      </c>
      <c r="J2970">
        <v>2011</v>
      </c>
      <c r="K2970" t="s">
        <v>2206</v>
      </c>
      <c r="L2970" t="str">
        <f>TEXT(maintable_2[[#This Row],[Order Date]],"mmmm")</f>
        <v>July</v>
      </c>
    </row>
    <row r="2971" spans="1:12" x14ac:dyDescent="0.3">
      <c r="A2971" s="1">
        <v>40733</v>
      </c>
      <c r="B2971" s="1">
        <v>40738</v>
      </c>
      <c r="C2971" t="s">
        <v>340</v>
      </c>
      <c r="D2971" t="s">
        <v>13</v>
      </c>
      <c r="E2971" t="s">
        <v>1041</v>
      </c>
      <c r="F2971">
        <v>5.56</v>
      </c>
      <c r="G2971">
        <v>2</v>
      </c>
      <c r="H2971">
        <v>2.2240000000000002</v>
      </c>
      <c r="I2971">
        <v>5</v>
      </c>
      <c r="J2971">
        <v>2011</v>
      </c>
      <c r="K2971" t="s">
        <v>2206</v>
      </c>
      <c r="L2971" t="str">
        <f>TEXT(maintable_2[[#This Row],[Order Date]],"mmmm")</f>
        <v>July</v>
      </c>
    </row>
    <row r="2972" spans="1:12" x14ac:dyDescent="0.3">
      <c r="A2972" s="1">
        <v>40733</v>
      </c>
      <c r="B2972" s="1">
        <v>40738</v>
      </c>
      <c r="C2972" t="s">
        <v>340</v>
      </c>
      <c r="D2972" t="s">
        <v>44</v>
      </c>
      <c r="E2972" t="s">
        <v>2140</v>
      </c>
      <c r="F2972">
        <v>32.4</v>
      </c>
      <c r="G2972">
        <v>5</v>
      </c>
      <c r="H2972">
        <v>15.552</v>
      </c>
      <c r="I2972">
        <v>5</v>
      </c>
      <c r="J2972">
        <v>2011</v>
      </c>
      <c r="K2972" t="s">
        <v>2206</v>
      </c>
      <c r="L2972" t="str">
        <f>TEXT(maintable_2[[#This Row],[Order Date]],"mmmm")</f>
        <v>July</v>
      </c>
    </row>
    <row r="2973" spans="1:12" x14ac:dyDescent="0.3">
      <c r="A2973" s="1">
        <v>41782</v>
      </c>
      <c r="B2973" s="1">
        <v>41786</v>
      </c>
      <c r="C2973" t="s">
        <v>1279</v>
      </c>
      <c r="D2973" t="s">
        <v>13</v>
      </c>
      <c r="E2973" t="s">
        <v>2001</v>
      </c>
      <c r="F2973">
        <v>9.84</v>
      </c>
      <c r="G2973">
        <v>3</v>
      </c>
      <c r="H2973">
        <v>2.8536000000000001</v>
      </c>
      <c r="I2973">
        <v>4</v>
      </c>
      <c r="J2973">
        <v>2014</v>
      </c>
      <c r="K2973" t="s">
        <v>2208</v>
      </c>
      <c r="L2973" t="str">
        <f>TEXT(maintable_2[[#This Row],[Order Date]],"mmmm")</f>
        <v>May</v>
      </c>
    </row>
    <row r="2974" spans="1:12" x14ac:dyDescent="0.3">
      <c r="A2974" s="1">
        <v>41782</v>
      </c>
      <c r="B2974" s="1">
        <v>41786</v>
      </c>
      <c r="C2974" t="s">
        <v>1279</v>
      </c>
      <c r="D2974" t="s">
        <v>13</v>
      </c>
      <c r="E2974" t="s">
        <v>463</v>
      </c>
      <c r="F2974">
        <v>2.78</v>
      </c>
      <c r="G2974">
        <v>1</v>
      </c>
      <c r="H2974">
        <v>0.7228</v>
      </c>
      <c r="I2974">
        <v>4</v>
      </c>
      <c r="J2974">
        <v>2014</v>
      </c>
      <c r="K2974" t="s">
        <v>2208</v>
      </c>
      <c r="L2974" t="str">
        <f>TEXT(maintable_2[[#This Row],[Order Date]],"mmmm")</f>
        <v>May</v>
      </c>
    </row>
    <row r="2975" spans="1:12" x14ac:dyDescent="0.3">
      <c r="A2975" s="1">
        <v>41701</v>
      </c>
      <c r="B2975" s="1">
        <v>41707</v>
      </c>
      <c r="C2975" t="s">
        <v>997</v>
      </c>
      <c r="D2975" t="s">
        <v>17</v>
      </c>
      <c r="E2975" t="s">
        <v>1623</v>
      </c>
      <c r="F2975">
        <v>107.648</v>
      </c>
      <c r="G2975">
        <v>2</v>
      </c>
      <c r="H2975">
        <v>33.64</v>
      </c>
      <c r="I2975">
        <v>6</v>
      </c>
      <c r="J2975">
        <v>2014</v>
      </c>
      <c r="K2975" t="s">
        <v>2208</v>
      </c>
      <c r="L2975" t="str">
        <f>TEXT(maintable_2[[#This Row],[Order Date]],"mmmm")</f>
        <v>March</v>
      </c>
    </row>
    <row r="2976" spans="1:12" x14ac:dyDescent="0.3">
      <c r="A2976" s="1">
        <v>41885</v>
      </c>
      <c r="B2976" s="1">
        <v>41885</v>
      </c>
      <c r="C2976" t="s">
        <v>2141</v>
      </c>
      <c r="D2976" t="s">
        <v>71</v>
      </c>
      <c r="E2976" t="s">
        <v>723</v>
      </c>
      <c r="F2976">
        <v>215.976</v>
      </c>
      <c r="G2976">
        <v>3</v>
      </c>
      <c r="H2976">
        <v>-2.6997</v>
      </c>
      <c r="I2976">
        <v>0</v>
      </c>
      <c r="J2976">
        <v>2014</v>
      </c>
      <c r="K2976" t="s">
        <v>2209</v>
      </c>
      <c r="L2976" t="str">
        <f>TEXT(maintable_2[[#This Row],[Order Date]],"mmmm")</f>
        <v>September</v>
      </c>
    </row>
    <row r="2977" spans="1:12" x14ac:dyDescent="0.3">
      <c r="A2977" s="1">
        <v>40583</v>
      </c>
      <c r="B2977" s="1">
        <v>40584</v>
      </c>
      <c r="C2977" t="s">
        <v>1940</v>
      </c>
      <c r="D2977" t="s">
        <v>11</v>
      </c>
      <c r="E2977" t="s">
        <v>1469</v>
      </c>
      <c r="F2977">
        <v>14.56</v>
      </c>
      <c r="G2977">
        <v>2</v>
      </c>
      <c r="H2977">
        <v>5.5327999999999999</v>
      </c>
      <c r="I2977">
        <v>1</v>
      </c>
      <c r="J2977">
        <v>2011</v>
      </c>
      <c r="K2977" t="s">
        <v>2210</v>
      </c>
      <c r="L2977" t="str">
        <f>TEXT(maintable_2[[#This Row],[Order Date]],"mmmm")</f>
        <v>February</v>
      </c>
    </row>
    <row r="2978" spans="1:12" x14ac:dyDescent="0.3">
      <c r="A2978" s="1">
        <v>40826</v>
      </c>
      <c r="B2978" s="1">
        <v>40826</v>
      </c>
      <c r="C2978" t="s">
        <v>1604</v>
      </c>
      <c r="D2978" t="s">
        <v>13</v>
      </c>
      <c r="E2978" t="s">
        <v>2142</v>
      </c>
      <c r="F2978">
        <v>255.85</v>
      </c>
      <c r="G2978">
        <v>7</v>
      </c>
      <c r="H2978">
        <v>112.574</v>
      </c>
      <c r="I2978">
        <v>0</v>
      </c>
      <c r="J2978">
        <v>2011</v>
      </c>
      <c r="K2978" t="s">
        <v>2209</v>
      </c>
      <c r="L2978" t="str">
        <f>TEXT(maintable_2[[#This Row],[Order Date]],"mmmm")</f>
        <v>October</v>
      </c>
    </row>
    <row r="2979" spans="1:12" x14ac:dyDescent="0.3">
      <c r="A2979" s="1">
        <v>41538</v>
      </c>
      <c r="B2979" s="1">
        <v>41542</v>
      </c>
      <c r="C2979" t="s">
        <v>1382</v>
      </c>
      <c r="D2979" t="s">
        <v>196</v>
      </c>
      <c r="E2979" t="s">
        <v>2143</v>
      </c>
      <c r="F2979">
        <v>163.88</v>
      </c>
      <c r="G2979">
        <v>2</v>
      </c>
      <c r="H2979">
        <v>40.97</v>
      </c>
      <c r="I2979">
        <v>4</v>
      </c>
      <c r="J2979">
        <v>2013</v>
      </c>
      <c r="K2979" t="s">
        <v>2209</v>
      </c>
      <c r="L2979" t="str">
        <f>TEXT(maintable_2[[#This Row],[Order Date]],"mmmm")</f>
        <v>September</v>
      </c>
    </row>
    <row r="2980" spans="1:12" x14ac:dyDescent="0.3">
      <c r="A2980" s="1">
        <v>41885</v>
      </c>
      <c r="B2980" s="1">
        <v>41887</v>
      </c>
      <c r="C2980" t="s">
        <v>802</v>
      </c>
      <c r="D2980" t="s">
        <v>8</v>
      </c>
      <c r="E2980" t="s">
        <v>1556</v>
      </c>
      <c r="F2980">
        <v>11.696</v>
      </c>
      <c r="G2980">
        <v>2</v>
      </c>
      <c r="H2980">
        <v>3.9474</v>
      </c>
      <c r="I2980">
        <v>2</v>
      </c>
      <c r="J2980">
        <v>2014</v>
      </c>
      <c r="K2980" t="s">
        <v>2209</v>
      </c>
      <c r="L2980" t="str">
        <f>TEXT(maintable_2[[#This Row],[Order Date]],"mmmm")</f>
        <v>September</v>
      </c>
    </row>
    <row r="2981" spans="1:12" x14ac:dyDescent="0.3">
      <c r="A2981" s="1">
        <v>40656</v>
      </c>
      <c r="B2981" s="1">
        <v>40659</v>
      </c>
      <c r="C2981" t="s">
        <v>1940</v>
      </c>
      <c r="D2981" t="s">
        <v>44</v>
      </c>
      <c r="E2981" t="s">
        <v>1000</v>
      </c>
      <c r="F2981">
        <v>48.91</v>
      </c>
      <c r="G2981">
        <v>1</v>
      </c>
      <c r="H2981">
        <v>22.9877</v>
      </c>
      <c r="I2981">
        <v>3</v>
      </c>
      <c r="J2981">
        <v>2011</v>
      </c>
      <c r="K2981" t="s">
        <v>2208</v>
      </c>
      <c r="L2981" t="str">
        <f>TEXT(maintable_2[[#This Row],[Order Date]],"mmmm")</f>
        <v>April</v>
      </c>
    </row>
    <row r="2982" spans="1:12" x14ac:dyDescent="0.3">
      <c r="A2982" s="1">
        <v>41171</v>
      </c>
      <c r="B2982" s="1">
        <v>41176</v>
      </c>
      <c r="C2982" t="s">
        <v>1658</v>
      </c>
      <c r="D2982" t="s">
        <v>13</v>
      </c>
      <c r="E2982" t="s">
        <v>1541</v>
      </c>
      <c r="F2982">
        <v>8.4</v>
      </c>
      <c r="G2982">
        <v>5</v>
      </c>
      <c r="H2982">
        <v>2.1840000000000002</v>
      </c>
      <c r="I2982">
        <v>5</v>
      </c>
      <c r="J2982">
        <v>2012</v>
      </c>
      <c r="K2982" t="s">
        <v>2209</v>
      </c>
      <c r="L2982" t="str">
        <f>TEXT(maintable_2[[#This Row],[Order Date]],"mmmm")</f>
        <v>September</v>
      </c>
    </row>
    <row r="2983" spans="1:12" x14ac:dyDescent="0.3">
      <c r="A2983" s="1">
        <v>40627</v>
      </c>
      <c r="B2983" s="1">
        <v>40632</v>
      </c>
      <c r="C2983" t="s">
        <v>578</v>
      </c>
      <c r="D2983" t="s">
        <v>13</v>
      </c>
      <c r="E2983" t="s">
        <v>1690</v>
      </c>
      <c r="F2983">
        <v>6.56</v>
      </c>
      <c r="G2983">
        <v>2</v>
      </c>
      <c r="H2983">
        <v>1.9024000000000001</v>
      </c>
      <c r="I2983">
        <v>5</v>
      </c>
      <c r="J2983">
        <v>2011</v>
      </c>
      <c r="K2983" t="s">
        <v>2208</v>
      </c>
      <c r="L2983" t="str">
        <f>TEXT(maintable_2[[#This Row],[Order Date]],"mmmm")</f>
        <v>March</v>
      </c>
    </row>
    <row r="2984" spans="1:12" x14ac:dyDescent="0.3">
      <c r="A2984" s="1">
        <v>40627</v>
      </c>
      <c r="B2984" s="1">
        <v>40632</v>
      </c>
      <c r="C2984" t="s">
        <v>578</v>
      </c>
      <c r="D2984" t="s">
        <v>13</v>
      </c>
      <c r="E2984" t="s">
        <v>1984</v>
      </c>
      <c r="F2984">
        <v>14.88</v>
      </c>
      <c r="G2984">
        <v>2</v>
      </c>
      <c r="H2984">
        <v>3.72</v>
      </c>
      <c r="I2984">
        <v>5</v>
      </c>
      <c r="J2984">
        <v>2011</v>
      </c>
      <c r="K2984" t="s">
        <v>2208</v>
      </c>
      <c r="L2984" t="str">
        <f>TEXT(maintable_2[[#This Row],[Order Date]],"mmmm")</f>
        <v>March</v>
      </c>
    </row>
    <row r="2985" spans="1:12" x14ac:dyDescent="0.3">
      <c r="A2985" s="1">
        <v>40627</v>
      </c>
      <c r="B2985" s="1">
        <v>40632</v>
      </c>
      <c r="C2985" t="s">
        <v>578</v>
      </c>
      <c r="D2985" t="s">
        <v>37</v>
      </c>
      <c r="E2985" t="s">
        <v>2144</v>
      </c>
      <c r="F2985">
        <v>45.48</v>
      </c>
      <c r="G2985">
        <v>4</v>
      </c>
      <c r="H2985">
        <v>15.917999999999999</v>
      </c>
      <c r="I2985">
        <v>5</v>
      </c>
      <c r="J2985">
        <v>2011</v>
      </c>
      <c r="K2985" t="s">
        <v>2208</v>
      </c>
      <c r="L2985" t="str">
        <f>TEXT(maintable_2[[#This Row],[Order Date]],"mmmm")</f>
        <v>March</v>
      </c>
    </row>
    <row r="2986" spans="1:12" x14ac:dyDescent="0.3">
      <c r="A2986" s="1">
        <v>40627</v>
      </c>
      <c r="B2986" s="1">
        <v>40632</v>
      </c>
      <c r="C2986" t="s">
        <v>578</v>
      </c>
      <c r="D2986" t="s">
        <v>13</v>
      </c>
      <c r="E2986" t="s">
        <v>431</v>
      </c>
      <c r="F2986">
        <v>25.44</v>
      </c>
      <c r="G2986">
        <v>6</v>
      </c>
      <c r="H2986">
        <v>9.9215999999999998</v>
      </c>
      <c r="I2986">
        <v>5</v>
      </c>
      <c r="J2986">
        <v>2011</v>
      </c>
      <c r="K2986" t="s">
        <v>2208</v>
      </c>
      <c r="L2986" t="str">
        <f>TEXT(maintable_2[[#This Row],[Order Date]],"mmmm")</f>
        <v>March</v>
      </c>
    </row>
    <row r="2987" spans="1:12" x14ac:dyDescent="0.3">
      <c r="A2987" s="1">
        <v>41906</v>
      </c>
      <c r="B2987" s="1">
        <v>41912</v>
      </c>
      <c r="C2987" t="s">
        <v>2145</v>
      </c>
      <c r="D2987" t="s">
        <v>44</v>
      </c>
      <c r="E2987" t="s">
        <v>1558</v>
      </c>
      <c r="F2987">
        <v>211.04</v>
      </c>
      <c r="G2987">
        <v>8</v>
      </c>
      <c r="H2987">
        <v>97.078400000000002</v>
      </c>
      <c r="I2987">
        <v>6</v>
      </c>
      <c r="J2987">
        <v>2014</v>
      </c>
      <c r="K2987" t="s">
        <v>2209</v>
      </c>
      <c r="L2987" t="str">
        <f>TEXT(maintable_2[[#This Row],[Order Date]],"mmmm")</f>
        <v>September</v>
      </c>
    </row>
    <row r="2988" spans="1:12" x14ac:dyDescent="0.3">
      <c r="A2988" s="1">
        <v>41906</v>
      </c>
      <c r="B2988" s="1">
        <v>41912</v>
      </c>
      <c r="C2988" t="s">
        <v>2145</v>
      </c>
      <c r="D2988" t="s">
        <v>71</v>
      </c>
      <c r="E2988" t="s">
        <v>513</v>
      </c>
      <c r="F2988">
        <v>594.81600000000003</v>
      </c>
      <c r="G2988">
        <v>2</v>
      </c>
      <c r="H2988">
        <v>59.4816</v>
      </c>
      <c r="I2988">
        <v>6</v>
      </c>
      <c r="J2988">
        <v>2014</v>
      </c>
      <c r="K2988" t="s">
        <v>2209</v>
      </c>
      <c r="L2988" t="str">
        <f>TEXT(maintable_2[[#This Row],[Order Date]],"mmmm")</f>
        <v>September</v>
      </c>
    </row>
    <row r="2989" spans="1:12" x14ac:dyDescent="0.3">
      <c r="A2989" s="1">
        <v>41906</v>
      </c>
      <c r="B2989" s="1">
        <v>41912</v>
      </c>
      <c r="C2989" t="s">
        <v>2145</v>
      </c>
      <c r="D2989" t="s">
        <v>17</v>
      </c>
      <c r="E2989" t="s">
        <v>1082</v>
      </c>
      <c r="F2989">
        <v>72.959999999999994</v>
      </c>
      <c r="G2989">
        <v>3</v>
      </c>
      <c r="H2989">
        <v>23.712</v>
      </c>
      <c r="I2989">
        <v>6</v>
      </c>
      <c r="J2989">
        <v>2014</v>
      </c>
      <c r="K2989" t="s">
        <v>2209</v>
      </c>
      <c r="L2989" t="str">
        <f>TEXT(maintable_2[[#This Row],[Order Date]],"mmmm")</f>
        <v>September</v>
      </c>
    </row>
    <row r="2990" spans="1:12" x14ac:dyDescent="0.3">
      <c r="A2990" s="1">
        <v>41890</v>
      </c>
      <c r="B2990" s="1">
        <v>41893</v>
      </c>
      <c r="C2990" t="s">
        <v>531</v>
      </c>
      <c r="D2990" t="s">
        <v>11</v>
      </c>
      <c r="E2990" t="s">
        <v>2038</v>
      </c>
      <c r="F2990">
        <v>80.959999999999994</v>
      </c>
      <c r="G2990">
        <v>4</v>
      </c>
      <c r="H2990">
        <v>34.812800000000003</v>
      </c>
      <c r="I2990">
        <v>3</v>
      </c>
      <c r="J2990">
        <v>2014</v>
      </c>
      <c r="K2990" t="s">
        <v>2209</v>
      </c>
      <c r="L2990" t="str">
        <f>TEXT(maintable_2[[#This Row],[Order Date]],"mmmm")</f>
        <v>September</v>
      </c>
    </row>
    <row r="2991" spans="1:12" x14ac:dyDescent="0.3">
      <c r="A2991" s="1">
        <v>41890</v>
      </c>
      <c r="B2991" s="1">
        <v>41893</v>
      </c>
      <c r="C2991" t="s">
        <v>531</v>
      </c>
      <c r="D2991" t="s">
        <v>15</v>
      </c>
      <c r="E2991" t="s">
        <v>23</v>
      </c>
      <c r="F2991">
        <v>455.71199999999999</v>
      </c>
      <c r="G2991">
        <v>2</v>
      </c>
      <c r="H2991">
        <v>34.178400000000003</v>
      </c>
      <c r="I2991">
        <v>3</v>
      </c>
      <c r="J2991">
        <v>2014</v>
      </c>
      <c r="K2991" t="s">
        <v>2209</v>
      </c>
      <c r="L2991" t="str">
        <f>TEXT(maintable_2[[#This Row],[Order Date]],"mmmm")</f>
        <v>September</v>
      </c>
    </row>
    <row r="2992" spans="1:12" x14ac:dyDescent="0.3">
      <c r="A2992" s="1">
        <v>41890</v>
      </c>
      <c r="B2992" s="1">
        <v>41893</v>
      </c>
      <c r="C2992" t="s">
        <v>531</v>
      </c>
      <c r="D2992" t="s">
        <v>13</v>
      </c>
      <c r="E2992" t="s">
        <v>2146</v>
      </c>
      <c r="F2992">
        <v>25.98</v>
      </c>
      <c r="G2992">
        <v>1</v>
      </c>
      <c r="H2992">
        <v>7.2744</v>
      </c>
      <c r="I2992">
        <v>3</v>
      </c>
      <c r="J2992">
        <v>2014</v>
      </c>
      <c r="K2992" t="s">
        <v>2209</v>
      </c>
      <c r="L2992" t="str">
        <f>TEXT(maintable_2[[#This Row],[Order Date]],"mmmm")</f>
        <v>September</v>
      </c>
    </row>
    <row r="2993" spans="1:12" x14ac:dyDescent="0.3">
      <c r="A2993" s="1">
        <v>41241</v>
      </c>
      <c r="B2993" s="1">
        <v>41243</v>
      </c>
      <c r="C2993" t="s">
        <v>2147</v>
      </c>
      <c r="D2993" t="s">
        <v>19</v>
      </c>
      <c r="E2993" t="s">
        <v>2148</v>
      </c>
      <c r="F2993">
        <v>45.28</v>
      </c>
      <c r="G2993">
        <v>4</v>
      </c>
      <c r="H2993">
        <v>15.395200000000001</v>
      </c>
      <c r="I2993">
        <v>2</v>
      </c>
      <c r="J2993">
        <v>2012</v>
      </c>
      <c r="K2993" t="s">
        <v>2209</v>
      </c>
      <c r="L2993" t="str">
        <f>TEXT(maintable_2[[#This Row],[Order Date]],"mmmm")</f>
        <v>November</v>
      </c>
    </row>
    <row r="2994" spans="1:12" x14ac:dyDescent="0.3">
      <c r="A2994" s="1">
        <v>41547</v>
      </c>
      <c r="B2994" s="1">
        <v>41551</v>
      </c>
      <c r="C2994" t="s">
        <v>264</v>
      </c>
      <c r="D2994" t="s">
        <v>15</v>
      </c>
      <c r="E2994" t="s">
        <v>885</v>
      </c>
      <c r="F2994">
        <v>859.2</v>
      </c>
      <c r="G2994">
        <v>3</v>
      </c>
      <c r="H2994">
        <v>75.180000000000007</v>
      </c>
      <c r="I2994">
        <v>4</v>
      </c>
      <c r="J2994">
        <v>2013</v>
      </c>
      <c r="K2994" t="s">
        <v>2209</v>
      </c>
      <c r="L2994" t="str">
        <f>TEXT(maintable_2[[#This Row],[Order Date]],"mmmm")</f>
        <v>September</v>
      </c>
    </row>
    <row r="2995" spans="1:12" x14ac:dyDescent="0.3">
      <c r="A2995" s="1">
        <v>41899</v>
      </c>
      <c r="B2995" s="1">
        <v>41903</v>
      </c>
      <c r="C2995" t="s">
        <v>473</v>
      </c>
      <c r="D2995" t="s">
        <v>78</v>
      </c>
      <c r="E2995" t="s">
        <v>2149</v>
      </c>
      <c r="F2995">
        <v>17.899999999999999</v>
      </c>
      <c r="G2995">
        <v>5</v>
      </c>
      <c r="H2995">
        <v>8.7710000000000008</v>
      </c>
      <c r="I2995">
        <v>4</v>
      </c>
      <c r="J2995">
        <v>2014</v>
      </c>
      <c r="K2995" t="s">
        <v>2209</v>
      </c>
      <c r="L2995" t="str">
        <f>TEXT(maintable_2[[#This Row],[Order Date]],"mmmm")</f>
        <v>September</v>
      </c>
    </row>
    <row r="2996" spans="1:12" x14ac:dyDescent="0.3">
      <c r="A2996" s="1">
        <v>40835</v>
      </c>
      <c r="B2996" s="1">
        <v>40838</v>
      </c>
      <c r="C2996" t="s">
        <v>407</v>
      </c>
      <c r="D2996" t="s">
        <v>17</v>
      </c>
      <c r="E2996" t="s">
        <v>1178</v>
      </c>
      <c r="F2996">
        <v>2.992</v>
      </c>
      <c r="G2996">
        <v>1</v>
      </c>
      <c r="H2996">
        <v>1.1220000000000001</v>
      </c>
      <c r="I2996">
        <v>3</v>
      </c>
      <c r="J2996">
        <v>2011</v>
      </c>
      <c r="K2996" t="s">
        <v>2209</v>
      </c>
      <c r="L2996" t="str">
        <f>TEXT(maintable_2[[#This Row],[Order Date]],"mmmm")</f>
        <v>October</v>
      </c>
    </row>
    <row r="2997" spans="1:12" x14ac:dyDescent="0.3">
      <c r="A2997" s="1">
        <v>40835</v>
      </c>
      <c r="B2997" s="1">
        <v>40838</v>
      </c>
      <c r="C2997" t="s">
        <v>407</v>
      </c>
      <c r="D2997" t="s">
        <v>17</v>
      </c>
      <c r="E2997" t="s">
        <v>467</v>
      </c>
      <c r="F2997">
        <v>20.064</v>
      </c>
      <c r="G2997">
        <v>6</v>
      </c>
      <c r="H2997">
        <v>7.0224000000000002</v>
      </c>
      <c r="I2997">
        <v>3</v>
      </c>
      <c r="J2997">
        <v>2011</v>
      </c>
      <c r="K2997" t="s">
        <v>2209</v>
      </c>
      <c r="L2997" t="str">
        <f>TEXT(maintable_2[[#This Row],[Order Date]],"mmmm")</f>
        <v>October</v>
      </c>
    </row>
    <row r="2998" spans="1:12" x14ac:dyDescent="0.3">
      <c r="A2998" s="1">
        <v>40835</v>
      </c>
      <c r="B2998" s="1">
        <v>40838</v>
      </c>
      <c r="C2998" t="s">
        <v>407</v>
      </c>
      <c r="D2998" t="s">
        <v>44</v>
      </c>
      <c r="E2998" t="s">
        <v>1492</v>
      </c>
      <c r="F2998">
        <v>146.72999999999999</v>
      </c>
      <c r="G2998">
        <v>3</v>
      </c>
      <c r="H2998">
        <v>68.963099999999997</v>
      </c>
      <c r="I2998">
        <v>3</v>
      </c>
      <c r="J2998">
        <v>2011</v>
      </c>
      <c r="K2998" t="s">
        <v>2209</v>
      </c>
      <c r="L2998" t="str">
        <f>TEXT(maintable_2[[#This Row],[Order Date]],"mmmm")</f>
        <v>October</v>
      </c>
    </row>
    <row r="2999" spans="1:12" x14ac:dyDescent="0.3">
      <c r="A2999" s="1">
        <v>40835</v>
      </c>
      <c r="B2999" s="1">
        <v>40838</v>
      </c>
      <c r="C2999" t="s">
        <v>407</v>
      </c>
      <c r="D2999" t="s">
        <v>8</v>
      </c>
      <c r="E2999" t="s">
        <v>322</v>
      </c>
      <c r="F2999">
        <v>18.75</v>
      </c>
      <c r="G2999">
        <v>5</v>
      </c>
      <c r="H2999">
        <v>9</v>
      </c>
      <c r="I2999">
        <v>3</v>
      </c>
      <c r="J2999">
        <v>2011</v>
      </c>
      <c r="K2999" t="s">
        <v>2209</v>
      </c>
      <c r="L2999" t="str">
        <f>TEXT(maintable_2[[#This Row],[Order Date]],"mmmm")</f>
        <v>October</v>
      </c>
    </row>
    <row r="3000" spans="1:12" x14ac:dyDescent="0.3">
      <c r="A3000" s="1">
        <v>40835</v>
      </c>
      <c r="B3000" s="1">
        <v>40838</v>
      </c>
      <c r="C3000" t="s">
        <v>407</v>
      </c>
      <c r="D3000" t="s">
        <v>15</v>
      </c>
      <c r="E3000" t="s">
        <v>2108</v>
      </c>
      <c r="F3000">
        <v>117.57599999999999</v>
      </c>
      <c r="G3000">
        <v>3</v>
      </c>
      <c r="H3000">
        <v>11.7576</v>
      </c>
      <c r="I3000">
        <v>3</v>
      </c>
      <c r="J3000">
        <v>2011</v>
      </c>
      <c r="K3000" t="s">
        <v>2209</v>
      </c>
      <c r="L3000" t="str">
        <f>TEXT(maintable_2[[#This Row],[Order Date]],"mmmm")</f>
        <v>October</v>
      </c>
    </row>
    <row r="3001" spans="1:12" x14ac:dyDescent="0.3">
      <c r="A3001" s="1">
        <v>41347</v>
      </c>
      <c r="B3001" s="1">
        <v>41352</v>
      </c>
      <c r="C3001" t="s">
        <v>2036</v>
      </c>
      <c r="D3001" t="s">
        <v>17</v>
      </c>
      <c r="E3001" t="s">
        <v>567</v>
      </c>
      <c r="F3001">
        <v>51.183999999999997</v>
      </c>
      <c r="G3001">
        <v>7</v>
      </c>
      <c r="H3001">
        <v>19.193999999999999</v>
      </c>
      <c r="I3001">
        <v>5</v>
      </c>
      <c r="J3001">
        <v>2013</v>
      </c>
      <c r="K3001" t="s">
        <v>2208</v>
      </c>
      <c r="L3001" t="str">
        <f>TEXT(maintable_2[[#This Row],[Order Date]],"mmmm")</f>
        <v>March</v>
      </c>
    </row>
    <row r="3002" spans="1:12" x14ac:dyDescent="0.3">
      <c r="A3002" s="1">
        <v>41631</v>
      </c>
      <c r="B3002" s="1">
        <v>41637</v>
      </c>
      <c r="C3002" t="s">
        <v>50</v>
      </c>
      <c r="D3002" t="s">
        <v>11</v>
      </c>
      <c r="E3002" t="s">
        <v>2150</v>
      </c>
      <c r="F3002">
        <v>842.72</v>
      </c>
      <c r="G3002">
        <v>8</v>
      </c>
      <c r="H3002">
        <v>202.25280000000001</v>
      </c>
      <c r="I3002">
        <v>6</v>
      </c>
      <c r="J3002">
        <v>2013</v>
      </c>
      <c r="K3002" t="s">
        <v>2207</v>
      </c>
      <c r="L3002" t="str">
        <f>TEXT(maintable_2[[#This Row],[Order Date]],"mmmm")</f>
        <v>December</v>
      </c>
    </row>
    <row r="3003" spans="1:12" x14ac:dyDescent="0.3">
      <c r="A3003" s="1">
        <v>41631</v>
      </c>
      <c r="B3003" s="1">
        <v>41637</v>
      </c>
      <c r="C3003" t="s">
        <v>50</v>
      </c>
      <c r="D3003" t="s">
        <v>11</v>
      </c>
      <c r="E3003" t="s">
        <v>2061</v>
      </c>
      <c r="F3003">
        <v>41.96</v>
      </c>
      <c r="G3003">
        <v>2</v>
      </c>
      <c r="H3003">
        <v>10.909599999999999</v>
      </c>
      <c r="I3003">
        <v>6</v>
      </c>
      <c r="J3003">
        <v>2013</v>
      </c>
      <c r="K3003" t="s">
        <v>2207</v>
      </c>
      <c r="L3003" t="str">
        <f>TEXT(maintable_2[[#This Row],[Order Date]],"mmmm")</f>
        <v>December</v>
      </c>
    </row>
    <row r="3004" spans="1:12" x14ac:dyDescent="0.3">
      <c r="A3004" s="1">
        <v>41541</v>
      </c>
      <c r="B3004" s="1">
        <v>41545</v>
      </c>
      <c r="C3004" t="s">
        <v>390</v>
      </c>
      <c r="D3004" t="s">
        <v>17</v>
      </c>
      <c r="E3004" t="s">
        <v>537</v>
      </c>
      <c r="F3004">
        <v>13.215999999999999</v>
      </c>
      <c r="G3004">
        <v>4</v>
      </c>
      <c r="H3004">
        <v>4.4603999999999999</v>
      </c>
      <c r="I3004">
        <v>4</v>
      </c>
      <c r="J3004">
        <v>2013</v>
      </c>
      <c r="K3004" t="s">
        <v>2209</v>
      </c>
      <c r="L3004" t="str">
        <f>TEXT(maintable_2[[#This Row],[Order Date]],"mmmm")</f>
        <v>September</v>
      </c>
    </row>
    <row r="3005" spans="1:12" x14ac:dyDescent="0.3">
      <c r="A3005" s="1">
        <v>41541</v>
      </c>
      <c r="B3005" s="1">
        <v>41545</v>
      </c>
      <c r="C3005" t="s">
        <v>390</v>
      </c>
      <c r="D3005" t="s">
        <v>71</v>
      </c>
      <c r="E3005" t="s">
        <v>1094</v>
      </c>
      <c r="F3005">
        <v>184.75200000000001</v>
      </c>
      <c r="G3005">
        <v>3</v>
      </c>
      <c r="H3005">
        <v>-20.784600000000001</v>
      </c>
      <c r="I3005">
        <v>4</v>
      </c>
      <c r="J3005">
        <v>2013</v>
      </c>
      <c r="K3005" t="s">
        <v>2209</v>
      </c>
      <c r="L3005" t="str">
        <f>TEXT(maintable_2[[#This Row],[Order Date]],"mmmm")</f>
        <v>September</v>
      </c>
    </row>
    <row r="3006" spans="1:12" x14ac:dyDescent="0.3">
      <c r="A3006" s="1">
        <v>41720</v>
      </c>
      <c r="B3006" s="1">
        <v>41724</v>
      </c>
      <c r="C3006" t="s">
        <v>2009</v>
      </c>
      <c r="D3006" t="s">
        <v>17</v>
      </c>
      <c r="E3006" t="s">
        <v>2151</v>
      </c>
      <c r="F3006">
        <v>30.576000000000001</v>
      </c>
      <c r="G3006">
        <v>6</v>
      </c>
      <c r="H3006">
        <v>10.3194</v>
      </c>
      <c r="I3006">
        <v>4</v>
      </c>
      <c r="J3006">
        <v>2014</v>
      </c>
      <c r="K3006" t="s">
        <v>2208</v>
      </c>
      <c r="L3006" t="str">
        <f>TEXT(maintable_2[[#This Row],[Order Date]],"mmmm")</f>
        <v>March</v>
      </c>
    </row>
    <row r="3007" spans="1:12" x14ac:dyDescent="0.3">
      <c r="A3007" s="1">
        <v>41720</v>
      </c>
      <c r="B3007" s="1">
        <v>41724</v>
      </c>
      <c r="C3007" t="s">
        <v>2009</v>
      </c>
      <c r="D3007" t="s">
        <v>78</v>
      </c>
      <c r="E3007" t="s">
        <v>1477</v>
      </c>
      <c r="F3007">
        <v>13.02</v>
      </c>
      <c r="G3007">
        <v>7</v>
      </c>
      <c r="H3007">
        <v>0.3906</v>
      </c>
      <c r="I3007">
        <v>4</v>
      </c>
      <c r="J3007">
        <v>2014</v>
      </c>
      <c r="K3007" t="s">
        <v>2208</v>
      </c>
      <c r="L3007" t="str">
        <f>TEXT(maintable_2[[#This Row],[Order Date]],"mmmm")</f>
        <v>March</v>
      </c>
    </row>
    <row r="3008" spans="1:12" x14ac:dyDescent="0.3">
      <c r="A3008" s="1">
        <v>41720</v>
      </c>
      <c r="B3008" s="1">
        <v>41724</v>
      </c>
      <c r="C3008" t="s">
        <v>2009</v>
      </c>
      <c r="D3008" t="s">
        <v>11</v>
      </c>
      <c r="E3008" t="s">
        <v>1343</v>
      </c>
      <c r="F3008">
        <v>22.14</v>
      </c>
      <c r="G3008">
        <v>3</v>
      </c>
      <c r="H3008">
        <v>6.4206000000000003</v>
      </c>
      <c r="I3008">
        <v>4</v>
      </c>
      <c r="J3008">
        <v>2014</v>
      </c>
      <c r="K3008" t="s">
        <v>2208</v>
      </c>
      <c r="L3008" t="str">
        <f>TEXT(maintable_2[[#This Row],[Order Date]],"mmmm")</f>
        <v>March</v>
      </c>
    </row>
    <row r="3009" spans="1:12" x14ac:dyDescent="0.3">
      <c r="A3009" s="1">
        <v>41720</v>
      </c>
      <c r="B3009" s="1">
        <v>41724</v>
      </c>
      <c r="C3009" t="s">
        <v>2009</v>
      </c>
      <c r="D3009" t="s">
        <v>27</v>
      </c>
      <c r="E3009" t="s">
        <v>351</v>
      </c>
      <c r="F3009">
        <v>359.32</v>
      </c>
      <c r="G3009">
        <v>4</v>
      </c>
      <c r="H3009">
        <v>7.1863999999999999</v>
      </c>
      <c r="I3009">
        <v>4</v>
      </c>
      <c r="J3009">
        <v>2014</v>
      </c>
      <c r="K3009" t="s">
        <v>2208</v>
      </c>
      <c r="L3009" t="str">
        <f>TEXT(maintable_2[[#This Row],[Order Date]],"mmmm")</f>
        <v>March</v>
      </c>
    </row>
    <row r="3010" spans="1:12" x14ac:dyDescent="0.3">
      <c r="A3010" s="1">
        <v>41767</v>
      </c>
      <c r="B3010" s="1">
        <v>41771</v>
      </c>
      <c r="C3010" t="s">
        <v>1049</v>
      </c>
      <c r="D3010" t="s">
        <v>15</v>
      </c>
      <c r="E3010" t="s">
        <v>2152</v>
      </c>
      <c r="F3010">
        <v>419.94400000000002</v>
      </c>
      <c r="G3010">
        <v>7</v>
      </c>
      <c r="H3010">
        <v>52.493000000000002</v>
      </c>
      <c r="I3010">
        <v>4</v>
      </c>
      <c r="J3010">
        <v>2014</v>
      </c>
      <c r="K3010" t="s">
        <v>2208</v>
      </c>
      <c r="L3010" t="str">
        <f>TEXT(maintable_2[[#This Row],[Order Date]],"mmmm")</f>
        <v>May</v>
      </c>
    </row>
    <row r="3011" spans="1:12" x14ac:dyDescent="0.3">
      <c r="A3011" s="1">
        <v>41431</v>
      </c>
      <c r="B3011" s="1">
        <v>41435</v>
      </c>
      <c r="C3011" t="s">
        <v>2153</v>
      </c>
      <c r="D3011" t="s">
        <v>81</v>
      </c>
      <c r="E3011" t="s">
        <v>1576</v>
      </c>
      <c r="F3011">
        <v>61.38</v>
      </c>
      <c r="G3011">
        <v>6</v>
      </c>
      <c r="H3011">
        <v>15.9588</v>
      </c>
      <c r="I3011">
        <v>4</v>
      </c>
      <c r="J3011">
        <v>2013</v>
      </c>
      <c r="K3011" t="s">
        <v>2206</v>
      </c>
      <c r="L3011" t="str">
        <f>TEXT(maintable_2[[#This Row],[Order Date]],"mmmm")</f>
        <v>June</v>
      </c>
    </row>
    <row r="3012" spans="1:12" x14ac:dyDescent="0.3">
      <c r="A3012" s="1">
        <v>41257</v>
      </c>
      <c r="B3012" s="1">
        <v>41262</v>
      </c>
      <c r="C3012" t="s">
        <v>2147</v>
      </c>
      <c r="D3012" t="s">
        <v>37</v>
      </c>
      <c r="E3012" t="s">
        <v>682</v>
      </c>
      <c r="F3012">
        <v>50</v>
      </c>
      <c r="G3012">
        <v>2</v>
      </c>
      <c r="H3012">
        <v>10.5</v>
      </c>
      <c r="I3012">
        <v>5</v>
      </c>
      <c r="J3012">
        <v>2012</v>
      </c>
      <c r="K3012" t="s">
        <v>2207</v>
      </c>
      <c r="L3012" t="str">
        <f>TEXT(maintable_2[[#This Row],[Order Date]],"mmmm")</f>
        <v>December</v>
      </c>
    </row>
    <row r="3013" spans="1:12" x14ac:dyDescent="0.3">
      <c r="A3013" s="1">
        <v>41879</v>
      </c>
      <c r="B3013" s="1">
        <v>41883</v>
      </c>
      <c r="C3013" t="s">
        <v>286</v>
      </c>
      <c r="D3013" t="s">
        <v>11</v>
      </c>
      <c r="E3013" t="s">
        <v>814</v>
      </c>
      <c r="F3013">
        <v>120.57599999999999</v>
      </c>
      <c r="G3013">
        <v>8</v>
      </c>
      <c r="H3013">
        <v>33.1584</v>
      </c>
      <c r="I3013">
        <v>4</v>
      </c>
      <c r="J3013">
        <v>2014</v>
      </c>
      <c r="K3013" t="s">
        <v>2206</v>
      </c>
      <c r="L3013" t="str">
        <f>TEXT(maintable_2[[#This Row],[Order Date]],"mmmm")</f>
        <v>August</v>
      </c>
    </row>
    <row r="3014" spans="1:12" x14ac:dyDescent="0.3">
      <c r="A3014" s="1">
        <v>41207</v>
      </c>
      <c r="B3014" s="1">
        <v>41207</v>
      </c>
      <c r="C3014" t="s">
        <v>2018</v>
      </c>
      <c r="D3014" t="s">
        <v>71</v>
      </c>
      <c r="E3014" t="s">
        <v>1809</v>
      </c>
      <c r="F3014">
        <v>582.33600000000001</v>
      </c>
      <c r="G3014">
        <v>8</v>
      </c>
      <c r="H3014">
        <v>-29.116800000000001</v>
      </c>
      <c r="I3014">
        <v>0</v>
      </c>
      <c r="J3014">
        <v>2012</v>
      </c>
      <c r="K3014" t="s">
        <v>2209</v>
      </c>
      <c r="L3014" t="str">
        <f>TEXT(maintable_2[[#This Row],[Order Date]],"mmmm")</f>
        <v>October</v>
      </c>
    </row>
    <row r="3015" spans="1:12" x14ac:dyDescent="0.3">
      <c r="A3015" s="1">
        <v>40718</v>
      </c>
      <c r="B3015" s="1">
        <v>40722</v>
      </c>
      <c r="C3015" t="s">
        <v>274</v>
      </c>
      <c r="D3015" t="s">
        <v>11</v>
      </c>
      <c r="E3015" t="s">
        <v>1599</v>
      </c>
      <c r="F3015">
        <v>4.2720000000000002</v>
      </c>
      <c r="G3015">
        <v>2</v>
      </c>
      <c r="H3015">
        <v>0.96120000000000005</v>
      </c>
      <c r="I3015">
        <v>4</v>
      </c>
      <c r="J3015">
        <v>2011</v>
      </c>
      <c r="K3015" t="s">
        <v>2206</v>
      </c>
      <c r="L3015" t="str">
        <f>TEXT(maintable_2[[#This Row],[Order Date]],"mmmm")</f>
        <v>June</v>
      </c>
    </row>
    <row r="3016" spans="1:12" x14ac:dyDescent="0.3">
      <c r="A3016" s="1">
        <v>41344</v>
      </c>
      <c r="B3016" s="1">
        <v>41348</v>
      </c>
      <c r="C3016" t="s">
        <v>349</v>
      </c>
      <c r="D3016" t="s">
        <v>27</v>
      </c>
      <c r="E3016" t="s">
        <v>1023</v>
      </c>
      <c r="F3016">
        <v>104.696</v>
      </c>
      <c r="G3016">
        <v>1</v>
      </c>
      <c r="H3016">
        <v>6.5434999999999999</v>
      </c>
      <c r="I3016">
        <v>4</v>
      </c>
      <c r="J3016">
        <v>2013</v>
      </c>
      <c r="K3016" t="s">
        <v>2208</v>
      </c>
      <c r="L3016" t="str">
        <f>TEXT(maintable_2[[#This Row],[Order Date]],"mmmm")</f>
        <v>March</v>
      </c>
    </row>
    <row r="3017" spans="1:12" x14ac:dyDescent="0.3">
      <c r="A3017" s="1">
        <v>40935</v>
      </c>
      <c r="B3017" s="1">
        <v>40937</v>
      </c>
      <c r="C3017" t="s">
        <v>1956</v>
      </c>
      <c r="D3017" t="s">
        <v>71</v>
      </c>
      <c r="E3017" t="s">
        <v>267</v>
      </c>
      <c r="F3017">
        <v>2803.92</v>
      </c>
      <c r="G3017">
        <v>5</v>
      </c>
      <c r="H3017">
        <v>0</v>
      </c>
      <c r="I3017">
        <v>2</v>
      </c>
      <c r="J3017">
        <v>2012</v>
      </c>
      <c r="K3017" t="s">
        <v>2210</v>
      </c>
      <c r="L3017" t="str">
        <f>TEXT(maintable_2[[#This Row],[Order Date]],"mmmm")</f>
        <v>January</v>
      </c>
    </row>
    <row r="3018" spans="1:12" x14ac:dyDescent="0.3">
      <c r="A3018" s="1">
        <v>41200</v>
      </c>
      <c r="B3018" s="1">
        <v>41204</v>
      </c>
      <c r="C3018" t="s">
        <v>2053</v>
      </c>
      <c r="D3018" t="s">
        <v>15</v>
      </c>
      <c r="E3018" t="s">
        <v>1927</v>
      </c>
      <c r="F3018">
        <v>249.584</v>
      </c>
      <c r="G3018">
        <v>2</v>
      </c>
      <c r="H3018">
        <v>15.599</v>
      </c>
      <c r="I3018">
        <v>4</v>
      </c>
      <c r="J3018">
        <v>2012</v>
      </c>
      <c r="K3018" t="s">
        <v>2209</v>
      </c>
      <c r="L3018" t="str">
        <f>TEXT(maintable_2[[#This Row],[Order Date]],"mmmm")</f>
        <v>October</v>
      </c>
    </row>
    <row r="3019" spans="1:12" x14ac:dyDescent="0.3">
      <c r="A3019" s="1">
        <v>41200</v>
      </c>
      <c r="B3019" s="1">
        <v>41204</v>
      </c>
      <c r="C3019" t="s">
        <v>2053</v>
      </c>
      <c r="D3019" t="s">
        <v>44</v>
      </c>
      <c r="E3019" t="s">
        <v>1058</v>
      </c>
      <c r="F3019">
        <v>17.940000000000001</v>
      </c>
      <c r="G3019">
        <v>3</v>
      </c>
      <c r="H3019">
        <v>8.7905999999999995</v>
      </c>
      <c r="I3019">
        <v>4</v>
      </c>
      <c r="J3019">
        <v>2012</v>
      </c>
      <c r="K3019" t="s">
        <v>2209</v>
      </c>
      <c r="L3019" t="str">
        <f>TEXT(maintable_2[[#This Row],[Order Date]],"mmmm")</f>
        <v>October</v>
      </c>
    </row>
    <row r="3020" spans="1:12" x14ac:dyDescent="0.3">
      <c r="A3020" s="1">
        <v>41200</v>
      </c>
      <c r="B3020" s="1">
        <v>41204</v>
      </c>
      <c r="C3020" t="s">
        <v>2053</v>
      </c>
      <c r="D3020" t="s">
        <v>11</v>
      </c>
      <c r="E3020" t="s">
        <v>1575</v>
      </c>
      <c r="F3020">
        <v>10.11</v>
      </c>
      <c r="G3020">
        <v>3</v>
      </c>
      <c r="H3020">
        <v>3.2351999999999999</v>
      </c>
      <c r="I3020">
        <v>4</v>
      </c>
      <c r="J3020">
        <v>2012</v>
      </c>
      <c r="K3020" t="s">
        <v>2209</v>
      </c>
      <c r="L3020" t="str">
        <f>TEXT(maintable_2[[#This Row],[Order Date]],"mmmm")</f>
        <v>October</v>
      </c>
    </row>
    <row r="3021" spans="1:12" x14ac:dyDescent="0.3">
      <c r="A3021" s="1">
        <v>40747</v>
      </c>
      <c r="B3021" s="1">
        <v>40751</v>
      </c>
      <c r="C3021" t="s">
        <v>1389</v>
      </c>
      <c r="D3021" t="s">
        <v>15</v>
      </c>
      <c r="E3021" t="s">
        <v>677</v>
      </c>
      <c r="F3021">
        <v>604.75199999999995</v>
      </c>
      <c r="G3021">
        <v>6</v>
      </c>
      <c r="H3021">
        <v>60.475200000000001</v>
      </c>
      <c r="I3021">
        <v>4</v>
      </c>
      <c r="J3021">
        <v>2011</v>
      </c>
      <c r="K3021" t="s">
        <v>2206</v>
      </c>
      <c r="L3021" t="str">
        <f>TEXT(maintable_2[[#This Row],[Order Date]],"mmmm")</f>
        <v>July</v>
      </c>
    </row>
    <row r="3022" spans="1:12" x14ac:dyDescent="0.3">
      <c r="A3022" s="1">
        <v>40747</v>
      </c>
      <c r="B3022" s="1">
        <v>40751</v>
      </c>
      <c r="C3022" t="s">
        <v>1389</v>
      </c>
      <c r="D3022" t="s">
        <v>81</v>
      </c>
      <c r="E3022" t="s">
        <v>1729</v>
      </c>
      <c r="F3022">
        <v>40.700000000000003</v>
      </c>
      <c r="G3022">
        <v>5</v>
      </c>
      <c r="H3022">
        <v>11.803000000000001</v>
      </c>
      <c r="I3022">
        <v>4</v>
      </c>
      <c r="J3022">
        <v>2011</v>
      </c>
      <c r="K3022" t="s">
        <v>2206</v>
      </c>
      <c r="L3022" t="str">
        <f>TEXT(maintable_2[[#This Row],[Order Date]],"mmmm")</f>
        <v>July</v>
      </c>
    </row>
    <row r="3023" spans="1:12" x14ac:dyDescent="0.3">
      <c r="A3023" s="1">
        <v>40747</v>
      </c>
      <c r="B3023" s="1">
        <v>40751</v>
      </c>
      <c r="C3023" t="s">
        <v>1389</v>
      </c>
      <c r="D3023" t="s">
        <v>15</v>
      </c>
      <c r="E3023" t="s">
        <v>2154</v>
      </c>
      <c r="F3023">
        <v>302.37599999999998</v>
      </c>
      <c r="G3023">
        <v>3</v>
      </c>
      <c r="H3023">
        <v>37.796999999999997</v>
      </c>
      <c r="I3023">
        <v>4</v>
      </c>
      <c r="J3023">
        <v>2011</v>
      </c>
      <c r="K3023" t="s">
        <v>2206</v>
      </c>
      <c r="L3023" t="str">
        <f>TEXT(maintable_2[[#This Row],[Order Date]],"mmmm")</f>
        <v>July</v>
      </c>
    </row>
    <row r="3024" spans="1:12" x14ac:dyDescent="0.3">
      <c r="A3024" s="1">
        <v>40747</v>
      </c>
      <c r="B3024" s="1">
        <v>40751</v>
      </c>
      <c r="C3024" t="s">
        <v>1389</v>
      </c>
      <c r="D3024" t="s">
        <v>37</v>
      </c>
      <c r="E3024" t="s">
        <v>2155</v>
      </c>
      <c r="F3024">
        <v>45</v>
      </c>
      <c r="G3024">
        <v>3</v>
      </c>
      <c r="H3024">
        <v>4.95</v>
      </c>
      <c r="I3024">
        <v>4</v>
      </c>
      <c r="J3024">
        <v>2011</v>
      </c>
      <c r="K3024" t="s">
        <v>2206</v>
      </c>
      <c r="L3024" t="str">
        <f>TEXT(maintable_2[[#This Row],[Order Date]],"mmmm")</f>
        <v>July</v>
      </c>
    </row>
    <row r="3025" spans="1:12" x14ac:dyDescent="0.3">
      <c r="A3025" s="1">
        <v>41533</v>
      </c>
      <c r="B3025" s="1">
        <v>41538</v>
      </c>
      <c r="C3025" t="s">
        <v>1408</v>
      </c>
      <c r="D3025" t="s">
        <v>13</v>
      </c>
      <c r="E3025" t="s">
        <v>1430</v>
      </c>
      <c r="F3025">
        <v>35.4</v>
      </c>
      <c r="G3025">
        <v>5</v>
      </c>
      <c r="H3025">
        <v>13.452</v>
      </c>
      <c r="I3025">
        <v>5</v>
      </c>
      <c r="J3025">
        <v>2013</v>
      </c>
      <c r="K3025" t="s">
        <v>2209</v>
      </c>
      <c r="L3025" t="str">
        <f>TEXT(maintable_2[[#This Row],[Order Date]],"mmmm")</f>
        <v>September</v>
      </c>
    </row>
    <row r="3026" spans="1:12" x14ac:dyDescent="0.3">
      <c r="A3026" s="1">
        <v>41138</v>
      </c>
      <c r="B3026" s="1">
        <v>41144</v>
      </c>
      <c r="C3026" t="s">
        <v>716</v>
      </c>
      <c r="D3026" t="s">
        <v>37</v>
      </c>
      <c r="E3026" t="s">
        <v>1231</v>
      </c>
      <c r="F3026">
        <v>30.08</v>
      </c>
      <c r="G3026">
        <v>2</v>
      </c>
      <c r="H3026">
        <v>-5.2640000000000002</v>
      </c>
      <c r="I3026">
        <v>6</v>
      </c>
      <c r="J3026">
        <v>2012</v>
      </c>
      <c r="K3026" t="s">
        <v>2206</v>
      </c>
      <c r="L3026" t="str">
        <f>TEXT(maintable_2[[#This Row],[Order Date]],"mmmm")</f>
        <v>August</v>
      </c>
    </row>
    <row r="3027" spans="1:12" x14ac:dyDescent="0.3">
      <c r="A3027" s="1">
        <v>41138</v>
      </c>
      <c r="B3027" s="1">
        <v>41144</v>
      </c>
      <c r="C3027" t="s">
        <v>716</v>
      </c>
      <c r="D3027" t="s">
        <v>44</v>
      </c>
      <c r="E3027" t="s">
        <v>2156</v>
      </c>
      <c r="F3027">
        <v>36.287999999999997</v>
      </c>
      <c r="G3027">
        <v>7</v>
      </c>
      <c r="H3027">
        <v>12.700799999999999</v>
      </c>
      <c r="I3027">
        <v>6</v>
      </c>
      <c r="J3027">
        <v>2012</v>
      </c>
      <c r="K3027" t="s">
        <v>2206</v>
      </c>
      <c r="L3027" t="str">
        <f>TEXT(maintable_2[[#This Row],[Order Date]],"mmmm")</f>
        <v>August</v>
      </c>
    </row>
    <row r="3028" spans="1:12" x14ac:dyDescent="0.3">
      <c r="A3028" s="1">
        <v>41138</v>
      </c>
      <c r="B3028" s="1">
        <v>41144</v>
      </c>
      <c r="C3028" t="s">
        <v>716</v>
      </c>
      <c r="D3028" t="s">
        <v>13</v>
      </c>
      <c r="E3028" t="s">
        <v>1209</v>
      </c>
      <c r="F3028">
        <v>10.272</v>
      </c>
      <c r="G3028">
        <v>3</v>
      </c>
      <c r="H3028">
        <v>1.1556</v>
      </c>
      <c r="I3028">
        <v>6</v>
      </c>
      <c r="J3028">
        <v>2012</v>
      </c>
      <c r="K3028" t="s">
        <v>2206</v>
      </c>
      <c r="L3028" t="str">
        <f>TEXT(maintable_2[[#This Row],[Order Date]],"mmmm")</f>
        <v>August</v>
      </c>
    </row>
    <row r="3029" spans="1:12" x14ac:dyDescent="0.3">
      <c r="A3029" s="1">
        <v>41138</v>
      </c>
      <c r="B3029" s="1">
        <v>41144</v>
      </c>
      <c r="C3029" t="s">
        <v>716</v>
      </c>
      <c r="D3029" t="s">
        <v>37</v>
      </c>
      <c r="E3029" t="s">
        <v>327</v>
      </c>
      <c r="F3029">
        <v>252.8</v>
      </c>
      <c r="G3029">
        <v>4</v>
      </c>
      <c r="H3029">
        <v>-31.6</v>
      </c>
      <c r="I3029">
        <v>6</v>
      </c>
      <c r="J3029">
        <v>2012</v>
      </c>
      <c r="K3029" t="s">
        <v>2206</v>
      </c>
      <c r="L3029" t="str">
        <f>TEXT(maintable_2[[#This Row],[Order Date]],"mmmm")</f>
        <v>August</v>
      </c>
    </row>
    <row r="3030" spans="1:12" x14ac:dyDescent="0.3">
      <c r="A3030" s="1">
        <v>41786</v>
      </c>
      <c r="B3030" s="1">
        <v>41791</v>
      </c>
      <c r="C3030" t="s">
        <v>367</v>
      </c>
      <c r="D3030" t="s">
        <v>44</v>
      </c>
      <c r="E3030" t="s">
        <v>1081</v>
      </c>
      <c r="F3030">
        <v>12.96</v>
      </c>
      <c r="G3030">
        <v>2</v>
      </c>
      <c r="H3030">
        <v>6.2207999999999997</v>
      </c>
      <c r="I3030">
        <v>5</v>
      </c>
      <c r="J3030">
        <v>2014</v>
      </c>
      <c r="K3030" t="s">
        <v>2208</v>
      </c>
      <c r="L3030" t="str">
        <f>TEXT(maintable_2[[#This Row],[Order Date]],"mmmm")</f>
        <v>May</v>
      </c>
    </row>
    <row r="3031" spans="1:12" x14ac:dyDescent="0.3">
      <c r="A3031" s="1">
        <v>41535</v>
      </c>
      <c r="B3031" s="1">
        <v>41541</v>
      </c>
      <c r="C3031" t="s">
        <v>536</v>
      </c>
      <c r="D3031" t="s">
        <v>8</v>
      </c>
      <c r="E3031" t="s">
        <v>2157</v>
      </c>
      <c r="F3031">
        <v>12.32</v>
      </c>
      <c r="G3031">
        <v>4</v>
      </c>
      <c r="H3031">
        <v>5.9135999999999997</v>
      </c>
      <c r="I3031">
        <v>6</v>
      </c>
      <c r="J3031">
        <v>2013</v>
      </c>
      <c r="K3031" t="s">
        <v>2209</v>
      </c>
      <c r="L3031" t="str">
        <f>TEXT(maintable_2[[#This Row],[Order Date]],"mmmm")</f>
        <v>September</v>
      </c>
    </row>
    <row r="3032" spans="1:12" x14ac:dyDescent="0.3">
      <c r="A3032" s="1">
        <v>40794</v>
      </c>
      <c r="B3032" s="1">
        <v>40799</v>
      </c>
      <c r="C3032" t="s">
        <v>1373</v>
      </c>
      <c r="D3032" t="s">
        <v>17</v>
      </c>
      <c r="E3032" t="s">
        <v>1222</v>
      </c>
      <c r="F3032">
        <v>8.6080000000000005</v>
      </c>
      <c r="G3032">
        <v>2</v>
      </c>
      <c r="H3032">
        <v>3.0127999999999999</v>
      </c>
      <c r="I3032">
        <v>5</v>
      </c>
      <c r="J3032">
        <v>2011</v>
      </c>
      <c r="K3032" t="s">
        <v>2209</v>
      </c>
      <c r="L3032" t="str">
        <f>TEXT(maintable_2[[#This Row],[Order Date]],"mmmm")</f>
        <v>September</v>
      </c>
    </row>
    <row r="3033" spans="1:12" x14ac:dyDescent="0.3">
      <c r="A3033" s="1">
        <v>41794</v>
      </c>
      <c r="B3033" s="1">
        <v>41798</v>
      </c>
      <c r="C3033" t="s">
        <v>451</v>
      </c>
      <c r="D3033" t="s">
        <v>27</v>
      </c>
      <c r="E3033" t="s">
        <v>1339</v>
      </c>
      <c r="F3033">
        <v>136.26</v>
      </c>
      <c r="G3033">
        <v>9</v>
      </c>
      <c r="H3033">
        <v>5.4504000000000001</v>
      </c>
      <c r="I3033">
        <v>4</v>
      </c>
      <c r="J3033">
        <v>2014</v>
      </c>
      <c r="K3033" t="s">
        <v>2206</v>
      </c>
      <c r="L3033" t="str">
        <f>TEXT(maintable_2[[#This Row],[Order Date]],"mmmm")</f>
        <v>June</v>
      </c>
    </row>
    <row r="3034" spans="1:12" x14ac:dyDescent="0.3">
      <c r="A3034" s="1">
        <v>41180</v>
      </c>
      <c r="B3034" s="1">
        <v>41187</v>
      </c>
      <c r="C3034" t="s">
        <v>1642</v>
      </c>
      <c r="D3034" t="s">
        <v>19</v>
      </c>
      <c r="E3034" t="s">
        <v>2158</v>
      </c>
      <c r="F3034">
        <v>186.15</v>
      </c>
      <c r="G3034">
        <v>3</v>
      </c>
      <c r="H3034">
        <v>55.844999999999999</v>
      </c>
      <c r="I3034">
        <v>7</v>
      </c>
      <c r="J3034">
        <v>2012</v>
      </c>
      <c r="K3034" t="s">
        <v>2209</v>
      </c>
      <c r="L3034" t="str">
        <f>TEXT(maintable_2[[#This Row],[Order Date]],"mmmm")</f>
        <v>September</v>
      </c>
    </row>
    <row r="3035" spans="1:12" x14ac:dyDescent="0.3">
      <c r="A3035" s="1">
        <v>41180</v>
      </c>
      <c r="B3035" s="1">
        <v>41187</v>
      </c>
      <c r="C3035" t="s">
        <v>1642</v>
      </c>
      <c r="D3035" t="s">
        <v>17</v>
      </c>
      <c r="E3035" t="s">
        <v>1239</v>
      </c>
      <c r="F3035">
        <v>81.792000000000002</v>
      </c>
      <c r="G3035">
        <v>6</v>
      </c>
      <c r="H3035">
        <v>26.5824</v>
      </c>
      <c r="I3035">
        <v>7</v>
      </c>
      <c r="J3035">
        <v>2012</v>
      </c>
      <c r="K3035" t="s">
        <v>2209</v>
      </c>
      <c r="L3035" t="str">
        <f>TEXT(maintable_2[[#This Row],[Order Date]],"mmmm")</f>
        <v>September</v>
      </c>
    </row>
    <row r="3036" spans="1:12" x14ac:dyDescent="0.3">
      <c r="A3036" s="1">
        <v>41180</v>
      </c>
      <c r="B3036" s="1">
        <v>41187</v>
      </c>
      <c r="C3036" t="s">
        <v>1642</v>
      </c>
      <c r="D3036" t="s">
        <v>81</v>
      </c>
      <c r="E3036" t="s">
        <v>1975</v>
      </c>
      <c r="F3036">
        <v>47.19</v>
      </c>
      <c r="G3036">
        <v>3</v>
      </c>
      <c r="H3036">
        <v>13.6851</v>
      </c>
      <c r="I3036">
        <v>7</v>
      </c>
      <c r="J3036">
        <v>2012</v>
      </c>
      <c r="K3036" t="s">
        <v>2209</v>
      </c>
      <c r="L3036" t="str">
        <f>TEXT(maintable_2[[#This Row],[Order Date]],"mmmm")</f>
        <v>September</v>
      </c>
    </row>
    <row r="3037" spans="1:12" x14ac:dyDescent="0.3">
      <c r="A3037" s="1">
        <v>41180</v>
      </c>
      <c r="B3037" s="1">
        <v>41187</v>
      </c>
      <c r="C3037" t="s">
        <v>1642</v>
      </c>
      <c r="D3037" t="s">
        <v>15</v>
      </c>
      <c r="E3037" t="s">
        <v>256</v>
      </c>
      <c r="F3037">
        <v>36.783999999999999</v>
      </c>
      <c r="G3037">
        <v>2</v>
      </c>
      <c r="H3037">
        <v>-8.2764000000000006</v>
      </c>
      <c r="I3037">
        <v>7</v>
      </c>
      <c r="J3037">
        <v>2012</v>
      </c>
      <c r="K3037" t="s">
        <v>2209</v>
      </c>
      <c r="L3037" t="str">
        <f>TEXT(maintable_2[[#This Row],[Order Date]],"mmmm")</f>
        <v>September</v>
      </c>
    </row>
    <row r="3038" spans="1:12" x14ac:dyDescent="0.3">
      <c r="A3038" s="1">
        <v>40825</v>
      </c>
      <c r="B3038" s="1">
        <v>40830</v>
      </c>
      <c r="C3038" t="s">
        <v>1244</v>
      </c>
      <c r="D3038" t="s">
        <v>13</v>
      </c>
      <c r="E3038" t="s">
        <v>635</v>
      </c>
      <c r="F3038">
        <v>144.6</v>
      </c>
      <c r="G3038">
        <v>3</v>
      </c>
      <c r="H3038">
        <v>41.933999999999997</v>
      </c>
      <c r="I3038">
        <v>5</v>
      </c>
      <c r="J3038">
        <v>2011</v>
      </c>
      <c r="K3038" t="s">
        <v>2209</v>
      </c>
      <c r="L3038" t="str">
        <f>TEXT(maintable_2[[#This Row],[Order Date]],"mmmm")</f>
        <v>October</v>
      </c>
    </row>
    <row r="3039" spans="1:12" x14ac:dyDescent="0.3">
      <c r="A3039" s="1">
        <v>40825</v>
      </c>
      <c r="B3039" s="1">
        <v>40830</v>
      </c>
      <c r="C3039" t="s">
        <v>1244</v>
      </c>
      <c r="D3039" t="s">
        <v>15</v>
      </c>
      <c r="E3039" t="s">
        <v>2047</v>
      </c>
      <c r="F3039">
        <v>15.992000000000001</v>
      </c>
      <c r="G3039">
        <v>1</v>
      </c>
      <c r="H3039">
        <v>-2.9984999999999999</v>
      </c>
      <c r="I3039">
        <v>5</v>
      </c>
      <c r="J3039">
        <v>2011</v>
      </c>
      <c r="K3039" t="s">
        <v>2209</v>
      </c>
      <c r="L3039" t="str">
        <f>TEXT(maintable_2[[#This Row],[Order Date]],"mmmm")</f>
        <v>October</v>
      </c>
    </row>
    <row r="3040" spans="1:12" x14ac:dyDescent="0.3">
      <c r="A3040" s="1">
        <v>40835</v>
      </c>
      <c r="B3040" s="1">
        <v>40840</v>
      </c>
      <c r="C3040" t="s">
        <v>1345</v>
      </c>
      <c r="D3040" t="s">
        <v>15</v>
      </c>
      <c r="E3040" t="s">
        <v>703</v>
      </c>
      <c r="F3040">
        <v>321.55200000000002</v>
      </c>
      <c r="G3040">
        <v>6</v>
      </c>
      <c r="H3040">
        <v>20.097000000000001</v>
      </c>
      <c r="I3040">
        <v>5</v>
      </c>
      <c r="J3040">
        <v>2011</v>
      </c>
      <c r="K3040" t="s">
        <v>2209</v>
      </c>
      <c r="L3040" t="str">
        <f>TEXT(maintable_2[[#This Row],[Order Date]],"mmmm")</f>
        <v>October</v>
      </c>
    </row>
    <row r="3041" spans="1:12" x14ac:dyDescent="0.3">
      <c r="A3041" s="1">
        <v>41598</v>
      </c>
      <c r="B3041" s="1">
        <v>41602</v>
      </c>
      <c r="C3041" t="s">
        <v>1759</v>
      </c>
      <c r="D3041" t="s">
        <v>11</v>
      </c>
      <c r="E3041" t="s">
        <v>261</v>
      </c>
      <c r="F3041">
        <v>31.96</v>
      </c>
      <c r="G3041">
        <v>2</v>
      </c>
      <c r="H3041">
        <v>1.5980000000000001</v>
      </c>
      <c r="I3041">
        <v>4</v>
      </c>
      <c r="J3041">
        <v>2013</v>
      </c>
      <c r="K3041" t="s">
        <v>2209</v>
      </c>
      <c r="L3041" t="str">
        <f>TEXT(maintable_2[[#This Row],[Order Date]],"mmmm")</f>
        <v>November</v>
      </c>
    </row>
    <row r="3042" spans="1:12" x14ac:dyDescent="0.3">
      <c r="A3042" s="1">
        <v>40746</v>
      </c>
      <c r="B3042" s="1">
        <v>40752</v>
      </c>
      <c r="C3042" t="s">
        <v>1036</v>
      </c>
      <c r="D3042" t="s">
        <v>13</v>
      </c>
      <c r="E3042" t="s">
        <v>1290</v>
      </c>
      <c r="F3042">
        <v>19.68</v>
      </c>
      <c r="G3042">
        <v>6</v>
      </c>
      <c r="H3042">
        <v>6.4943999999999997</v>
      </c>
      <c r="I3042">
        <v>6</v>
      </c>
      <c r="J3042">
        <v>2011</v>
      </c>
      <c r="K3042" t="s">
        <v>2206</v>
      </c>
      <c r="L3042" t="str">
        <f>TEXT(maintable_2[[#This Row],[Order Date]],"mmmm")</f>
        <v>July</v>
      </c>
    </row>
    <row r="3043" spans="1:12" x14ac:dyDescent="0.3">
      <c r="A3043" s="1">
        <v>41183</v>
      </c>
      <c r="B3043" s="1">
        <v>41186</v>
      </c>
      <c r="C3043" t="s">
        <v>1917</v>
      </c>
      <c r="D3043" t="s">
        <v>15</v>
      </c>
      <c r="E3043" t="s">
        <v>885</v>
      </c>
      <c r="F3043">
        <v>572.79999999999995</v>
      </c>
      <c r="G3043">
        <v>2</v>
      </c>
      <c r="H3043">
        <v>50.12</v>
      </c>
      <c r="I3043">
        <v>3</v>
      </c>
      <c r="J3043">
        <v>2012</v>
      </c>
      <c r="K3043" t="s">
        <v>2209</v>
      </c>
      <c r="L3043" t="str">
        <f>TEXT(maintable_2[[#This Row],[Order Date]],"mmmm")</f>
        <v>October</v>
      </c>
    </row>
    <row r="3044" spans="1:12" x14ac:dyDescent="0.3">
      <c r="A3044" s="1">
        <v>41643</v>
      </c>
      <c r="B3044" s="1">
        <v>41647</v>
      </c>
      <c r="C3044" t="s">
        <v>2159</v>
      </c>
      <c r="D3044" t="s">
        <v>17</v>
      </c>
      <c r="E3044" t="s">
        <v>2160</v>
      </c>
      <c r="F3044">
        <v>2022.2719999999999</v>
      </c>
      <c r="G3044">
        <v>8</v>
      </c>
      <c r="H3044">
        <v>682.51679999999999</v>
      </c>
      <c r="I3044">
        <v>4</v>
      </c>
      <c r="J3044">
        <v>2014</v>
      </c>
      <c r="K3044" t="s">
        <v>2210</v>
      </c>
      <c r="L3044" t="str">
        <f>TEXT(maintable_2[[#This Row],[Order Date]],"mmmm")</f>
        <v>January</v>
      </c>
    </row>
    <row r="3045" spans="1:12" x14ac:dyDescent="0.3">
      <c r="A3045" s="1">
        <v>41643</v>
      </c>
      <c r="B3045" s="1">
        <v>41647</v>
      </c>
      <c r="C3045" t="s">
        <v>2159</v>
      </c>
      <c r="D3045" t="s">
        <v>13</v>
      </c>
      <c r="E3045" t="s">
        <v>1991</v>
      </c>
      <c r="F3045">
        <v>9.1199999999999992</v>
      </c>
      <c r="G3045">
        <v>3</v>
      </c>
      <c r="H3045">
        <v>3.1008</v>
      </c>
      <c r="I3045">
        <v>4</v>
      </c>
      <c r="J3045">
        <v>2014</v>
      </c>
      <c r="K3045" t="s">
        <v>2210</v>
      </c>
      <c r="L3045" t="str">
        <f>TEXT(maintable_2[[#This Row],[Order Date]],"mmmm")</f>
        <v>January</v>
      </c>
    </row>
    <row r="3046" spans="1:12" x14ac:dyDescent="0.3">
      <c r="A3046" s="1">
        <v>41407</v>
      </c>
      <c r="B3046" s="1">
        <v>41411</v>
      </c>
      <c r="C3046" t="s">
        <v>2161</v>
      </c>
      <c r="D3046" t="s">
        <v>37</v>
      </c>
      <c r="E3046" t="s">
        <v>2162</v>
      </c>
      <c r="F3046">
        <v>120</v>
      </c>
      <c r="G3046">
        <v>6</v>
      </c>
      <c r="H3046">
        <v>46.8</v>
      </c>
      <c r="I3046">
        <v>4</v>
      </c>
      <c r="J3046">
        <v>2013</v>
      </c>
      <c r="K3046" t="s">
        <v>2208</v>
      </c>
      <c r="L3046" t="str">
        <f>TEXT(maintable_2[[#This Row],[Order Date]],"mmmm")</f>
        <v>May</v>
      </c>
    </row>
    <row r="3047" spans="1:12" x14ac:dyDescent="0.3">
      <c r="A3047" s="1">
        <v>41407</v>
      </c>
      <c r="B3047" s="1">
        <v>41411</v>
      </c>
      <c r="C3047" t="s">
        <v>2161</v>
      </c>
      <c r="D3047" t="s">
        <v>19</v>
      </c>
      <c r="E3047" t="s">
        <v>105</v>
      </c>
      <c r="F3047">
        <v>8.67</v>
      </c>
      <c r="G3047">
        <v>1</v>
      </c>
      <c r="H3047">
        <v>2.3409</v>
      </c>
      <c r="I3047">
        <v>4</v>
      </c>
      <c r="J3047">
        <v>2013</v>
      </c>
      <c r="K3047" t="s">
        <v>2208</v>
      </c>
      <c r="L3047" t="str">
        <f>TEXT(maintable_2[[#This Row],[Order Date]],"mmmm")</f>
        <v>May</v>
      </c>
    </row>
    <row r="3048" spans="1:12" x14ac:dyDescent="0.3">
      <c r="A3048" s="1">
        <v>41233</v>
      </c>
      <c r="B3048" s="1">
        <v>41237</v>
      </c>
      <c r="C3048" t="s">
        <v>2163</v>
      </c>
      <c r="D3048" t="s">
        <v>11</v>
      </c>
      <c r="E3048" t="s">
        <v>2164</v>
      </c>
      <c r="F3048">
        <v>32.04</v>
      </c>
      <c r="G3048">
        <v>3</v>
      </c>
      <c r="H3048">
        <v>8.01</v>
      </c>
      <c r="I3048">
        <v>4</v>
      </c>
      <c r="J3048">
        <v>2012</v>
      </c>
      <c r="K3048" t="s">
        <v>2209</v>
      </c>
      <c r="L3048" t="str">
        <f>TEXT(maintable_2[[#This Row],[Order Date]],"mmmm")</f>
        <v>November</v>
      </c>
    </row>
    <row r="3049" spans="1:12" x14ac:dyDescent="0.3">
      <c r="A3049" s="1">
        <v>41768</v>
      </c>
      <c r="B3049" s="1">
        <v>41772</v>
      </c>
      <c r="C3049" t="s">
        <v>704</v>
      </c>
      <c r="D3049" t="s">
        <v>19</v>
      </c>
      <c r="E3049" t="s">
        <v>872</v>
      </c>
      <c r="F3049">
        <v>81.08</v>
      </c>
      <c r="G3049">
        <v>4</v>
      </c>
      <c r="H3049">
        <v>22.702400000000001</v>
      </c>
      <c r="I3049">
        <v>4</v>
      </c>
      <c r="J3049">
        <v>2014</v>
      </c>
      <c r="K3049" t="s">
        <v>2208</v>
      </c>
      <c r="L3049" t="str">
        <f>TEXT(maintable_2[[#This Row],[Order Date]],"mmmm")</f>
        <v>May</v>
      </c>
    </row>
    <row r="3050" spans="1:12" x14ac:dyDescent="0.3">
      <c r="A3050" s="1">
        <v>41309</v>
      </c>
      <c r="B3050" s="1">
        <v>41314</v>
      </c>
      <c r="C3050" t="s">
        <v>605</v>
      </c>
      <c r="D3050" t="s">
        <v>27</v>
      </c>
      <c r="E3050" t="s">
        <v>783</v>
      </c>
      <c r="F3050">
        <v>93.02</v>
      </c>
      <c r="G3050">
        <v>2</v>
      </c>
      <c r="H3050">
        <v>3.7208000000000001</v>
      </c>
      <c r="I3050">
        <v>5</v>
      </c>
      <c r="J3050">
        <v>2013</v>
      </c>
      <c r="K3050" t="s">
        <v>2210</v>
      </c>
      <c r="L3050" t="str">
        <f>TEXT(maintable_2[[#This Row],[Order Date]],"mmmm")</f>
        <v>February</v>
      </c>
    </row>
    <row r="3051" spans="1:12" x14ac:dyDescent="0.3">
      <c r="A3051" s="1">
        <v>41979</v>
      </c>
      <c r="B3051" s="1">
        <v>41980</v>
      </c>
      <c r="C3051" t="s">
        <v>866</v>
      </c>
      <c r="D3051" t="s">
        <v>17</v>
      </c>
      <c r="E3051" t="s">
        <v>1411</v>
      </c>
      <c r="F3051">
        <v>83.92</v>
      </c>
      <c r="G3051">
        <v>5</v>
      </c>
      <c r="H3051">
        <v>29.372</v>
      </c>
      <c r="I3051">
        <v>1</v>
      </c>
      <c r="J3051">
        <v>2014</v>
      </c>
      <c r="K3051" t="s">
        <v>2207</v>
      </c>
      <c r="L3051" t="str">
        <f>TEXT(maintable_2[[#This Row],[Order Date]],"mmmm")</f>
        <v>December</v>
      </c>
    </row>
    <row r="3052" spans="1:12" x14ac:dyDescent="0.3">
      <c r="A3052" s="1">
        <v>41979</v>
      </c>
      <c r="B3052" s="1">
        <v>41980</v>
      </c>
      <c r="C3052" t="s">
        <v>866</v>
      </c>
      <c r="D3052" t="s">
        <v>11</v>
      </c>
      <c r="E3052" t="s">
        <v>2165</v>
      </c>
      <c r="F3052">
        <v>199.9</v>
      </c>
      <c r="G3052">
        <v>5</v>
      </c>
      <c r="H3052">
        <v>39.979999999999997</v>
      </c>
      <c r="I3052">
        <v>1</v>
      </c>
      <c r="J3052">
        <v>2014</v>
      </c>
      <c r="K3052" t="s">
        <v>2207</v>
      </c>
      <c r="L3052" t="str">
        <f>TEXT(maintable_2[[#This Row],[Order Date]],"mmmm")</f>
        <v>December</v>
      </c>
    </row>
    <row r="3053" spans="1:12" x14ac:dyDescent="0.3">
      <c r="A3053" s="1">
        <v>41979</v>
      </c>
      <c r="B3053" s="1">
        <v>41980</v>
      </c>
      <c r="C3053" t="s">
        <v>866</v>
      </c>
      <c r="D3053" t="s">
        <v>15</v>
      </c>
      <c r="E3053" t="s">
        <v>1825</v>
      </c>
      <c r="F3053">
        <v>31.175999999999998</v>
      </c>
      <c r="G3053">
        <v>3</v>
      </c>
      <c r="H3053">
        <v>-7.0145999999999997</v>
      </c>
      <c r="I3053">
        <v>1</v>
      </c>
      <c r="J3053">
        <v>2014</v>
      </c>
      <c r="K3053" t="s">
        <v>2207</v>
      </c>
      <c r="L3053" t="str">
        <f>TEXT(maintable_2[[#This Row],[Order Date]],"mmmm")</f>
        <v>December</v>
      </c>
    </row>
    <row r="3054" spans="1:12" x14ac:dyDescent="0.3">
      <c r="A3054" s="1">
        <v>41979</v>
      </c>
      <c r="B3054" s="1">
        <v>41980</v>
      </c>
      <c r="C3054" t="s">
        <v>866</v>
      </c>
      <c r="D3054" t="s">
        <v>17</v>
      </c>
      <c r="E3054" t="s">
        <v>1136</v>
      </c>
      <c r="F3054">
        <v>172.75200000000001</v>
      </c>
      <c r="G3054">
        <v>6</v>
      </c>
      <c r="H3054">
        <v>60.463200000000001</v>
      </c>
      <c r="I3054">
        <v>1</v>
      </c>
      <c r="J3054">
        <v>2014</v>
      </c>
      <c r="K3054" t="s">
        <v>2207</v>
      </c>
      <c r="L3054" t="str">
        <f>TEXT(maintable_2[[#This Row],[Order Date]],"mmmm")</f>
        <v>December</v>
      </c>
    </row>
    <row r="3055" spans="1:12" x14ac:dyDescent="0.3">
      <c r="A3055" s="1">
        <v>41979</v>
      </c>
      <c r="B3055" s="1">
        <v>41980</v>
      </c>
      <c r="C3055" t="s">
        <v>866</v>
      </c>
      <c r="D3055" t="s">
        <v>17</v>
      </c>
      <c r="E3055" t="s">
        <v>397</v>
      </c>
      <c r="F3055">
        <v>9.2959999999999994</v>
      </c>
      <c r="G3055">
        <v>2</v>
      </c>
      <c r="H3055">
        <v>3.0211999999999999</v>
      </c>
      <c r="I3055">
        <v>1</v>
      </c>
      <c r="J3055">
        <v>2014</v>
      </c>
      <c r="K3055" t="s">
        <v>2207</v>
      </c>
      <c r="L3055" t="str">
        <f>TEXT(maintable_2[[#This Row],[Order Date]],"mmmm")</f>
        <v>December</v>
      </c>
    </row>
    <row r="3056" spans="1:12" x14ac:dyDescent="0.3">
      <c r="A3056" s="1">
        <v>41829</v>
      </c>
      <c r="B3056" s="1">
        <v>41833</v>
      </c>
      <c r="C3056" t="s">
        <v>2166</v>
      </c>
      <c r="D3056" t="s">
        <v>44</v>
      </c>
      <c r="E3056" t="s">
        <v>105</v>
      </c>
      <c r="F3056">
        <v>52.76</v>
      </c>
      <c r="G3056">
        <v>2</v>
      </c>
      <c r="H3056">
        <v>24.269600000000001</v>
      </c>
      <c r="I3056">
        <v>4</v>
      </c>
      <c r="J3056">
        <v>2014</v>
      </c>
      <c r="K3056" t="s">
        <v>2206</v>
      </c>
      <c r="L3056" t="str">
        <f>TEXT(maintable_2[[#This Row],[Order Date]],"mmmm")</f>
        <v>July</v>
      </c>
    </row>
    <row r="3057" spans="1:12" x14ac:dyDescent="0.3">
      <c r="A3057" s="1">
        <v>41543</v>
      </c>
      <c r="B3057" s="1">
        <v>41545</v>
      </c>
      <c r="C3057" t="s">
        <v>1141</v>
      </c>
      <c r="D3057" t="s">
        <v>196</v>
      </c>
      <c r="E3057" t="s">
        <v>574</v>
      </c>
      <c r="F3057">
        <v>477.666</v>
      </c>
      <c r="G3057">
        <v>2</v>
      </c>
      <c r="H3057">
        <v>84.293999999999997</v>
      </c>
      <c r="I3057">
        <v>2</v>
      </c>
      <c r="J3057">
        <v>2013</v>
      </c>
      <c r="K3057" t="s">
        <v>2209</v>
      </c>
      <c r="L3057" t="str">
        <f>TEXT(maintable_2[[#This Row],[Order Date]],"mmmm")</f>
        <v>September</v>
      </c>
    </row>
    <row r="3058" spans="1:12" x14ac:dyDescent="0.3">
      <c r="A3058" s="1">
        <v>41040</v>
      </c>
      <c r="B3058" s="1">
        <v>41045</v>
      </c>
      <c r="C3058" t="s">
        <v>2009</v>
      </c>
      <c r="D3058" t="s">
        <v>71</v>
      </c>
      <c r="E3058" t="s">
        <v>1327</v>
      </c>
      <c r="F3058">
        <v>191.96799999999999</v>
      </c>
      <c r="G3058">
        <v>7</v>
      </c>
      <c r="H3058">
        <v>16.7972</v>
      </c>
      <c r="I3058">
        <v>5</v>
      </c>
      <c r="J3058">
        <v>2012</v>
      </c>
      <c r="K3058" t="s">
        <v>2208</v>
      </c>
      <c r="L3058" t="str">
        <f>TEXT(maintable_2[[#This Row],[Order Date]],"mmmm")</f>
        <v>May</v>
      </c>
    </row>
    <row r="3059" spans="1:12" x14ac:dyDescent="0.3">
      <c r="A3059" s="1">
        <v>41032</v>
      </c>
      <c r="B3059" s="1">
        <v>41035</v>
      </c>
      <c r="C3059" t="s">
        <v>1403</v>
      </c>
      <c r="D3059" t="s">
        <v>17</v>
      </c>
      <c r="E3059" t="s">
        <v>2167</v>
      </c>
      <c r="F3059">
        <v>13.848000000000001</v>
      </c>
      <c r="G3059">
        <v>3</v>
      </c>
      <c r="H3059">
        <v>5.1929999999999996</v>
      </c>
      <c r="I3059">
        <v>3</v>
      </c>
      <c r="J3059">
        <v>2012</v>
      </c>
      <c r="K3059" t="s">
        <v>2208</v>
      </c>
      <c r="L3059" t="str">
        <f>TEXT(maintable_2[[#This Row],[Order Date]],"mmmm")</f>
        <v>May</v>
      </c>
    </row>
    <row r="3060" spans="1:12" x14ac:dyDescent="0.3">
      <c r="A3060" s="1">
        <v>41540</v>
      </c>
      <c r="B3060" s="1">
        <v>41545</v>
      </c>
      <c r="C3060" t="s">
        <v>2078</v>
      </c>
      <c r="D3060" t="s">
        <v>11</v>
      </c>
      <c r="E3060" t="s">
        <v>337</v>
      </c>
      <c r="F3060">
        <v>68.432000000000002</v>
      </c>
      <c r="G3060">
        <v>7</v>
      </c>
      <c r="H3060">
        <v>8.5540000000000003</v>
      </c>
      <c r="I3060">
        <v>5</v>
      </c>
      <c r="J3060">
        <v>2013</v>
      </c>
      <c r="K3060" t="s">
        <v>2209</v>
      </c>
      <c r="L3060" t="str">
        <f>TEXT(maintable_2[[#This Row],[Order Date]],"mmmm")</f>
        <v>September</v>
      </c>
    </row>
    <row r="3061" spans="1:12" x14ac:dyDescent="0.3">
      <c r="A3061" s="1">
        <v>41061</v>
      </c>
      <c r="B3061" s="1">
        <v>41068</v>
      </c>
      <c r="C3061" t="s">
        <v>2168</v>
      </c>
      <c r="D3061" t="s">
        <v>44</v>
      </c>
      <c r="E3061" t="s">
        <v>1185</v>
      </c>
      <c r="F3061">
        <v>11.76</v>
      </c>
      <c r="G3061">
        <v>2</v>
      </c>
      <c r="H3061">
        <v>5.7624000000000004</v>
      </c>
      <c r="I3061">
        <v>7</v>
      </c>
      <c r="J3061">
        <v>2012</v>
      </c>
      <c r="K3061" t="s">
        <v>2208</v>
      </c>
      <c r="L3061" t="str">
        <f>TEXT(maintable_2[[#This Row],[Order Date]],"mmmm")</f>
        <v>June</v>
      </c>
    </row>
    <row r="3062" spans="1:12" x14ac:dyDescent="0.3">
      <c r="A3062" s="1">
        <v>41134</v>
      </c>
      <c r="B3062" s="1">
        <v>41134</v>
      </c>
      <c r="C3062" t="s">
        <v>2169</v>
      </c>
      <c r="D3062" t="s">
        <v>11</v>
      </c>
      <c r="E3062" t="s">
        <v>767</v>
      </c>
      <c r="F3062">
        <v>31.56</v>
      </c>
      <c r="G3062">
        <v>3</v>
      </c>
      <c r="H3062">
        <v>10.4148</v>
      </c>
      <c r="I3062">
        <v>0</v>
      </c>
      <c r="J3062">
        <v>2012</v>
      </c>
      <c r="K3062" t="s">
        <v>2206</v>
      </c>
      <c r="L3062" t="str">
        <f>TEXT(maintable_2[[#This Row],[Order Date]],"mmmm")</f>
        <v>August</v>
      </c>
    </row>
    <row r="3063" spans="1:12" x14ac:dyDescent="0.3">
      <c r="A3063" s="1">
        <v>41597</v>
      </c>
      <c r="B3063" s="1">
        <v>41597</v>
      </c>
      <c r="C3063" t="s">
        <v>2170</v>
      </c>
      <c r="D3063" t="s">
        <v>17</v>
      </c>
      <c r="E3063" t="s">
        <v>952</v>
      </c>
      <c r="F3063">
        <v>61.12</v>
      </c>
      <c r="G3063">
        <v>5</v>
      </c>
      <c r="H3063">
        <v>22.155999999999999</v>
      </c>
      <c r="I3063">
        <v>0</v>
      </c>
      <c r="J3063">
        <v>2013</v>
      </c>
      <c r="K3063" t="s">
        <v>2209</v>
      </c>
      <c r="L3063" t="str">
        <f>TEXT(maintable_2[[#This Row],[Order Date]],"mmmm")</f>
        <v>November</v>
      </c>
    </row>
    <row r="3064" spans="1:12" x14ac:dyDescent="0.3">
      <c r="A3064" s="1">
        <v>41664</v>
      </c>
      <c r="B3064" s="1">
        <v>41669</v>
      </c>
      <c r="C3064" t="s">
        <v>1750</v>
      </c>
      <c r="D3064" t="s">
        <v>19</v>
      </c>
      <c r="E3064" t="s">
        <v>900</v>
      </c>
      <c r="F3064">
        <v>25.86</v>
      </c>
      <c r="G3064">
        <v>3</v>
      </c>
      <c r="H3064">
        <v>6.7236000000000002</v>
      </c>
      <c r="I3064">
        <v>5</v>
      </c>
      <c r="J3064">
        <v>2014</v>
      </c>
      <c r="K3064" t="s">
        <v>2210</v>
      </c>
      <c r="L3064" t="str">
        <f>TEXT(maintable_2[[#This Row],[Order Date]],"mmmm")</f>
        <v>January</v>
      </c>
    </row>
    <row r="3065" spans="1:12" x14ac:dyDescent="0.3">
      <c r="A3065" s="1">
        <v>41664</v>
      </c>
      <c r="B3065" s="1">
        <v>41669</v>
      </c>
      <c r="C3065" t="s">
        <v>1750</v>
      </c>
      <c r="D3065" t="s">
        <v>17</v>
      </c>
      <c r="E3065" t="s">
        <v>2127</v>
      </c>
      <c r="F3065">
        <v>276.78399999999999</v>
      </c>
      <c r="G3065">
        <v>2</v>
      </c>
      <c r="H3065">
        <v>89.954800000000006</v>
      </c>
      <c r="I3065">
        <v>5</v>
      </c>
      <c r="J3065">
        <v>2014</v>
      </c>
      <c r="K3065" t="s">
        <v>2210</v>
      </c>
      <c r="L3065" t="str">
        <f>TEXT(maintable_2[[#This Row],[Order Date]],"mmmm")</f>
        <v>January</v>
      </c>
    </row>
    <row r="3066" spans="1:12" x14ac:dyDescent="0.3">
      <c r="A3066" s="1">
        <v>41664</v>
      </c>
      <c r="B3066" s="1">
        <v>41669</v>
      </c>
      <c r="C3066" t="s">
        <v>1750</v>
      </c>
      <c r="D3066" t="s">
        <v>15</v>
      </c>
      <c r="E3066" t="s">
        <v>1468</v>
      </c>
      <c r="F3066">
        <v>110.352</v>
      </c>
      <c r="G3066">
        <v>3</v>
      </c>
      <c r="H3066">
        <v>8.2764000000000006</v>
      </c>
      <c r="I3066">
        <v>5</v>
      </c>
      <c r="J3066">
        <v>2014</v>
      </c>
      <c r="K3066" t="s">
        <v>2210</v>
      </c>
      <c r="L3066" t="str">
        <f>TEXT(maintable_2[[#This Row],[Order Date]],"mmmm")</f>
        <v>January</v>
      </c>
    </row>
    <row r="3067" spans="1:12" x14ac:dyDescent="0.3">
      <c r="A3067" s="1">
        <v>41171</v>
      </c>
      <c r="B3067" s="1">
        <v>41175</v>
      </c>
      <c r="C3067" t="s">
        <v>1841</v>
      </c>
      <c r="D3067" t="s">
        <v>11</v>
      </c>
      <c r="E3067" t="s">
        <v>2171</v>
      </c>
      <c r="F3067">
        <v>60.84</v>
      </c>
      <c r="G3067">
        <v>3</v>
      </c>
      <c r="H3067">
        <v>19.468800000000002</v>
      </c>
      <c r="I3067">
        <v>4</v>
      </c>
      <c r="J3067">
        <v>2012</v>
      </c>
      <c r="K3067" t="s">
        <v>2209</v>
      </c>
      <c r="L3067" t="str">
        <f>TEXT(maintable_2[[#This Row],[Order Date]],"mmmm")</f>
        <v>September</v>
      </c>
    </row>
    <row r="3068" spans="1:12" x14ac:dyDescent="0.3">
      <c r="A3068" s="1">
        <v>41013</v>
      </c>
      <c r="B3068" s="1">
        <v>41017</v>
      </c>
      <c r="C3068" t="s">
        <v>2172</v>
      </c>
      <c r="D3068" t="s">
        <v>19</v>
      </c>
      <c r="E3068" t="s">
        <v>947</v>
      </c>
      <c r="F3068">
        <v>35.207999999999998</v>
      </c>
      <c r="G3068">
        <v>1</v>
      </c>
      <c r="H3068">
        <v>2.6406000000000001</v>
      </c>
      <c r="I3068">
        <v>4</v>
      </c>
      <c r="J3068">
        <v>2012</v>
      </c>
      <c r="K3068" t="s">
        <v>2208</v>
      </c>
      <c r="L3068" t="str">
        <f>TEXT(maintable_2[[#This Row],[Order Date]],"mmmm")</f>
        <v>April</v>
      </c>
    </row>
    <row r="3069" spans="1:12" x14ac:dyDescent="0.3">
      <c r="A3069" s="1">
        <v>41411</v>
      </c>
      <c r="B3069" s="1">
        <v>41414</v>
      </c>
      <c r="C3069" t="s">
        <v>210</v>
      </c>
      <c r="D3069" t="s">
        <v>11</v>
      </c>
      <c r="E3069" t="s">
        <v>2173</v>
      </c>
      <c r="F3069">
        <v>282.83999999999997</v>
      </c>
      <c r="G3069">
        <v>4</v>
      </c>
      <c r="H3069">
        <v>19.7988</v>
      </c>
      <c r="I3069">
        <v>3</v>
      </c>
      <c r="J3069">
        <v>2013</v>
      </c>
      <c r="K3069" t="s">
        <v>2208</v>
      </c>
      <c r="L3069" t="str">
        <f>TEXT(maintable_2[[#This Row],[Order Date]],"mmmm")</f>
        <v>May</v>
      </c>
    </row>
    <row r="3070" spans="1:12" x14ac:dyDescent="0.3">
      <c r="A3070" s="1">
        <v>41411</v>
      </c>
      <c r="B3070" s="1">
        <v>41414</v>
      </c>
      <c r="C3070" t="s">
        <v>210</v>
      </c>
      <c r="D3070" t="s">
        <v>8</v>
      </c>
      <c r="E3070" t="s">
        <v>2157</v>
      </c>
      <c r="F3070">
        <v>27.72</v>
      </c>
      <c r="G3070">
        <v>9</v>
      </c>
      <c r="H3070">
        <v>13.3056</v>
      </c>
      <c r="I3070">
        <v>3</v>
      </c>
      <c r="J3070">
        <v>2013</v>
      </c>
      <c r="K3070" t="s">
        <v>2208</v>
      </c>
      <c r="L3070" t="str">
        <f>TEXT(maintable_2[[#This Row],[Order Date]],"mmmm")</f>
        <v>May</v>
      </c>
    </row>
    <row r="3071" spans="1:12" x14ac:dyDescent="0.3">
      <c r="A3071" s="1">
        <v>41536</v>
      </c>
      <c r="B3071" s="1">
        <v>41540</v>
      </c>
      <c r="C3071" t="s">
        <v>266</v>
      </c>
      <c r="D3071" t="s">
        <v>15</v>
      </c>
      <c r="E3071" t="s">
        <v>1173</v>
      </c>
      <c r="F3071">
        <v>239.98400000000001</v>
      </c>
      <c r="G3071">
        <v>2</v>
      </c>
      <c r="H3071">
        <v>23.9984</v>
      </c>
      <c r="I3071">
        <v>4</v>
      </c>
      <c r="J3071">
        <v>2013</v>
      </c>
      <c r="K3071" t="s">
        <v>2209</v>
      </c>
      <c r="L3071" t="str">
        <f>TEXT(maintable_2[[#This Row],[Order Date]],"mmmm")</f>
        <v>September</v>
      </c>
    </row>
    <row r="3072" spans="1:12" x14ac:dyDescent="0.3">
      <c r="A3072" s="1">
        <v>40858</v>
      </c>
      <c r="B3072" s="1">
        <v>40860</v>
      </c>
      <c r="C3072" t="s">
        <v>114</v>
      </c>
      <c r="D3072" t="s">
        <v>19</v>
      </c>
      <c r="E3072" t="s">
        <v>20</v>
      </c>
      <c r="F3072">
        <v>22.98</v>
      </c>
      <c r="G3072">
        <v>1</v>
      </c>
      <c r="H3072">
        <v>6.8940000000000001</v>
      </c>
      <c r="I3072">
        <v>2</v>
      </c>
      <c r="J3072">
        <v>2011</v>
      </c>
      <c r="K3072" t="s">
        <v>2209</v>
      </c>
      <c r="L3072" t="str">
        <f>TEXT(maintable_2[[#This Row],[Order Date]],"mmmm")</f>
        <v>November</v>
      </c>
    </row>
    <row r="3073" spans="1:12" x14ac:dyDescent="0.3">
      <c r="A3073" s="1">
        <v>40858</v>
      </c>
      <c r="B3073" s="1">
        <v>40860</v>
      </c>
      <c r="C3073" t="s">
        <v>114</v>
      </c>
      <c r="D3073" t="s">
        <v>37</v>
      </c>
      <c r="E3073" t="s">
        <v>2002</v>
      </c>
      <c r="F3073">
        <v>102.13</v>
      </c>
      <c r="G3073">
        <v>7</v>
      </c>
      <c r="H3073">
        <v>15.3195</v>
      </c>
      <c r="I3073">
        <v>2</v>
      </c>
      <c r="J3073">
        <v>2011</v>
      </c>
      <c r="K3073" t="s">
        <v>2209</v>
      </c>
      <c r="L3073" t="str">
        <f>TEXT(maintable_2[[#This Row],[Order Date]],"mmmm")</f>
        <v>November</v>
      </c>
    </row>
    <row r="3074" spans="1:12" x14ac:dyDescent="0.3">
      <c r="A3074" s="1">
        <v>40858</v>
      </c>
      <c r="B3074" s="1">
        <v>40860</v>
      </c>
      <c r="C3074" t="s">
        <v>114</v>
      </c>
      <c r="D3074" t="s">
        <v>17</v>
      </c>
      <c r="E3074" t="s">
        <v>895</v>
      </c>
      <c r="F3074">
        <v>2033.5840000000001</v>
      </c>
      <c r="G3074">
        <v>2</v>
      </c>
      <c r="H3074">
        <v>762.59400000000005</v>
      </c>
      <c r="I3074">
        <v>2</v>
      </c>
      <c r="J3074">
        <v>2011</v>
      </c>
      <c r="K3074" t="s">
        <v>2209</v>
      </c>
      <c r="L3074" t="str">
        <f>TEXT(maintable_2[[#This Row],[Order Date]],"mmmm")</f>
        <v>November</v>
      </c>
    </row>
    <row r="3075" spans="1:12" x14ac:dyDescent="0.3">
      <c r="A3075" s="1">
        <v>41509</v>
      </c>
      <c r="B3075" s="1">
        <v>41516</v>
      </c>
      <c r="C3075" t="s">
        <v>2027</v>
      </c>
      <c r="D3075" t="s">
        <v>13</v>
      </c>
      <c r="E3075" t="s">
        <v>485</v>
      </c>
      <c r="F3075">
        <v>5.76</v>
      </c>
      <c r="G3075">
        <v>2</v>
      </c>
      <c r="H3075">
        <v>1.6704000000000001</v>
      </c>
      <c r="I3075">
        <v>7</v>
      </c>
      <c r="J3075">
        <v>2013</v>
      </c>
      <c r="K3075" t="s">
        <v>2206</v>
      </c>
      <c r="L3075" t="str">
        <f>TEXT(maintable_2[[#This Row],[Order Date]],"mmmm")</f>
        <v>August</v>
      </c>
    </row>
    <row r="3076" spans="1:12" x14ac:dyDescent="0.3">
      <c r="A3076" s="1">
        <v>40865</v>
      </c>
      <c r="B3076" s="1">
        <v>40872</v>
      </c>
      <c r="C3076" t="s">
        <v>349</v>
      </c>
      <c r="D3076" t="s">
        <v>11</v>
      </c>
      <c r="E3076" t="s">
        <v>2174</v>
      </c>
      <c r="F3076">
        <v>137.54</v>
      </c>
      <c r="G3076">
        <v>2</v>
      </c>
      <c r="H3076">
        <v>55.015999999999998</v>
      </c>
      <c r="I3076">
        <v>7</v>
      </c>
      <c r="J3076">
        <v>2011</v>
      </c>
      <c r="K3076" t="s">
        <v>2209</v>
      </c>
      <c r="L3076" t="str">
        <f>TEXT(maintable_2[[#This Row],[Order Date]],"mmmm")</f>
        <v>November</v>
      </c>
    </row>
    <row r="3077" spans="1:12" x14ac:dyDescent="0.3">
      <c r="A3077" s="1">
        <v>40865</v>
      </c>
      <c r="B3077" s="1">
        <v>40872</v>
      </c>
      <c r="C3077" t="s">
        <v>349</v>
      </c>
      <c r="D3077" t="s">
        <v>21</v>
      </c>
      <c r="E3077" t="s">
        <v>579</v>
      </c>
      <c r="F3077">
        <v>730.2</v>
      </c>
      <c r="G3077">
        <v>4</v>
      </c>
      <c r="H3077">
        <v>94.926000000000002</v>
      </c>
      <c r="I3077">
        <v>7</v>
      </c>
      <c r="J3077">
        <v>2011</v>
      </c>
      <c r="K3077" t="s">
        <v>2209</v>
      </c>
      <c r="L3077" t="str">
        <f>TEXT(maintable_2[[#This Row],[Order Date]],"mmmm")</f>
        <v>November</v>
      </c>
    </row>
    <row r="3078" spans="1:12" x14ac:dyDescent="0.3">
      <c r="A3078" s="1">
        <v>41956</v>
      </c>
      <c r="B3078" s="1">
        <v>41959</v>
      </c>
      <c r="C3078" t="s">
        <v>1093</v>
      </c>
      <c r="D3078" t="s">
        <v>44</v>
      </c>
      <c r="E3078" t="s">
        <v>2034</v>
      </c>
      <c r="F3078">
        <v>11.56</v>
      </c>
      <c r="G3078">
        <v>2</v>
      </c>
      <c r="H3078">
        <v>5.6643999999999997</v>
      </c>
      <c r="I3078">
        <v>3</v>
      </c>
      <c r="J3078">
        <v>2014</v>
      </c>
      <c r="K3078" t="s">
        <v>2209</v>
      </c>
      <c r="L3078" t="str">
        <f>TEXT(maintable_2[[#This Row],[Order Date]],"mmmm")</f>
        <v>November</v>
      </c>
    </row>
    <row r="3079" spans="1:12" x14ac:dyDescent="0.3">
      <c r="A3079" s="1">
        <v>40609</v>
      </c>
      <c r="B3079" s="1">
        <v>40614</v>
      </c>
      <c r="C3079" t="s">
        <v>2175</v>
      </c>
      <c r="D3079" t="s">
        <v>13</v>
      </c>
      <c r="E3079" t="s">
        <v>1474</v>
      </c>
      <c r="F3079">
        <v>20.65</v>
      </c>
      <c r="G3079">
        <v>5</v>
      </c>
      <c r="H3079">
        <v>9.4990000000000006</v>
      </c>
      <c r="I3079">
        <v>5</v>
      </c>
      <c r="J3079">
        <v>2011</v>
      </c>
      <c r="K3079" t="s">
        <v>2208</v>
      </c>
      <c r="L3079" t="str">
        <f>TEXT(maintable_2[[#This Row],[Order Date]],"mmmm")</f>
        <v>March</v>
      </c>
    </row>
    <row r="3080" spans="1:12" x14ac:dyDescent="0.3">
      <c r="A3080" s="1">
        <v>40609</v>
      </c>
      <c r="B3080" s="1">
        <v>40614</v>
      </c>
      <c r="C3080" t="s">
        <v>2175</v>
      </c>
      <c r="D3080" t="s">
        <v>27</v>
      </c>
      <c r="E3080" t="s">
        <v>2033</v>
      </c>
      <c r="F3080">
        <v>204.9</v>
      </c>
      <c r="G3080">
        <v>5</v>
      </c>
      <c r="H3080">
        <v>0</v>
      </c>
      <c r="I3080">
        <v>5</v>
      </c>
      <c r="J3080">
        <v>2011</v>
      </c>
      <c r="K3080" t="s">
        <v>2208</v>
      </c>
      <c r="L3080" t="str">
        <f>TEXT(maintable_2[[#This Row],[Order Date]],"mmmm")</f>
        <v>March</v>
      </c>
    </row>
    <row r="3081" spans="1:12" x14ac:dyDescent="0.3">
      <c r="A3081" s="1">
        <v>40609</v>
      </c>
      <c r="B3081" s="1">
        <v>40614</v>
      </c>
      <c r="C3081" t="s">
        <v>2175</v>
      </c>
      <c r="D3081" t="s">
        <v>71</v>
      </c>
      <c r="E3081" t="s">
        <v>2176</v>
      </c>
      <c r="F3081">
        <v>436.70400000000001</v>
      </c>
      <c r="G3081">
        <v>6</v>
      </c>
      <c r="H3081">
        <v>21.8352</v>
      </c>
      <c r="I3081">
        <v>5</v>
      </c>
      <c r="J3081">
        <v>2011</v>
      </c>
      <c r="K3081" t="s">
        <v>2208</v>
      </c>
      <c r="L3081" t="str">
        <f>TEXT(maintable_2[[#This Row],[Order Date]],"mmmm")</f>
        <v>March</v>
      </c>
    </row>
    <row r="3082" spans="1:12" x14ac:dyDescent="0.3">
      <c r="A3082" s="1">
        <v>40609</v>
      </c>
      <c r="B3082" s="1">
        <v>40614</v>
      </c>
      <c r="C3082" t="s">
        <v>2175</v>
      </c>
      <c r="D3082" t="s">
        <v>71</v>
      </c>
      <c r="E3082" t="s">
        <v>1165</v>
      </c>
      <c r="F3082">
        <v>481.56799999999998</v>
      </c>
      <c r="G3082">
        <v>2</v>
      </c>
      <c r="H3082">
        <v>54.176400000000001</v>
      </c>
      <c r="I3082">
        <v>5</v>
      </c>
      <c r="J3082">
        <v>2011</v>
      </c>
      <c r="K3082" t="s">
        <v>2208</v>
      </c>
      <c r="L3082" t="str">
        <f>TEXT(maintable_2[[#This Row],[Order Date]],"mmmm")</f>
        <v>March</v>
      </c>
    </row>
    <row r="3083" spans="1:12" x14ac:dyDescent="0.3">
      <c r="A3083" s="1">
        <v>41799</v>
      </c>
      <c r="B3083" s="1">
        <v>41804</v>
      </c>
      <c r="C3083" t="s">
        <v>2106</v>
      </c>
      <c r="D3083" t="s">
        <v>37</v>
      </c>
      <c r="E3083" t="s">
        <v>1846</v>
      </c>
      <c r="F3083">
        <v>89.543999999999997</v>
      </c>
      <c r="G3083">
        <v>7</v>
      </c>
      <c r="H3083">
        <v>12.3123</v>
      </c>
      <c r="I3083">
        <v>5</v>
      </c>
      <c r="J3083">
        <v>2014</v>
      </c>
      <c r="K3083" t="s">
        <v>2206</v>
      </c>
      <c r="L3083" t="str">
        <f>TEXT(maintable_2[[#This Row],[Order Date]],"mmmm")</f>
        <v>June</v>
      </c>
    </row>
    <row r="3084" spans="1:12" x14ac:dyDescent="0.3">
      <c r="A3084" s="1">
        <v>41799</v>
      </c>
      <c r="B3084" s="1">
        <v>41804</v>
      </c>
      <c r="C3084" t="s">
        <v>2106</v>
      </c>
      <c r="D3084" t="s">
        <v>27</v>
      </c>
      <c r="E3084" t="s">
        <v>1803</v>
      </c>
      <c r="F3084">
        <v>35.167999999999999</v>
      </c>
      <c r="G3084">
        <v>2</v>
      </c>
      <c r="H3084">
        <v>-8.3523999999999994</v>
      </c>
      <c r="I3084">
        <v>5</v>
      </c>
      <c r="J3084">
        <v>2014</v>
      </c>
      <c r="K3084" t="s">
        <v>2206</v>
      </c>
      <c r="L3084" t="str">
        <f>TEXT(maintable_2[[#This Row],[Order Date]],"mmmm")</f>
        <v>June</v>
      </c>
    </row>
    <row r="3085" spans="1:12" x14ac:dyDescent="0.3">
      <c r="A3085" s="1">
        <v>41799</v>
      </c>
      <c r="B3085" s="1">
        <v>41804</v>
      </c>
      <c r="C3085" t="s">
        <v>2106</v>
      </c>
      <c r="D3085" t="s">
        <v>17</v>
      </c>
      <c r="E3085" t="s">
        <v>593</v>
      </c>
      <c r="F3085">
        <v>72.587999999999994</v>
      </c>
      <c r="G3085">
        <v>2</v>
      </c>
      <c r="H3085">
        <v>-48.392000000000003</v>
      </c>
      <c r="I3085">
        <v>5</v>
      </c>
      <c r="J3085">
        <v>2014</v>
      </c>
      <c r="K3085" t="s">
        <v>2206</v>
      </c>
      <c r="L3085" t="str">
        <f>TEXT(maintable_2[[#This Row],[Order Date]],"mmmm")</f>
        <v>June</v>
      </c>
    </row>
    <row r="3086" spans="1:12" x14ac:dyDescent="0.3">
      <c r="A3086" s="1">
        <v>41605</v>
      </c>
      <c r="B3086" s="1">
        <v>41609</v>
      </c>
      <c r="C3086" t="s">
        <v>833</v>
      </c>
      <c r="D3086" t="s">
        <v>196</v>
      </c>
      <c r="E3086" t="s">
        <v>854</v>
      </c>
      <c r="F3086">
        <v>3406.6640000000002</v>
      </c>
      <c r="G3086">
        <v>8</v>
      </c>
      <c r="H3086">
        <v>160.31360000000001</v>
      </c>
      <c r="I3086">
        <v>4</v>
      </c>
      <c r="J3086">
        <v>2013</v>
      </c>
      <c r="K3086" t="s">
        <v>2209</v>
      </c>
      <c r="L3086" t="str">
        <f>TEXT(maintable_2[[#This Row],[Order Date]],"mmmm")</f>
        <v>November</v>
      </c>
    </row>
    <row r="3087" spans="1:12" x14ac:dyDescent="0.3">
      <c r="A3087" s="1">
        <v>41605</v>
      </c>
      <c r="B3087" s="1">
        <v>41609</v>
      </c>
      <c r="C3087" t="s">
        <v>833</v>
      </c>
      <c r="D3087" t="s">
        <v>13</v>
      </c>
      <c r="E3087" t="s">
        <v>1277</v>
      </c>
      <c r="F3087">
        <v>37.17</v>
      </c>
      <c r="G3087">
        <v>9</v>
      </c>
      <c r="H3087">
        <v>10.4076</v>
      </c>
      <c r="I3087">
        <v>4</v>
      </c>
      <c r="J3087">
        <v>2013</v>
      </c>
      <c r="K3087" t="s">
        <v>2209</v>
      </c>
      <c r="L3087" t="str">
        <f>TEXT(maintable_2[[#This Row],[Order Date]],"mmmm")</f>
        <v>November</v>
      </c>
    </row>
    <row r="3088" spans="1:12" x14ac:dyDescent="0.3">
      <c r="A3088" s="1">
        <v>41605</v>
      </c>
      <c r="B3088" s="1">
        <v>41609</v>
      </c>
      <c r="C3088" t="s">
        <v>833</v>
      </c>
      <c r="D3088" t="s">
        <v>19</v>
      </c>
      <c r="E3088" t="s">
        <v>1582</v>
      </c>
      <c r="F3088">
        <v>64.959999999999994</v>
      </c>
      <c r="G3088">
        <v>2</v>
      </c>
      <c r="H3088">
        <v>19.488</v>
      </c>
      <c r="I3088">
        <v>4</v>
      </c>
      <c r="J3088">
        <v>2013</v>
      </c>
      <c r="K3088" t="s">
        <v>2209</v>
      </c>
      <c r="L3088" t="str">
        <f>TEXT(maintable_2[[#This Row],[Order Date]],"mmmm")</f>
        <v>November</v>
      </c>
    </row>
    <row r="3089" spans="1:12" x14ac:dyDescent="0.3">
      <c r="A3089" s="1">
        <v>41605</v>
      </c>
      <c r="B3089" s="1">
        <v>41609</v>
      </c>
      <c r="C3089" t="s">
        <v>833</v>
      </c>
      <c r="D3089" t="s">
        <v>11</v>
      </c>
      <c r="E3089" t="s">
        <v>680</v>
      </c>
      <c r="F3089">
        <v>595.38</v>
      </c>
      <c r="G3089">
        <v>6</v>
      </c>
      <c r="H3089">
        <v>297.69</v>
      </c>
      <c r="I3089">
        <v>4</v>
      </c>
      <c r="J3089">
        <v>2013</v>
      </c>
      <c r="K3089" t="s">
        <v>2209</v>
      </c>
      <c r="L3089" t="str">
        <f>TEXT(maintable_2[[#This Row],[Order Date]],"mmmm")</f>
        <v>November</v>
      </c>
    </row>
    <row r="3090" spans="1:12" x14ac:dyDescent="0.3">
      <c r="A3090" s="1">
        <v>41663</v>
      </c>
      <c r="B3090" s="1">
        <v>41667</v>
      </c>
      <c r="C3090" t="s">
        <v>558</v>
      </c>
      <c r="D3090" t="s">
        <v>37</v>
      </c>
      <c r="E3090" t="s">
        <v>1960</v>
      </c>
      <c r="F3090">
        <v>95.983999999999995</v>
      </c>
      <c r="G3090">
        <v>2</v>
      </c>
      <c r="H3090">
        <v>11.997999999999999</v>
      </c>
      <c r="I3090">
        <v>4</v>
      </c>
      <c r="J3090">
        <v>2014</v>
      </c>
      <c r="K3090" t="s">
        <v>2210</v>
      </c>
      <c r="L3090" t="str">
        <f>TEXT(maintable_2[[#This Row],[Order Date]],"mmmm")</f>
        <v>January</v>
      </c>
    </row>
    <row r="3091" spans="1:12" x14ac:dyDescent="0.3">
      <c r="A3091" s="1">
        <v>41663</v>
      </c>
      <c r="B3091" s="1">
        <v>41667</v>
      </c>
      <c r="C3091" t="s">
        <v>558</v>
      </c>
      <c r="D3091" t="s">
        <v>17</v>
      </c>
      <c r="E3091" t="s">
        <v>865</v>
      </c>
      <c r="F3091">
        <v>4.9379999999999997</v>
      </c>
      <c r="G3091">
        <v>2</v>
      </c>
      <c r="H3091">
        <v>-3.6212</v>
      </c>
      <c r="I3091">
        <v>4</v>
      </c>
      <c r="J3091">
        <v>2014</v>
      </c>
      <c r="K3091" t="s">
        <v>2210</v>
      </c>
      <c r="L3091" t="str">
        <f>TEXT(maintable_2[[#This Row],[Order Date]],"mmmm")</f>
        <v>January</v>
      </c>
    </row>
    <row r="3092" spans="1:12" x14ac:dyDescent="0.3">
      <c r="A3092" s="1">
        <v>40628</v>
      </c>
      <c r="B3092" s="1">
        <v>40632</v>
      </c>
      <c r="C3092" t="s">
        <v>1070</v>
      </c>
      <c r="D3092" t="s">
        <v>8</v>
      </c>
      <c r="E3092" t="s">
        <v>2177</v>
      </c>
      <c r="F3092">
        <v>18.75</v>
      </c>
      <c r="G3092">
        <v>5</v>
      </c>
      <c r="H3092">
        <v>9</v>
      </c>
      <c r="I3092">
        <v>4</v>
      </c>
      <c r="J3092">
        <v>2011</v>
      </c>
      <c r="K3092" t="s">
        <v>2208</v>
      </c>
      <c r="L3092" t="str">
        <f>TEXT(maintable_2[[#This Row],[Order Date]],"mmmm")</f>
        <v>March</v>
      </c>
    </row>
    <row r="3093" spans="1:12" x14ac:dyDescent="0.3">
      <c r="A3093" s="1">
        <v>41432</v>
      </c>
      <c r="B3093" s="1">
        <v>41437</v>
      </c>
      <c r="C3093" t="s">
        <v>2087</v>
      </c>
      <c r="D3093" t="s">
        <v>15</v>
      </c>
      <c r="E3093" t="s">
        <v>1118</v>
      </c>
      <c r="F3093">
        <v>3023.9279999999999</v>
      </c>
      <c r="G3093">
        <v>9</v>
      </c>
      <c r="H3093">
        <v>226.7946</v>
      </c>
      <c r="I3093">
        <v>5</v>
      </c>
      <c r="J3093">
        <v>2013</v>
      </c>
      <c r="K3093" t="s">
        <v>2206</v>
      </c>
      <c r="L3093" t="str">
        <f>TEXT(maintable_2[[#This Row],[Order Date]],"mmmm")</f>
        <v>June</v>
      </c>
    </row>
    <row r="3094" spans="1:12" x14ac:dyDescent="0.3">
      <c r="A3094" s="1">
        <v>41432</v>
      </c>
      <c r="B3094" s="1">
        <v>41437</v>
      </c>
      <c r="C3094" t="s">
        <v>2087</v>
      </c>
      <c r="D3094" t="s">
        <v>37</v>
      </c>
      <c r="E3094" t="s">
        <v>2178</v>
      </c>
      <c r="F3094">
        <v>26.96</v>
      </c>
      <c r="G3094">
        <v>2</v>
      </c>
      <c r="H3094">
        <v>3.7744</v>
      </c>
      <c r="I3094">
        <v>5</v>
      </c>
      <c r="J3094">
        <v>2013</v>
      </c>
      <c r="K3094" t="s">
        <v>2206</v>
      </c>
      <c r="L3094" t="str">
        <f>TEXT(maintable_2[[#This Row],[Order Date]],"mmmm")</f>
        <v>June</v>
      </c>
    </row>
    <row r="3095" spans="1:12" x14ac:dyDescent="0.3">
      <c r="A3095" s="1">
        <v>41432</v>
      </c>
      <c r="B3095" s="1">
        <v>41437</v>
      </c>
      <c r="C3095" t="s">
        <v>2087</v>
      </c>
      <c r="D3095" t="s">
        <v>15</v>
      </c>
      <c r="E3095" t="s">
        <v>1186</v>
      </c>
      <c r="F3095">
        <v>477.6</v>
      </c>
      <c r="G3095">
        <v>3</v>
      </c>
      <c r="H3095">
        <v>161.19</v>
      </c>
      <c r="I3095">
        <v>5</v>
      </c>
      <c r="J3095">
        <v>2013</v>
      </c>
      <c r="K3095" t="s">
        <v>2206</v>
      </c>
      <c r="L3095" t="str">
        <f>TEXT(maintable_2[[#This Row],[Order Date]],"mmmm")</f>
        <v>June</v>
      </c>
    </row>
    <row r="3096" spans="1:12" x14ac:dyDescent="0.3">
      <c r="A3096" s="1">
        <v>41883</v>
      </c>
      <c r="B3096" s="1">
        <v>41888</v>
      </c>
      <c r="C3096" t="s">
        <v>1158</v>
      </c>
      <c r="D3096" t="s">
        <v>27</v>
      </c>
      <c r="E3096" t="s">
        <v>1099</v>
      </c>
      <c r="F3096">
        <v>193.95</v>
      </c>
      <c r="G3096">
        <v>3</v>
      </c>
      <c r="H3096">
        <v>9.6974999999999998</v>
      </c>
      <c r="I3096">
        <v>5</v>
      </c>
      <c r="J3096">
        <v>2014</v>
      </c>
      <c r="K3096" t="s">
        <v>2206</v>
      </c>
      <c r="L3096" t="str">
        <f>TEXT(maintable_2[[#This Row],[Order Date]],"mmmm")</f>
        <v>September</v>
      </c>
    </row>
    <row r="3097" spans="1:12" x14ac:dyDescent="0.3">
      <c r="A3097" s="1">
        <v>41250</v>
      </c>
      <c r="B3097" s="1">
        <v>41250</v>
      </c>
      <c r="C3097" t="s">
        <v>133</v>
      </c>
      <c r="D3097" t="s">
        <v>44</v>
      </c>
      <c r="E3097" t="s">
        <v>773</v>
      </c>
      <c r="F3097">
        <v>12.96</v>
      </c>
      <c r="G3097">
        <v>2</v>
      </c>
      <c r="H3097">
        <v>6.2207999999999997</v>
      </c>
      <c r="I3097">
        <v>0</v>
      </c>
      <c r="J3097">
        <v>2012</v>
      </c>
      <c r="K3097" t="s">
        <v>2207</v>
      </c>
      <c r="L3097" t="str">
        <f>TEXT(maintable_2[[#This Row],[Order Date]],"mmmm")</f>
        <v>December</v>
      </c>
    </row>
    <row r="3098" spans="1:12" x14ac:dyDescent="0.3">
      <c r="A3098" s="1">
        <v>41960</v>
      </c>
      <c r="B3098" s="1">
        <v>41964</v>
      </c>
      <c r="C3098" t="s">
        <v>74</v>
      </c>
      <c r="D3098" t="s">
        <v>11</v>
      </c>
      <c r="E3098" t="s">
        <v>2165</v>
      </c>
      <c r="F3098">
        <v>119.94</v>
      </c>
      <c r="G3098">
        <v>3</v>
      </c>
      <c r="H3098">
        <v>23.988</v>
      </c>
      <c r="I3098">
        <v>4</v>
      </c>
      <c r="J3098">
        <v>2014</v>
      </c>
      <c r="K3098" t="s">
        <v>2209</v>
      </c>
      <c r="L3098" t="str">
        <f>TEXT(maintable_2[[#This Row],[Order Date]],"mmmm")</f>
        <v>November</v>
      </c>
    </row>
    <row r="3099" spans="1:12" x14ac:dyDescent="0.3">
      <c r="A3099" s="1">
        <v>41960</v>
      </c>
      <c r="B3099" s="1">
        <v>41964</v>
      </c>
      <c r="C3099" t="s">
        <v>74</v>
      </c>
      <c r="D3099" t="s">
        <v>11</v>
      </c>
      <c r="E3099" t="s">
        <v>1822</v>
      </c>
      <c r="F3099">
        <v>12.42</v>
      </c>
      <c r="G3099">
        <v>3</v>
      </c>
      <c r="H3099">
        <v>4.4711999999999996</v>
      </c>
      <c r="I3099">
        <v>4</v>
      </c>
      <c r="J3099">
        <v>2014</v>
      </c>
      <c r="K3099" t="s">
        <v>2209</v>
      </c>
      <c r="L3099" t="str">
        <f>TEXT(maintable_2[[#This Row],[Order Date]],"mmmm")</f>
        <v>November</v>
      </c>
    </row>
    <row r="3100" spans="1:12" x14ac:dyDescent="0.3">
      <c r="A3100" s="1">
        <v>41388</v>
      </c>
      <c r="B3100" s="1">
        <v>41392</v>
      </c>
      <c r="C3100" t="s">
        <v>1693</v>
      </c>
      <c r="D3100" t="s">
        <v>17</v>
      </c>
      <c r="E3100" t="s">
        <v>297</v>
      </c>
      <c r="F3100">
        <v>18.088000000000001</v>
      </c>
      <c r="G3100">
        <v>7</v>
      </c>
      <c r="H3100">
        <v>6.5568999999999997</v>
      </c>
      <c r="I3100">
        <v>4</v>
      </c>
      <c r="J3100">
        <v>2013</v>
      </c>
      <c r="K3100" t="s">
        <v>2208</v>
      </c>
      <c r="L3100" t="str">
        <f>TEXT(maintable_2[[#This Row],[Order Date]],"mmmm")</f>
        <v>April</v>
      </c>
    </row>
    <row r="3101" spans="1:12" x14ac:dyDescent="0.3">
      <c r="A3101" s="1">
        <v>41388</v>
      </c>
      <c r="B3101" s="1">
        <v>41392</v>
      </c>
      <c r="C3101" t="s">
        <v>1693</v>
      </c>
      <c r="D3101" t="s">
        <v>86</v>
      </c>
      <c r="E3101" t="s">
        <v>2179</v>
      </c>
      <c r="F3101">
        <v>71.97</v>
      </c>
      <c r="G3101">
        <v>3</v>
      </c>
      <c r="H3101">
        <v>35.984999999999999</v>
      </c>
      <c r="I3101">
        <v>4</v>
      </c>
      <c r="J3101">
        <v>2013</v>
      </c>
      <c r="K3101" t="s">
        <v>2208</v>
      </c>
      <c r="L3101" t="str">
        <f>TEXT(maintable_2[[#This Row],[Order Date]],"mmmm")</f>
        <v>April</v>
      </c>
    </row>
    <row r="3102" spans="1:12" x14ac:dyDescent="0.3">
      <c r="A3102" s="1">
        <v>41957</v>
      </c>
      <c r="B3102" s="1">
        <v>41963</v>
      </c>
      <c r="C3102" t="s">
        <v>169</v>
      </c>
      <c r="D3102" t="s">
        <v>15</v>
      </c>
      <c r="E3102" t="s">
        <v>2180</v>
      </c>
      <c r="F3102">
        <v>22</v>
      </c>
      <c r="G3102">
        <v>5</v>
      </c>
      <c r="H3102">
        <v>1.375</v>
      </c>
      <c r="I3102">
        <v>6</v>
      </c>
      <c r="J3102">
        <v>2014</v>
      </c>
      <c r="K3102" t="s">
        <v>2209</v>
      </c>
      <c r="L3102" t="str">
        <f>TEXT(maintable_2[[#This Row],[Order Date]],"mmmm")</f>
        <v>November</v>
      </c>
    </row>
    <row r="3103" spans="1:12" x14ac:dyDescent="0.3">
      <c r="A3103" s="1">
        <v>41401</v>
      </c>
      <c r="B3103" s="1">
        <v>41405</v>
      </c>
      <c r="C3103" t="s">
        <v>808</v>
      </c>
      <c r="D3103" t="s">
        <v>11</v>
      </c>
      <c r="E3103" t="s">
        <v>757</v>
      </c>
      <c r="F3103">
        <v>41.6</v>
      </c>
      <c r="G3103">
        <v>4</v>
      </c>
      <c r="H3103">
        <v>14.144</v>
      </c>
      <c r="I3103">
        <v>4</v>
      </c>
      <c r="J3103">
        <v>2013</v>
      </c>
      <c r="K3103" t="s">
        <v>2208</v>
      </c>
      <c r="L3103" t="str">
        <f>TEXT(maintable_2[[#This Row],[Order Date]],"mmmm")</f>
        <v>May</v>
      </c>
    </row>
    <row r="3104" spans="1:12" x14ac:dyDescent="0.3">
      <c r="A3104" s="1">
        <v>41270</v>
      </c>
      <c r="B3104" s="1">
        <v>41274</v>
      </c>
      <c r="C3104" t="s">
        <v>1635</v>
      </c>
      <c r="D3104" t="s">
        <v>27</v>
      </c>
      <c r="E3104" t="s">
        <v>439</v>
      </c>
      <c r="F3104">
        <v>323.10000000000002</v>
      </c>
      <c r="G3104">
        <v>2</v>
      </c>
      <c r="H3104">
        <v>61.389000000000003</v>
      </c>
      <c r="I3104">
        <v>4</v>
      </c>
      <c r="J3104">
        <v>2012</v>
      </c>
      <c r="K3104" t="s">
        <v>2207</v>
      </c>
      <c r="L3104" t="str">
        <f>TEXT(maintable_2[[#This Row],[Order Date]],"mmmm")</f>
        <v>December</v>
      </c>
    </row>
    <row r="3105" spans="1:12" x14ac:dyDescent="0.3">
      <c r="A3105" s="1">
        <v>41270</v>
      </c>
      <c r="B3105" s="1">
        <v>41274</v>
      </c>
      <c r="C3105" t="s">
        <v>1635</v>
      </c>
      <c r="D3105" t="s">
        <v>15</v>
      </c>
      <c r="E3105" t="s">
        <v>721</v>
      </c>
      <c r="F3105">
        <v>668.16</v>
      </c>
      <c r="G3105">
        <v>9</v>
      </c>
      <c r="H3105">
        <v>75.168000000000006</v>
      </c>
      <c r="I3105">
        <v>4</v>
      </c>
      <c r="J3105">
        <v>2012</v>
      </c>
      <c r="K3105" t="s">
        <v>2207</v>
      </c>
      <c r="L3105" t="str">
        <f>TEXT(maintable_2[[#This Row],[Order Date]],"mmmm")</f>
        <v>December</v>
      </c>
    </row>
    <row r="3106" spans="1:12" x14ac:dyDescent="0.3">
      <c r="A3106" s="1">
        <v>41987</v>
      </c>
      <c r="B3106" s="1">
        <v>41992</v>
      </c>
      <c r="C3106" t="s">
        <v>1093</v>
      </c>
      <c r="D3106" t="s">
        <v>8</v>
      </c>
      <c r="E3106" t="s">
        <v>1852</v>
      </c>
      <c r="F3106">
        <v>8.64</v>
      </c>
      <c r="G3106">
        <v>3</v>
      </c>
      <c r="H3106">
        <v>4.2336</v>
      </c>
      <c r="I3106">
        <v>5</v>
      </c>
      <c r="J3106">
        <v>2014</v>
      </c>
      <c r="K3106" t="s">
        <v>2207</v>
      </c>
      <c r="L3106" t="str">
        <f>TEXT(maintable_2[[#This Row],[Order Date]],"mmmm")</f>
        <v>December</v>
      </c>
    </row>
    <row r="3107" spans="1:12" x14ac:dyDescent="0.3">
      <c r="A3107" s="1">
        <v>41987</v>
      </c>
      <c r="B3107" s="1">
        <v>41992</v>
      </c>
      <c r="C3107" t="s">
        <v>1093</v>
      </c>
      <c r="D3107" t="s">
        <v>44</v>
      </c>
      <c r="E3107" t="s">
        <v>538</v>
      </c>
      <c r="F3107">
        <v>38.880000000000003</v>
      </c>
      <c r="G3107">
        <v>6</v>
      </c>
      <c r="H3107">
        <v>18.662400000000002</v>
      </c>
      <c r="I3107">
        <v>5</v>
      </c>
      <c r="J3107">
        <v>2014</v>
      </c>
      <c r="K3107" t="s">
        <v>2207</v>
      </c>
      <c r="L3107" t="str">
        <f>TEXT(maintable_2[[#This Row],[Order Date]],"mmmm")</f>
        <v>December</v>
      </c>
    </row>
    <row r="3108" spans="1:12" x14ac:dyDescent="0.3">
      <c r="A3108" s="1">
        <v>41987</v>
      </c>
      <c r="B3108" s="1">
        <v>41992</v>
      </c>
      <c r="C3108" t="s">
        <v>1093</v>
      </c>
      <c r="D3108" t="s">
        <v>11</v>
      </c>
      <c r="E3108" t="s">
        <v>2181</v>
      </c>
      <c r="F3108">
        <v>201.04</v>
      </c>
      <c r="G3108">
        <v>8</v>
      </c>
      <c r="H3108">
        <v>54.280799999999999</v>
      </c>
      <c r="I3108">
        <v>5</v>
      </c>
      <c r="J3108">
        <v>2014</v>
      </c>
      <c r="K3108" t="s">
        <v>2207</v>
      </c>
      <c r="L3108" t="str">
        <f>TEXT(maintable_2[[#This Row],[Order Date]],"mmmm")</f>
        <v>December</v>
      </c>
    </row>
    <row r="3109" spans="1:12" x14ac:dyDescent="0.3">
      <c r="A3109" s="1">
        <v>41987</v>
      </c>
      <c r="B3109" s="1">
        <v>41992</v>
      </c>
      <c r="C3109" t="s">
        <v>1093</v>
      </c>
      <c r="D3109" t="s">
        <v>44</v>
      </c>
      <c r="E3109" t="s">
        <v>1713</v>
      </c>
      <c r="F3109">
        <v>12.96</v>
      </c>
      <c r="G3109">
        <v>2</v>
      </c>
      <c r="H3109">
        <v>6.3503999999999996</v>
      </c>
      <c r="I3109">
        <v>5</v>
      </c>
      <c r="J3109">
        <v>2014</v>
      </c>
      <c r="K3109" t="s">
        <v>2207</v>
      </c>
      <c r="L3109" t="str">
        <f>TEXT(maintable_2[[#This Row],[Order Date]],"mmmm")</f>
        <v>December</v>
      </c>
    </row>
    <row r="3110" spans="1:12" x14ac:dyDescent="0.3">
      <c r="A3110" s="1">
        <v>41642</v>
      </c>
      <c r="B3110" s="1">
        <v>41644</v>
      </c>
      <c r="C3110" t="s">
        <v>2182</v>
      </c>
      <c r="D3110" t="s">
        <v>37</v>
      </c>
      <c r="E3110" t="s">
        <v>980</v>
      </c>
      <c r="F3110">
        <v>16.59</v>
      </c>
      <c r="G3110">
        <v>1</v>
      </c>
      <c r="H3110">
        <v>5.8064999999999998</v>
      </c>
      <c r="I3110">
        <v>2</v>
      </c>
      <c r="J3110">
        <v>2014</v>
      </c>
      <c r="K3110" t="s">
        <v>2210</v>
      </c>
      <c r="L3110" t="str">
        <f>TEXT(maintable_2[[#This Row],[Order Date]],"mmmm")</f>
        <v>January</v>
      </c>
    </row>
    <row r="3111" spans="1:12" x14ac:dyDescent="0.3">
      <c r="A3111" s="1">
        <v>41790</v>
      </c>
      <c r="B3111" s="1">
        <v>41794</v>
      </c>
      <c r="C3111" t="s">
        <v>826</v>
      </c>
      <c r="D3111" t="s">
        <v>13</v>
      </c>
      <c r="E3111" t="s">
        <v>575</v>
      </c>
      <c r="F3111">
        <v>35.1</v>
      </c>
      <c r="G3111">
        <v>6</v>
      </c>
      <c r="H3111">
        <v>10.179</v>
      </c>
      <c r="I3111">
        <v>4</v>
      </c>
      <c r="J3111">
        <v>2014</v>
      </c>
      <c r="K3111" t="s">
        <v>2208</v>
      </c>
      <c r="L3111" t="str">
        <f>TEXT(maintable_2[[#This Row],[Order Date]],"mmmm")</f>
        <v>May</v>
      </c>
    </row>
    <row r="3112" spans="1:12" x14ac:dyDescent="0.3">
      <c r="A3112" s="1">
        <v>41907</v>
      </c>
      <c r="B3112" s="1">
        <v>41911</v>
      </c>
      <c r="C3112" t="s">
        <v>98</v>
      </c>
      <c r="D3112" t="s">
        <v>44</v>
      </c>
      <c r="E3112" t="s">
        <v>1643</v>
      </c>
      <c r="F3112">
        <v>31.08</v>
      </c>
      <c r="G3112">
        <v>6</v>
      </c>
      <c r="H3112">
        <v>15.229200000000001</v>
      </c>
      <c r="I3112">
        <v>4</v>
      </c>
      <c r="J3112">
        <v>2014</v>
      </c>
      <c r="K3112" t="s">
        <v>2209</v>
      </c>
      <c r="L3112" t="str">
        <f>TEXT(maintable_2[[#This Row],[Order Date]],"mmmm")</f>
        <v>September</v>
      </c>
    </row>
    <row r="3113" spans="1:12" x14ac:dyDescent="0.3">
      <c r="A3113" s="1">
        <v>41907</v>
      </c>
      <c r="B3113" s="1">
        <v>41911</v>
      </c>
      <c r="C3113" t="s">
        <v>98</v>
      </c>
      <c r="D3113" t="s">
        <v>81</v>
      </c>
      <c r="E3113" t="s">
        <v>290</v>
      </c>
      <c r="F3113">
        <v>7.3</v>
      </c>
      <c r="G3113">
        <v>2</v>
      </c>
      <c r="H3113">
        <v>2.19</v>
      </c>
      <c r="I3113">
        <v>4</v>
      </c>
      <c r="J3113">
        <v>2014</v>
      </c>
      <c r="K3113" t="s">
        <v>2209</v>
      </c>
      <c r="L3113" t="str">
        <f>TEXT(maintable_2[[#This Row],[Order Date]],"mmmm")</f>
        <v>September</v>
      </c>
    </row>
    <row r="3114" spans="1:12" x14ac:dyDescent="0.3">
      <c r="A3114" s="1">
        <v>41989</v>
      </c>
      <c r="B3114" s="1">
        <v>41993</v>
      </c>
      <c r="C3114" t="s">
        <v>1800</v>
      </c>
      <c r="D3114" t="s">
        <v>44</v>
      </c>
      <c r="E3114" t="s">
        <v>129</v>
      </c>
      <c r="F3114">
        <v>22.83</v>
      </c>
      <c r="G3114">
        <v>3</v>
      </c>
      <c r="H3114">
        <v>10.7301</v>
      </c>
      <c r="I3114">
        <v>4</v>
      </c>
      <c r="J3114">
        <v>2014</v>
      </c>
      <c r="K3114" t="s">
        <v>2207</v>
      </c>
      <c r="L3114" t="str">
        <f>TEXT(maintable_2[[#This Row],[Order Date]],"mmmm")</f>
        <v>December</v>
      </c>
    </row>
    <row r="3115" spans="1:12" x14ac:dyDescent="0.3">
      <c r="A3115" s="1">
        <v>41989</v>
      </c>
      <c r="B3115" s="1">
        <v>41993</v>
      </c>
      <c r="C3115" t="s">
        <v>1800</v>
      </c>
      <c r="D3115" t="s">
        <v>19</v>
      </c>
      <c r="E3115" t="s">
        <v>2017</v>
      </c>
      <c r="F3115">
        <v>54.32</v>
      </c>
      <c r="G3115">
        <v>4</v>
      </c>
      <c r="H3115">
        <v>16.295999999999999</v>
      </c>
      <c r="I3115">
        <v>4</v>
      </c>
      <c r="J3115">
        <v>2014</v>
      </c>
      <c r="K3115" t="s">
        <v>2207</v>
      </c>
      <c r="L3115" t="str">
        <f>TEXT(maintable_2[[#This Row],[Order Date]],"mmmm")</f>
        <v>December</v>
      </c>
    </row>
    <row r="3116" spans="1:12" x14ac:dyDescent="0.3">
      <c r="A3116" s="1">
        <v>41989</v>
      </c>
      <c r="B3116" s="1">
        <v>41993</v>
      </c>
      <c r="C3116" t="s">
        <v>1800</v>
      </c>
      <c r="D3116" t="s">
        <v>15</v>
      </c>
      <c r="E3116" t="s">
        <v>994</v>
      </c>
      <c r="F3116">
        <v>196.77600000000001</v>
      </c>
      <c r="G3116">
        <v>3</v>
      </c>
      <c r="H3116">
        <v>14.7582</v>
      </c>
      <c r="I3116">
        <v>4</v>
      </c>
      <c r="J3116">
        <v>2014</v>
      </c>
      <c r="K3116" t="s">
        <v>2207</v>
      </c>
      <c r="L3116" t="str">
        <f>TEXT(maintable_2[[#This Row],[Order Date]],"mmmm")</f>
        <v>December</v>
      </c>
    </row>
    <row r="3117" spans="1:12" x14ac:dyDescent="0.3">
      <c r="A3117" s="1">
        <v>41578</v>
      </c>
      <c r="B3117" s="1">
        <v>41583</v>
      </c>
      <c r="C3117" t="s">
        <v>1347</v>
      </c>
      <c r="D3117" t="s">
        <v>78</v>
      </c>
      <c r="E3117" t="s">
        <v>1880</v>
      </c>
      <c r="F3117">
        <v>3.62</v>
      </c>
      <c r="G3117">
        <v>2</v>
      </c>
      <c r="H3117">
        <v>1.1946000000000001</v>
      </c>
      <c r="I3117">
        <v>5</v>
      </c>
      <c r="J3117">
        <v>2013</v>
      </c>
      <c r="K3117" t="s">
        <v>2209</v>
      </c>
      <c r="L3117" t="str">
        <f>TEXT(maintable_2[[#This Row],[Order Date]],"mmmm")</f>
        <v>October</v>
      </c>
    </row>
    <row r="3118" spans="1:12" x14ac:dyDescent="0.3">
      <c r="A3118" s="1">
        <v>41932</v>
      </c>
      <c r="B3118" s="1">
        <v>41936</v>
      </c>
      <c r="C3118" t="s">
        <v>2183</v>
      </c>
      <c r="D3118" t="s">
        <v>17</v>
      </c>
      <c r="E3118" t="s">
        <v>1722</v>
      </c>
      <c r="F3118">
        <v>39.624000000000002</v>
      </c>
      <c r="G3118">
        <v>3</v>
      </c>
      <c r="H3118">
        <v>13.868399999999999</v>
      </c>
      <c r="I3118">
        <v>4</v>
      </c>
      <c r="J3118">
        <v>2014</v>
      </c>
      <c r="K3118" t="s">
        <v>2209</v>
      </c>
      <c r="L3118" t="str">
        <f>TEXT(maintable_2[[#This Row],[Order Date]],"mmmm")</f>
        <v>October</v>
      </c>
    </row>
    <row r="3119" spans="1:12" x14ac:dyDescent="0.3">
      <c r="A3119" s="1">
        <v>41569</v>
      </c>
      <c r="B3119" s="1">
        <v>41575</v>
      </c>
      <c r="C3119" t="s">
        <v>1049</v>
      </c>
      <c r="D3119" t="s">
        <v>71</v>
      </c>
      <c r="E3119" t="s">
        <v>2184</v>
      </c>
      <c r="F3119">
        <v>242.136</v>
      </c>
      <c r="G3119">
        <v>3</v>
      </c>
      <c r="H3119">
        <v>12.1068</v>
      </c>
      <c r="I3119">
        <v>6</v>
      </c>
      <c r="J3119">
        <v>2013</v>
      </c>
      <c r="K3119" t="s">
        <v>2209</v>
      </c>
      <c r="L3119" t="str">
        <f>TEXT(maintable_2[[#This Row],[Order Date]],"mmmm")</f>
        <v>October</v>
      </c>
    </row>
    <row r="3120" spans="1:12" x14ac:dyDescent="0.3">
      <c r="A3120" s="1">
        <v>41569</v>
      </c>
      <c r="B3120" s="1">
        <v>41575</v>
      </c>
      <c r="C3120" t="s">
        <v>1049</v>
      </c>
      <c r="D3120" t="s">
        <v>13</v>
      </c>
      <c r="E3120" t="s">
        <v>1474</v>
      </c>
      <c r="F3120">
        <v>12.39</v>
      </c>
      <c r="G3120">
        <v>3</v>
      </c>
      <c r="H3120">
        <v>5.6993999999999998</v>
      </c>
      <c r="I3120">
        <v>6</v>
      </c>
      <c r="J3120">
        <v>2013</v>
      </c>
      <c r="K3120" t="s">
        <v>2209</v>
      </c>
      <c r="L3120" t="str">
        <f>TEXT(maintable_2[[#This Row],[Order Date]],"mmmm")</f>
        <v>October</v>
      </c>
    </row>
    <row r="3121" spans="1:12" x14ac:dyDescent="0.3">
      <c r="A3121" s="1">
        <v>41569</v>
      </c>
      <c r="B3121" s="1">
        <v>41575</v>
      </c>
      <c r="C3121" t="s">
        <v>1049</v>
      </c>
      <c r="D3121" t="s">
        <v>11</v>
      </c>
      <c r="E3121" t="s">
        <v>1577</v>
      </c>
      <c r="F3121">
        <v>19.96</v>
      </c>
      <c r="G3121">
        <v>2</v>
      </c>
      <c r="H3121">
        <v>5.5888</v>
      </c>
      <c r="I3121">
        <v>6</v>
      </c>
      <c r="J3121">
        <v>2013</v>
      </c>
      <c r="K3121" t="s">
        <v>2209</v>
      </c>
      <c r="L3121" t="str">
        <f>TEXT(maintable_2[[#This Row],[Order Date]],"mmmm")</f>
        <v>October</v>
      </c>
    </row>
    <row r="3122" spans="1:12" x14ac:dyDescent="0.3">
      <c r="A3122" s="1">
        <v>41569</v>
      </c>
      <c r="B3122" s="1">
        <v>41575</v>
      </c>
      <c r="C3122" t="s">
        <v>1049</v>
      </c>
      <c r="D3122" t="s">
        <v>27</v>
      </c>
      <c r="E3122" t="s">
        <v>223</v>
      </c>
      <c r="F3122">
        <v>340.92</v>
      </c>
      <c r="G3122">
        <v>3</v>
      </c>
      <c r="H3122">
        <v>3.4091999999999998</v>
      </c>
      <c r="I3122">
        <v>6</v>
      </c>
      <c r="J3122">
        <v>2013</v>
      </c>
      <c r="K3122" t="s">
        <v>2209</v>
      </c>
      <c r="L3122" t="str">
        <f>TEXT(maintable_2[[#This Row],[Order Date]],"mmmm")</f>
        <v>October</v>
      </c>
    </row>
    <row r="3123" spans="1:12" x14ac:dyDescent="0.3">
      <c r="A3123" s="1">
        <v>41586</v>
      </c>
      <c r="B3123" s="1">
        <v>41591</v>
      </c>
      <c r="C3123" t="s">
        <v>557</v>
      </c>
      <c r="D3123" t="s">
        <v>17</v>
      </c>
      <c r="E3123" t="s">
        <v>1136</v>
      </c>
      <c r="F3123">
        <v>57.584000000000003</v>
      </c>
      <c r="G3123">
        <v>2</v>
      </c>
      <c r="H3123">
        <v>20.154399999999999</v>
      </c>
      <c r="I3123">
        <v>5</v>
      </c>
      <c r="J3123">
        <v>2013</v>
      </c>
      <c r="K3123" t="s">
        <v>2209</v>
      </c>
      <c r="L3123" t="str">
        <f>TEXT(maintable_2[[#This Row],[Order Date]],"mmmm")</f>
        <v>November</v>
      </c>
    </row>
    <row r="3124" spans="1:12" x14ac:dyDescent="0.3">
      <c r="A3124" s="1">
        <v>41900</v>
      </c>
      <c r="B3124" s="1">
        <v>41903</v>
      </c>
      <c r="C3124" t="s">
        <v>977</v>
      </c>
      <c r="D3124" t="s">
        <v>37</v>
      </c>
      <c r="E3124" t="s">
        <v>623</v>
      </c>
      <c r="F3124">
        <v>89.97</v>
      </c>
      <c r="G3124">
        <v>3</v>
      </c>
      <c r="H3124">
        <v>37.787399999999998</v>
      </c>
      <c r="I3124">
        <v>3</v>
      </c>
      <c r="J3124">
        <v>2014</v>
      </c>
      <c r="K3124" t="s">
        <v>2209</v>
      </c>
      <c r="L3124" t="str">
        <f>TEXT(maintable_2[[#This Row],[Order Date]],"mmmm")</f>
        <v>September</v>
      </c>
    </row>
    <row r="3125" spans="1:12" x14ac:dyDescent="0.3">
      <c r="A3125" s="1">
        <v>40815</v>
      </c>
      <c r="B3125" s="1">
        <v>40820</v>
      </c>
      <c r="C3125" t="s">
        <v>2185</v>
      </c>
      <c r="D3125" t="s">
        <v>17</v>
      </c>
      <c r="E3125" t="s">
        <v>1002</v>
      </c>
      <c r="F3125">
        <v>10.048</v>
      </c>
      <c r="G3125">
        <v>2</v>
      </c>
      <c r="H3125">
        <v>3.14</v>
      </c>
      <c r="I3125">
        <v>5</v>
      </c>
      <c r="J3125">
        <v>2011</v>
      </c>
      <c r="K3125" t="s">
        <v>2209</v>
      </c>
      <c r="L3125" t="str">
        <f>TEXT(maintable_2[[#This Row],[Order Date]],"mmmm")</f>
        <v>September</v>
      </c>
    </row>
    <row r="3126" spans="1:12" x14ac:dyDescent="0.3">
      <c r="A3126" s="1">
        <v>40815</v>
      </c>
      <c r="B3126" s="1">
        <v>40820</v>
      </c>
      <c r="C3126" t="s">
        <v>2185</v>
      </c>
      <c r="D3126" t="s">
        <v>27</v>
      </c>
      <c r="E3126" t="s">
        <v>439</v>
      </c>
      <c r="F3126">
        <v>807.75</v>
      </c>
      <c r="G3126">
        <v>5</v>
      </c>
      <c r="H3126">
        <v>153.4725</v>
      </c>
      <c r="I3126">
        <v>5</v>
      </c>
      <c r="J3126">
        <v>2011</v>
      </c>
      <c r="K3126" t="s">
        <v>2209</v>
      </c>
      <c r="L3126" t="str">
        <f>TEXT(maintable_2[[#This Row],[Order Date]],"mmmm")</f>
        <v>September</v>
      </c>
    </row>
    <row r="3127" spans="1:12" x14ac:dyDescent="0.3">
      <c r="A3127" s="1">
        <v>41958</v>
      </c>
      <c r="B3127" s="1">
        <v>41963</v>
      </c>
      <c r="C3127" t="s">
        <v>791</v>
      </c>
      <c r="D3127" t="s">
        <v>13</v>
      </c>
      <c r="E3127" t="s">
        <v>1587</v>
      </c>
      <c r="F3127">
        <v>34.24</v>
      </c>
      <c r="G3127">
        <v>8</v>
      </c>
      <c r="H3127">
        <v>9.9296000000000006</v>
      </c>
      <c r="I3127">
        <v>5</v>
      </c>
      <c r="J3127">
        <v>2014</v>
      </c>
      <c r="K3127" t="s">
        <v>2209</v>
      </c>
      <c r="L3127" t="str">
        <f>TEXT(maintable_2[[#This Row],[Order Date]],"mmmm")</f>
        <v>November</v>
      </c>
    </row>
    <row r="3128" spans="1:12" x14ac:dyDescent="0.3">
      <c r="A3128" s="1">
        <v>41715</v>
      </c>
      <c r="B3128" s="1">
        <v>41720</v>
      </c>
      <c r="C3128" t="s">
        <v>997</v>
      </c>
      <c r="D3128" t="s">
        <v>27</v>
      </c>
      <c r="E3128" t="s">
        <v>1097</v>
      </c>
      <c r="F3128">
        <v>310.12</v>
      </c>
      <c r="G3128">
        <v>2</v>
      </c>
      <c r="H3128">
        <v>80.631200000000007</v>
      </c>
      <c r="I3128">
        <v>5</v>
      </c>
      <c r="J3128">
        <v>2014</v>
      </c>
      <c r="K3128" t="s">
        <v>2208</v>
      </c>
      <c r="L3128" t="str">
        <f>TEXT(maintable_2[[#This Row],[Order Date]],"mmmm")</f>
        <v>March</v>
      </c>
    </row>
    <row r="3129" spans="1:12" x14ac:dyDescent="0.3">
      <c r="A3129" s="1">
        <v>41715</v>
      </c>
      <c r="B3129" s="1">
        <v>41720</v>
      </c>
      <c r="C3129" t="s">
        <v>997</v>
      </c>
      <c r="D3129" t="s">
        <v>17</v>
      </c>
      <c r="E3129" t="s">
        <v>1814</v>
      </c>
      <c r="F3129">
        <v>70.463999999999999</v>
      </c>
      <c r="G3129">
        <v>6</v>
      </c>
      <c r="H3129">
        <v>22.9008</v>
      </c>
      <c r="I3129">
        <v>5</v>
      </c>
      <c r="J3129">
        <v>2014</v>
      </c>
      <c r="K3129" t="s">
        <v>2208</v>
      </c>
      <c r="L3129" t="str">
        <f>TEXT(maintable_2[[#This Row],[Order Date]],"mmmm")</f>
        <v>March</v>
      </c>
    </row>
    <row r="3130" spans="1:12" x14ac:dyDescent="0.3">
      <c r="A3130" s="1">
        <v>41715</v>
      </c>
      <c r="B3130" s="1">
        <v>41720</v>
      </c>
      <c r="C3130" t="s">
        <v>997</v>
      </c>
      <c r="D3130" t="s">
        <v>17</v>
      </c>
      <c r="E3130" t="s">
        <v>1839</v>
      </c>
      <c r="F3130">
        <v>19.68</v>
      </c>
      <c r="G3130">
        <v>5</v>
      </c>
      <c r="H3130">
        <v>6.8879999999999999</v>
      </c>
      <c r="I3130">
        <v>5</v>
      </c>
      <c r="J3130">
        <v>2014</v>
      </c>
      <c r="K3130" t="s">
        <v>2208</v>
      </c>
      <c r="L3130" t="str">
        <f>TEXT(maintable_2[[#This Row],[Order Date]],"mmmm")</f>
        <v>March</v>
      </c>
    </row>
    <row r="3131" spans="1:12" x14ac:dyDescent="0.3">
      <c r="A3131" s="1">
        <v>41715</v>
      </c>
      <c r="B3131" s="1">
        <v>41720</v>
      </c>
      <c r="C3131" t="s">
        <v>997</v>
      </c>
      <c r="D3131" t="s">
        <v>19</v>
      </c>
      <c r="E3131" t="s">
        <v>2186</v>
      </c>
      <c r="F3131">
        <v>140.66999999999999</v>
      </c>
      <c r="G3131">
        <v>3</v>
      </c>
      <c r="H3131">
        <v>54.8613</v>
      </c>
      <c r="I3131">
        <v>5</v>
      </c>
      <c r="J3131">
        <v>2014</v>
      </c>
      <c r="K3131" t="s">
        <v>2208</v>
      </c>
      <c r="L3131" t="str">
        <f>TEXT(maintable_2[[#This Row],[Order Date]],"mmmm")</f>
        <v>March</v>
      </c>
    </row>
    <row r="3132" spans="1:12" x14ac:dyDescent="0.3">
      <c r="A3132" s="1">
        <v>41972</v>
      </c>
      <c r="B3132" s="1">
        <v>41976</v>
      </c>
      <c r="C3132" t="s">
        <v>1093</v>
      </c>
      <c r="D3132" t="s">
        <v>8</v>
      </c>
      <c r="E3132" t="s">
        <v>1824</v>
      </c>
      <c r="F3132">
        <v>62.65</v>
      </c>
      <c r="G3132">
        <v>5</v>
      </c>
      <c r="H3132">
        <v>29.445499999999999</v>
      </c>
      <c r="I3132">
        <v>4</v>
      </c>
      <c r="J3132">
        <v>2014</v>
      </c>
      <c r="K3132" t="s">
        <v>2209</v>
      </c>
      <c r="L3132" t="str">
        <f>TEXT(maintable_2[[#This Row],[Order Date]],"mmmm")</f>
        <v>November</v>
      </c>
    </row>
    <row r="3133" spans="1:12" x14ac:dyDescent="0.3">
      <c r="A3133" s="1">
        <v>41968</v>
      </c>
      <c r="B3133" s="1">
        <v>41968</v>
      </c>
      <c r="C3133" t="s">
        <v>1720</v>
      </c>
      <c r="D3133" t="s">
        <v>21</v>
      </c>
      <c r="E3133" t="s">
        <v>986</v>
      </c>
      <c r="F3133">
        <v>364.08</v>
      </c>
      <c r="G3133">
        <v>2</v>
      </c>
      <c r="H3133">
        <v>9.1020000000000003</v>
      </c>
      <c r="I3133">
        <v>0</v>
      </c>
      <c r="J3133">
        <v>2014</v>
      </c>
      <c r="K3133" t="s">
        <v>2209</v>
      </c>
      <c r="L3133" t="str">
        <f>TEXT(maintable_2[[#This Row],[Order Date]],"mmmm")</f>
        <v>November</v>
      </c>
    </row>
    <row r="3134" spans="1:12" x14ac:dyDescent="0.3">
      <c r="A3134" s="1">
        <v>41968</v>
      </c>
      <c r="B3134" s="1">
        <v>41968</v>
      </c>
      <c r="C3134" t="s">
        <v>1720</v>
      </c>
      <c r="D3134" t="s">
        <v>21</v>
      </c>
      <c r="E3134" t="s">
        <v>1509</v>
      </c>
      <c r="F3134">
        <v>71.087999999999994</v>
      </c>
      <c r="G3134">
        <v>2</v>
      </c>
      <c r="H3134">
        <v>-1.7771999999999999</v>
      </c>
      <c r="I3134">
        <v>0</v>
      </c>
      <c r="J3134">
        <v>2014</v>
      </c>
      <c r="K3134" t="s">
        <v>2209</v>
      </c>
      <c r="L3134" t="str">
        <f>TEXT(maintable_2[[#This Row],[Order Date]],"mmmm")</f>
        <v>November</v>
      </c>
    </row>
    <row r="3135" spans="1:12" x14ac:dyDescent="0.3">
      <c r="A3135" s="1">
        <v>41457</v>
      </c>
      <c r="B3135" s="1">
        <v>41458</v>
      </c>
      <c r="C3135" t="s">
        <v>357</v>
      </c>
      <c r="D3135" t="s">
        <v>17</v>
      </c>
      <c r="E3135" t="s">
        <v>883</v>
      </c>
      <c r="F3135">
        <v>2.496</v>
      </c>
      <c r="G3135">
        <v>1</v>
      </c>
      <c r="H3135">
        <v>0.90480000000000005</v>
      </c>
      <c r="I3135">
        <v>1</v>
      </c>
      <c r="J3135">
        <v>2013</v>
      </c>
      <c r="K3135" t="s">
        <v>2206</v>
      </c>
      <c r="L3135" t="str">
        <f>TEXT(maintable_2[[#This Row],[Order Date]],"mmmm")</f>
        <v>July</v>
      </c>
    </row>
    <row r="3136" spans="1:12" x14ac:dyDescent="0.3">
      <c r="A3136" s="1">
        <v>41579</v>
      </c>
      <c r="B3136" s="1">
        <v>41584</v>
      </c>
      <c r="C3136" t="s">
        <v>1828</v>
      </c>
      <c r="D3136" t="s">
        <v>71</v>
      </c>
      <c r="E3136" t="s">
        <v>1075</v>
      </c>
      <c r="F3136">
        <v>1403.92</v>
      </c>
      <c r="G3136">
        <v>5</v>
      </c>
      <c r="H3136">
        <v>70.195999999999998</v>
      </c>
      <c r="I3136">
        <v>5</v>
      </c>
      <c r="J3136">
        <v>2013</v>
      </c>
      <c r="K3136" t="s">
        <v>2209</v>
      </c>
      <c r="L3136" t="str">
        <f>TEXT(maintable_2[[#This Row],[Order Date]],"mmmm")</f>
        <v>November</v>
      </c>
    </row>
    <row r="3137" spans="1:12" x14ac:dyDescent="0.3">
      <c r="A3137" s="1">
        <v>40589</v>
      </c>
      <c r="B3137" s="1">
        <v>40593</v>
      </c>
      <c r="C3137" t="s">
        <v>675</v>
      </c>
      <c r="D3137" t="s">
        <v>37</v>
      </c>
      <c r="E3137" t="s">
        <v>1571</v>
      </c>
      <c r="F3137">
        <v>239.97</v>
      </c>
      <c r="G3137">
        <v>3</v>
      </c>
      <c r="H3137">
        <v>86.389200000000002</v>
      </c>
      <c r="I3137">
        <v>4</v>
      </c>
      <c r="J3137">
        <v>2011</v>
      </c>
      <c r="K3137" t="s">
        <v>2210</v>
      </c>
      <c r="L3137" t="str">
        <f>TEXT(maintable_2[[#This Row],[Order Date]],"mmmm")</f>
        <v>February</v>
      </c>
    </row>
    <row r="3138" spans="1:12" x14ac:dyDescent="0.3">
      <c r="A3138" s="1">
        <v>40589</v>
      </c>
      <c r="B3138" s="1">
        <v>40593</v>
      </c>
      <c r="C3138" t="s">
        <v>675</v>
      </c>
      <c r="D3138" t="s">
        <v>19</v>
      </c>
      <c r="E3138" t="s">
        <v>2187</v>
      </c>
      <c r="F3138">
        <v>81.96</v>
      </c>
      <c r="G3138">
        <v>2</v>
      </c>
      <c r="H3138">
        <v>22.948799999999999</v>
      </c>
      <c r="I3138">
        <v>4</v>
      </c>
      <c r="J3138">
        <v>2011</v>
      </c>
      <c r="K3138" t="s">
        <v>2210</v>
      </c>
      <c r="L3138" t="str">
        <f>TEXT(maintable_2[[#This Row],[Order Date]],"mmmm")</f>
        <v>February</v>
      </c>
    </row>
    <row r="3139" spans="1:12" x14ac:dyDescent="0.3">
      <c r="A3139" s="1">
        <v>40589</v>
      </c>
      <c r="B3139" s="1">
        <v>40593</v>
      </c>
      <c r="C3139" t="s">
        <v>675</v>
      </c>
      <c r="D3139" t="s">
        <v>81</v>
      </c>
      <c r="E3139" t="s">
        <v>1733</v>
      </c>
      <c r="F3139">
        <v>238.62</v>
      </c>
      <c r="G3139">
        <v>2</v>
      </c>
      <c r="H3139">
        <v>4.7724000000000002</v>
      </c>
      <c r="I3139">
        <v>4</v>
      </c>
      <c r="J3139">
        <v>2011</v>
      </c>
      <c r="K3139" t="s">
        <v>2210</v>
      </c>
      <c r="L3139" t="str">
        <f>TEXT(maintable_2[[#This Row],[Order Date]],"mmmm")</f>
        <v>February</v>
      </c>
    </row>
    <row r="3140" spans="1:12" x14ac:dyDescent="0.3">
      <c r="A3140" s="1">
        <v>40712</v>
      </c>
      <c r="B3140" s="1">
        <v>40717</v>
      </c>
      <c r="C3140" t="s">
        <v>1105</v>
      </c>
      <c r="D3140" t="s">
        <v>15</v>
      </c>
      <c r="E3140" t="s">
        <v>2188</v>
      </c>
      <c r="F3140">
        <v>139.80000000000001</v>
      </c>
      <c r="G3140">
        <v>5</v>
      </c>
      <c r="H3140">
        <v>12.2325</v>
      </c>
      <c r="I3140">
        <v>5</v>
      </c>
      <c r="J3140">
        <v>2011</v>
      </c>
      <c r="K3140" t="s">
        <v>2206</v>
      </c>
      <c r="L3140" t="str">
        <f>TEXT(maintable_2[[#This Row],[Order Date]],"mmmm")</f>
        <v>June</v>
      </c>
    </row>
    <row r="3141" spans="1:12" x14ac:dyDescent="0.3">
      <c r="A3141" s="1">
        <v>41981</v>
      </c>
      <c r="B3141" s="1">
        <v>41988</v>
      </c>
      <c r="C3141" t="s">
        <v>1559</v>
      </c>
      <c r="D3141" t="s">
        <v>44</v>
      </c>
      <c r="E3141" t="s">
        <v>935</v>
      </c>
      <c r="F3141">
        <v>50.04</v>
      </c>
      <c r="G3141">
        <v>6</v>
      </c>
      <c r="H3141">
        <v>25.02</v>
      </c>
      <c r="I3141">
        <v>7</v>
      </c>
      <c r="J3141">
        <v>2014</v>
      </c>
      <c r="K3141" t="s">
        <v>2207</v>
      </c>
      <c r="L3141" t="str">
        <f>TEXT(maintable_2[[#This Row],[Order Date]],"mmmm")</f>
        <v>December</v>
      </c>
    </row>
    <row r="3142" spans="1:12" x14ac:dyDescent="0.3">
      <c r="A3142" s="1">
        <v>41912</v>
      </c>
      <c r="B3142" s="1">
        <v>41919</v>
      </c>
      <c r="C3142" t="s">
        <v>1745</v>
      </c>
      <c r="D3142" t="s">
        <v>81</v>
      </c>
      <c r="E3142" t="s">
        <v>2189</v>
      </c>
      <c r="F3142">
        <v>97.3</v>
      </c>
      <c r="G3142">
        <v>7</v>
      </c>
      <c r="H3142">
        <v>28.216999999999999</v>
      </c>
      <c r="I3142">
        <v>7</v>
      </c>
      <c r="J3142">
        <v>2014</v>
      </c>
      <c r="K3142" t="s">
        <v>2209</v>
      </c>
      <c r="L3142" t="str">
        <f>TEXT(maintable_2[[#This Row],[Order Date]],"mmmm")</f>
        <v>September</v>
      </c>
    </row>
    <row r="3143" spans="1:12" x14ac:dyDescent="0.3">
      <c r="A3143" s="1">
        <v>40854</v>
      </c>
      <c r="B3143" s="1">
        <v>40858</v>
      </c>
      <c r="C3143" t="s">
        <v>2190</v>
      </c>
      <c r="D3143" t="s">
        <v>44</v>
      </c>
      <c r="E3143" t="s">
        <v>56</v>
      </c>
      <c r="F3143">
        <v>25.92</v>
      </c>
      <c r="G3143">
        <v>5</v>
      </c>
      <c r="H3143">
        <v>9.0719999999999992</v>
      </c>
      <c r="I3143">
        <v>4</v>
      </c>
      <c r="J3143">
        <v>2011</v>
      </c>
      <c r="K3143" t="s">
        <v>2209</v>
      </c>
      <c r="L3143" t="str">
        <f>TEXT(maintable_2[[#This Row],[Order Date]],"mmmm")</f>
        <v>November</v>
      </c>
    </row>
    <row r="3144" spans="1:12" x14ac:dyDescent="0.3">
      <c r="A3144" s="1">
        <v>40854</v>
      </c>
      <c r="B3144" s="1">
        <v>40858</v>
      </c>
      <c r="C3144" t="s">
        <v>2190</v>
      </c>
      <c r="D3144" t="s">
        <v>13</v>
      </c>
      <c r="E3144" t="s">
        <v>2024</v>
      </c>
      <c r="F3144">
        <v>120.768</v>
      </c>
      <c r="G3144">
        <v>4</v>
      </c>
      <c r="H3144">
        <v>9.0576000000000008</v>
      </c>
      <c r="I3144">
        <v>4</v>
      </c>
      <c r="J3144">
        <v>2011</v>
      </c>
      <c r="K3144" t="s">
        <v>2209</v>
      </c>
      <c r="L3144" t="str">
        <f>TEXT(maintable_2[[#This Row],[Order Date]],"mmmm")</f>
        <v>November</v>
      </c>
    </row>
    <row r="3145" spans="1:12" x14ac:dyDescent="0.3">
      <c r="A3145" s="1">
        <v>40770</v>
      </c>
      <c r="B3145" s="1">
        <v>40774</v>
      </c>
      <c r="C3145" t="s">
        <v>1552</v>
      </c>
      <c r="D3145" t="s">
        <v>19</v>
      </c>
      <c r="E3145" t="s">
        <v>316</v>
      </c>
      <c r="F3145">
        <v>152.91</v>
      </c>
      <c r="G3145">
        <v>3</v>
      </c>
      <c r="H3145">
        <v>42.814799999999998</v>
      </c>
      <c r="I3145">
        <v>4</v>
      </c>
      <c r="J3145">
        <v>2011</v>
      </c>
      <c r="K3145" t="s">
        <v>2206</v>
      </c>
      <c r="L3145" t="str">
        <f>TEXT(maintable_2[[#This Row],[Order Date]],"mmmm")</f>
        <v>August</v>
      </c>
    </row>
    <row r="3146" spans="1:12" x14ac:dyDescent="0.3">
      <c r="A3146" s="1">
        <v>40770</v>
      </c>
      <c r="B3146" s="1">
        <v>40774</v>
      </c>
      <c r="C3146" t="s">
        <v>1552</v>
      </c>
      <c r="D3146" t="s">
        <v>44</v>
      </c>
      <c r="E3146" t="s">
        <v>1677</v>
      </c>
      <c r="F3146">
        <v>92.94</v>
      </c>
      <c r="G3146">
        <v>3</v>
      </c>
      <c r="H3146">
        <v>41.823</v>
      </c>
      <c r="I3146">
        <v>4</v>
      </c>
      <c r="J3146">
        <v>2011</v>
      </c>
      <c r="K3146" t="s">
        <v>2206</v>
      </c>
      <c r="L3146" t="str">
        <f>TEXT(maintable_2[[#This Row],[Order Date]],"mmmm")</f>
        <v>August</v>
      </c>
    </row>
    <row r="3147" spans="1:12" x14ac:dyDescent="0.3">
      <c r="A3147" s="1">
        <v>40770</v>
      </c>
      <c r="B3147" s="1">
        <v>40774</v>
      </c>
      <c r="C3147" t="s">
        <v>1552</v>
      </c>
      <c r="D3147" t="s">
        <v>17</v>
      </c>
      <c r="E3147" t="s">
        <v>1129</v>
      </c>
      <c r="F3147">
        <v>17.856000000000002</v>
      </c>
      <c r="G3147">
        <v>4</v>
      </c>
      <c r="H3147">
        <v>6.2496</v>
      </c>
      <c r="I3147">
        <v>4</v>
      </c>
      <c r="J3147">
        <v>2011</v>
      </c>
      <c r="K3147" t="s">
        <v>2206</v>
      </c>
      <c r="L3147" t="str">
        <f>TEXT(maintable_2[[#This Row],[Order Date]],"mmmm")</f>
        <v>August</v>
      </c>
    </row>
    <row r="3148" spans="1:12" x14ac:dyDescent="0.3">
      <c r="A3148" s="1">
        <v>40770</v>
      </c>
      <c r="B3148" s="1">
        <v>40774</v>
      </c>
      <c r="C3148" t="s">
        <v>1552</v>
      </c>
      <c r="D3148" t="s">
        <v>17</v>
      </c>
      <c r="E3148" t="s">
        <v>1346</v>
      </c>
      <c r="F3148">
        <v>46.44</v>
      </c>
      <c r="G3148">
        <v>3</v>
      </c>
      <c r="H3148">
        <v>15.093</v>
      </c>
      <c r="I3148">
        <v>4</v>
      </c>
      <c r="J3148">
        <v>2011</v>
      </c>
      <c r="K3148" t="s">
        <v>2206</v>
      </c>
      <c r="L3148" t="str">
        <f>TEXT(maintable_2[[#This Row],[Order Date]],"mmmm")</f>
        <v>August</v>
      </c>
    </row>
    <row r="3149" spans="1:12" x14ac:dyDescent="0.3">
      <c r="A3149" s="1">
        <v>40770</v>
      </c>
      <c r="B3149" s="1">
        <v>40774</v>
      </c>
      <c r="C3149" t="s">
        <v>1552</v>
      </c>
      <c r="D3149" t="s">
        <v>71</v>
      </c>
      <c r="E3149" t="s">
        <v>821</v>
      </c>
      <c r="F3149">
        <v>195.136</v>
      </c>
      <c r="G3149">
        <v>4</v>
      </c>
      <c r="H3149">
        <v>-12.196</v>
      </c>
      <c r="I3149">
        <v>4</v>
      </c>
      <c r="J3149">
        <v>2011</v>
      </c>
      <c r="K3149" t="s">
        <v>2206</v>
      </c>
      <c r="L3149" t="str">
        <f>TEXT(maintable_2[[#This Row],[Order Date]],"mmmm")</f>
        <v>August</v>
      </c>
    </row>
    <row r="3150" spans="1:12" x14ac:dyDescent="0.3">
      <c r="A3150" s="1">
        <v>41543</v>
      </c>
      <c r="B3150" s="1">
        <v>41549</v>
      </c>
      <c r="C3150" t="s">
        <v>2191</v>
      </c>
      <c r="D3150" t="s">
        <v>44</v>
      </c>
      <c r="E3150" t="s">
        <v>2192</v>
      </c>
      <c r="F3150">
        <v>10.9</v>
      </c>
      <c r="G3150">
        <v>5</v>
      </c>
      <c r="H3150">
        <v>5.1230000000000002</v>
      </c>
      <c r="I3150">
        <v>6</v>
      </c>
      <c r="J3150">
        <v>2013</v>
      </c>
      <c r="K3150" t="s">
        <v>2209</v>
      </c>
      <c r="L3150" t="str">
        <f>TEXT(maintable_2[[#This Row],[Order Date]],"mmmm")</f>
        <v>September</v>
      </c>
    </row>
    <row r="3151" spans="1:12" x14ac:dyDescent="0.3">
      <c r="A3151" s="1">
        <v>41543</v>
      </c>
      <c r="B3151" s="1">
        <v>41549</v>
      </c>
      <c r="C3151" t="s">
        <v>2191</v>
      </c>
      <c r="D3151" t="s">
        <v>8</v>
      </c>
      <c r="E3151" t="s">
        <v>233</v>
      </c>
      <c r="F3151">
        <v>29.6</v>
      </c>
      <c r="G3151">
        <v>2</v>
      </c>
      <c r="H3151">
        <v>14.8</v>
      </c>
      <c r="I3151">
        <v>6</v>
      </c>
      <c r="J3151">
        <v>2013</v>
      </c>
      <c r="K3151" t="s">
        <v>2209</v>
      </c>
      <c r="L3151" t="str">
        <f>TEXT(maintable_2[[#This Row],[Order Date]],"mmmm")</f>
        <v>September</v>
      </c>
    </row>
    <row r="3152" spans="1:12" x14ac:dyDescent="0.3">
      <c r="A3152" s="1">
        <v>41543</v>
      </c>
      <c r="B3152" s="1">
        <v>41549</v>
      </c>
      <c r="C3152" t="s">
        <v>2191</v>
      </c>
      <c r="D3152" t="s">
        <v>8</v>
      </c>
      <c r="E3152" t="s">
        <v>749</v>
      </c>
      <c r="F3152">
        <v>4.9800000000000004</v>
      </c>
      <c r="G3152">
        <v>1</v>
      </c>
      <c r="H3152">
        <v>2.2907999999999999</v>
      </c>
      <c r="I3152">
        <v>6</v>
      </c>
      <c r="J3152">
        <v>2013</v>
      </c>
      <c r="K3152" t="s">
        <v>2209</v>
      </c>
      <c r="L3152" t="str">
        <f>TEXT(maintable_2[[#This Row],[Order Date]],"mmmm")</f>
        <v>September</v>
      </c>
    </row>
    <row r="3153" spans="1:12" x14ac:dyDescent="0.3">
      <c r="A3153" s="1">
        <v>41543</v>
      </c>
      <c r="B3153" s="1">
        <v>41549</v>
      </c>
      <c r="C3153" t="s">
        <v>2191</v>
      </c>
      <c r="D3153" t="s">
        <v>163</v>
      </c>
      <c r="E3153" t="s">
        <v>1983</v>
      </c>
      <c r="F3153">
        <v>479.976</v>
      </c>
      <c r="G3153">
        <v>3</v>
      </c>
      <c r="H3153">
        <v>161.99189999999999</v>
      </c>
      <c r="I3153">
        <v>6</v>
      </c>
      <c r="J3153">
        <v>2013</v>
      </c>
      <c r="K3153" t="s">
        <v>2209</v>
      </c>
      <c r="L3153" t="str">
        <f>TEXT(maintable_2[[#This Row],[Order Date]],"mmmm")</f>
        <v>September</v>
      </c>
    </row>
    <row r="3154" spans="1:12" x14ac:dyDescent="0.3">
      <c r="A3154" s="1">
        <v>41543</v>
      </c>
      <c r="B3154" s="1">
        <v>41549</v>
      </c>
      <c r="C3154" t="s">
        <v>2191</v>
      </c>
      <c r="D3154" t="s">
        <v>15</v>
      </c>
      <c r="E3154" t="s">
        <v>1551</v>
      </c>
      <c r="F3154">
        <v>44.735999999999997</v>
      </c>
      <c r="G3154">
        <v>8</v>
      </c>
      <c r="H3154">
        <v>4.4736000000000002</v>
      </c>
      <c r="I3154">
        <v>6</v>
      </c>
      <c r="J3154">
        <v>2013</v>
      </c>
      <c r="K3154" t="s">
        <v>2209</v>
      </c>
      <c r="L3154" t="str">
        <f>TEXT(maintable_2[[#This Row],[Order Date]],"mmmm")</f>
        <v>September</v>
      </c>
    </row>
    <row r="3155" spans="1:12" x14ac:dyDescent="0.3">
      <c r="A3155" s="1">
        <v>41543</v>
      </c>
      <c r="B3155" s="1">
        <v>41549</v>
      </c>
      <c r="C3155" t="s">
        <v>2191</v>
      </c>
      <c r="D3155" t="s">
        <v>13</v>
      </c>
      <c r="E3155" t="s">
        <v>485</v>
      </c>
      <c r="F3155">
        <v>5.76</v>
      </c>
      <c r="G3155">
        <v>2</v>
      </c>
      <c r="H3155">
        <v>1.6704000000000001</v>
      </c>
      <c r="I3155">
        <v>6</v>
      </c>
      <c r="J3155">
        <v>2013</v>
      </c>
      <c r="K3155" t="s">
        <v>2209</v>
      </c>
      <c r="L3155" t="str">
        <f>TEXT(maintable_2[[#This Row],[Order Date]],"mmmm")</f>
        <v>September</v>
      </c>
    </row>
    <row r="3156" spans="1:12" x14ac:dyDescent="0.3">
      <c r="A3156" s="1">
        <v>41543</v>
      </c>
      <c r="B3156" s="1">
        <v>41549</v>
      </c>
      <c r="C3156" t="s">
        <v>2191</v>
      </c>
      <c r="D3156" t="s">
        <v>71</v>
      </c>
      <c r="E3156" t="s">
        <v>433</v>
      </c>
      <c r="F3156">
        <v>483.13600000000002</v>
      </c>
      <c r="G3156">
        <v>4</v>
      </c>
      <c r="H3156">
        <v>60.392000000000003</v>
      </c>
      <c r="I3156">
        <v>6</v>
      </c>
      <c r="J3156">
        <v>2013</v>
      </c>
      <c r="K3156" t="s">
        <v>2209</v>
      </c>
      <c r="L3156" t="str">
        <f>TEXT(maintable_2[[#This Row],[Order Date]],"mmmm")</f>
        <v>September</v>
      </c>
    </row>
    <row r="3157" spans="1:12" x14ac:dyDescent="0.3">
      <c r="A3157" s="1">
        <v>41885</v>
      </c>
      <c r="B3157" s="1">
        <v>41887</v>
      </c>
      <c r="C3157" t="s">
        <v>1658</v>
      </c>
      <c r="D3157" t="s">
        <v>19</v>
      </c>
      <c r="E3157" t="s">
        <v>900</v>
      </c>
      <c r="F3157">
        <v>43.1</v>
      </c>
      <c r="G3157">
        <v>5</v>
      </c>
      <c r="H3157">
        <v>11.206</v>
      </c>
      <c r="I3157">
        <v>2</v>
      </c>
      <c r="J3157">
        <v>2014</v>
      </c>
      <c r="K3157" t="s">
        <v>2209</v>
      </c>
      <c r="L3157" t="str">
        <f>TEXT(maintable_2[[#This Row],[Order Date]],"mmmm")</f>
        <v>September</v>
      </c>
    </row>
    <row r="3158" spans="1:12" x14ac:dyDescent="0.3">
      <c r="A3158" s="1">
        <v>41885</v>
      </c>
      <c r="B3158" s="1">
        <v>41887</v>
      </c>
      <c r="C3158" t="s">
        <v>1658</v>
      </c>
      <c r="D3158" t="s">
        <v>11</v>
      </c>
      <c r="E3158" t="s">
        <v>424</v>
      </c>
      <c r="F3158">
        <v>511.5</v>
      </c>
      <c r="G3158">
        <v>5</v>
      </c>
      <c r="H3158">
        <v>132.99</v>
      </c>
      <c r="I3158">
        <v>2</v>
      </c>
      <c r="J3158">
        <v>2014</v>
      </c>
      <c r="K3158" t="s">
        <v>2209</v>
      </c>
      <c r="L3158" t="str">
        <f>TEXT(maintable_2[[#This Row],[Order Date]],"mmmm")</f>
        <v>September</v>
      </c>
    </row>
    <row r="3159" spans="1:12" x14ac:dyDescent="0.3">
      <c r="A3159" s="1">
        <v>41885</v>
      </c>
      <c r="B3159" s="1">
        <v>41887</v>
      </c>
      <c r="C3159" t="s">
        <v>1658</v>
      </c>
      <c r="D3159" t="s">
        <v>17</v>
      </c>
      <c r="E3159" t="s">
        <v>705</v>
      </c>
      <c r="F3159">
        <v>147.91999999999999</v>
      </c>
      <c r="G3159">
        <v>5</v>
      </c>
      <c r="H3159">
        <v>46.225000000000001</v>
      </c>
      <c r="I3159">
        <v>2</v>
      </c>
      <c r="J3159">
        <v>2014</v>
      </c>
      <c r="K3159" t="s">
        <v>2209</v>
      </c>
      <c r="L3159" t="str">
        <f>TEXT(maintable_2[[#This Row],[Order Date]],"mmmm")</f>
        <v>September</v>
      </c>
    </row>
    <row r="3160" spans="1:12" x14ac:dyDescent="0.3">
      <c r="A3160" s="1">
        <v>40645</v>
      </c>
      <c r="B3160" s="1">
        <v>40651</v>
      </c>
      <c r="C3160" t="s">
        <v>1542</v>
      </c>
      <c r="D3160" t="s">
        <v>13</v>
      </c>
      <c r="E3160" t="s">
        <v>2193</v>
      </c>
      <c r="F3160">
        <v>39.68</v>
      </c>
      <c r="G3160">
        <v>2</v>
      </c>
      <c r="H3160">
        <v>16.268799999999999</v>
      </c>
      <c r="I3160">
        <v>6</v>
      </c>
      <c r="J3160">
        <v>2011</v>
      </c>
      <c r="K3160" t="s">
        <v>2208</v>
      </c>
      <c r="L3160" t="str">
        <f>TEXT(maintable_2[[#This Row],[Order Date]],"mmmm")</f>
        <v>April</v>
      </c>
    </row>
    <row r="3161" spans="1:12" x14ac:dyDescent="0.3">
      <c r="A3161" s="1">
        <v>41810</v>
      </c>
      <c r="B3161" s="1">
        <v>41814</v>
      </c>
      <c r="C3161" t="s">
        <v>1054</v>
      </c>
      <c r="D3161" t="s">
        <v>11</v>
      </c>
      <c r="E3161" t="s">
        <v>1332</v>
      </c>
      <c r="F3161">
        <v>50.32</v>
      </c>
      <c r="G3161">
        <v>4</v>
      </c>
      <c r="H3161">
        <v>21.134399999999999</v>
      </c>
      <c r="I3161">
        <v>4</v>
      </c>
      <c r="J3161">
        <v>2014</v>
      </c>
      <c r="K3161" t="s">
        <v>2206</v>
      </c>
      <c r="L3161" t="str">
        <f>TEXT(maintable_2[[#This Row],[Order Date]],"mmmm")</f>
        <v>June</v>
      </c>
    </row>
    <row r="3162" spans="1:12" x14ac:dyDescent="0.3">
      <c r="A3162" s="1">
        <v>41810</v>
      </c>
      <c r="B3162" s="1">
        <v>41814</v>
      </c>
      <c r="C3162" t="s">
        <v>1054</v>
      </c>
      <c r="D3162" t="s">
        <v>44</v>
      </c>
      <c r="E3162" t="s">
        <v>2194</v>
      </c>
      <c r="F3162">
        <v>24.56</v>
      </c>
      <c r="G3162">
        <v>2</v>
      </c>
      <c r="H3162">
        <v>11.543200000000001</v>
      </c>
      <c r="I3162">
        <v>4</v>
      </c>
      <c r="J3162">
        <v>2014</v>
      </c>
      <c r="K3162" t="s">
        <v>2206</v>
      </c>
      <c r="L3162" t="str">
        <f>TEXT(maintable_2[[#This Row],[Order Date]],"mmmm")</f>
        <v>June</v>
      </c>
    </row>
    <row r="3163" spans="1:12" x14ac:dyDescent="0.3">
      <c r="A3163" s="1">
        <v>40994</v>
      </c>
      <c r="B3163" s="1">
        <v>40998</v>
      </c>
      <c r="C3163" t="s">
        <v>281</v>
      </c>
      <c r="D3163" t="s">
        <v>21</v>
      </c>
      <c r="E3163" t="s">
        <v>218</v>
      </c>
      <c r="F3163">
        <v>3393.68</v>
      </c>
      <c r="G3163">
        <v>8</v>
      </c>
      <c r="H3163">
        <v>610.86239999999998</v>
      </c>
      <c r="I3163">
        <v>4</v>
      </c>
      <c r="J3163">
        <v>2012</v>
      </c>
      <c r="K3163" t="s">
        <v>2208</v>
      </c>
      <c r="L3163" t="str">
        <f>TEXT(maintable_2[[#This Row],[Order Date]],"mmmm")</f>
        <v>March</v>
      </c>
    </row>
    <row r="3164" spans="1:12" x14ac:dyDescent="0.3">
      <c r="A3164" s="1">
        <v>40636</v>
      </c>
      <c r="B3164" s="1">
        <v>40641</v>
      </c>
      <c r="C3164" t="s">
        <v>1369</v>
      </c>
      <c r="D3164" t="s">
        <v>86</v>
      </c>
      <c r="E3164" t="s">
        <v>105</v>
      </c>
      <c r="F3164">
        <v>11.16</v>
      </c>
      <c r="G3164">
        <v>2</v>
      </c>
      <c r="H3164">
        <v>5.58</v>
      </c>
      <c r="I3164">
        <v>5</v>
      </c>
      <c r="J3164">
        <v>2011</v>
      </c>
      <c r="K3164" t="s">
        <v>2208</v>
      </c>
      <c r="L3164" t="str">
        <f>TEXT(maintable_2[[#This Row],[Order Date]],"mmmm")</f>
        <v>April</v>
      </c>
    </row>
    <row r="3165" spans="1:12" x14ac:dyDescent="0.3">
      <c r="A3165" s="1">
        <v>40636</v>
      </c>
      <c r="B3165" s="1">
        <v>40641</v>
      </c>
      <c r="C3165" t="s">
        <v>1369</v>
      </c>
      <c r="D3165" t="s">
        <v>37</v>
      </c>
      <c r="E3165" t="s">
        <v>788</v>
      </c>
      <c r="F3165">
        <v>62.31</v>
      </c>
      <c r="G3165">
        <v>3</v>
      </c>
      <c r="H3165">
        <v>22.4316</v>
      </c>
      <c r="I3165">
        <v>5</v>
      </c>
      <c r="J3165">
        <v>2011</v>
      </c>
      <c r="K3165" t="s">
        <v>2208</v>
      </c>
      <c r="L3165" t="str">
        <f>TEXT(maintable_2[[#This Row],[Order Date]],"mmmm")</f>
        <v>April</v>
      </c>
    </row>
    <row r="3166" spans="1:12" x14ac:dyDescent="0.3">
      <c r="A3166" s="1">
        <v>40636</v>
      </c>
      <c r="B3166" s="1">
        <v>40641</v>
      </c>
      <c r="C3166" t="s">
        <v>1369</v>
      </c>
      <c r="D3166" t="s">
        <v>37</v>
      </c>
      <c r="E3166" t="s">
        <v>1571</v>
      </c>
      <c r="F3166">
        <v>159.97999999999999</v>
      </c>
      <c r="G3166">
        <v>2</v>
      </c>
      <c r="H3166">
        <v>57.592799999999997</v>
      </c>
      <c r="I3166">
        <v>5</v>
      </c>
      <c r="J3166">
        <v>2011</v>
      </c>
      <c r="K3166" t="s">
        <v>2208</v>
      </c>
      <c r="L3166" t="str">
        <f>TEXT(maintable_2[[#This Row],[Order Date]],"mmmm")</f>
        <v>April</v>
      </c>
    </row>
    <row r="3167" spans="1:12" x14ac:dyDescent="0.3">
      <c r="A3167" s="1">
        <v>41873</v>
      </c>
      <c r="B3167" s="1">
        <v>41877</v>
      </c>
      <c r="C3167" t="s">
        <v>2195</v>
      </c>
      <c r="D3167" t="s">
        <v>27</v>
      </c>
      <c r="E3167" t="s">
        <v>509</v>
      </c>
      <c r="F3167">
        <v>237.096</v>
      </c>
      <c r="G3167">
        <v>3</v>
      </c>
      <c r="H3167">
        <v>20.745899999999999</v>
      </c>
      <c r="I3167">
        <v>4</v>
      </c>
      <c r="J3167">
        <v>2014</v>
      </c>
      <c r="K3167" t="s">
        <v>2206</v>
      </c>
      <c r="L3167" t="str">
        <f>TEXT(maintable_2[[#This Row],[Order Date]],"mmmm")</f>
        <v>August</v>
      </c>
    </row>
    <row r="3168" spans="1:12" x14ac:dyDescent="0.3">
      <c r="A3168" s="1">
        <v>41873</v>
      </c>
      <c r="B3168" s="1">
        <v>41877</v>
      </c>
      <c r="C3168" t="s">
        <v>2195</v>
      </c>
      <c r="D3168" t="s">
        <v>11</v>
      </c>
      <c r="E3168" t="s">
        <v>2196</v>
      </c>
      <c r="F3168">
        <v>22.751999999999999</v>
      </c>
      <c r="G3168">
        <v>3</v>
      </c>
      <c r="H3168">
        <v>7.11</v>
      </c>
      <c r="I3168">
        <v>4</v>
      </c>
      <c r="J3168">
        <v>2014</v>
      </c>
      <c r="K3168" t="s">
        <v>2206</v>
      </c>
      <c r="L3168" t="str">
        <f>TEXT(maintable_2[[#This Row],[Order Date]],"mmmm")</f>
        <v>August</v>
      </c>
    </row>
    <row r="3169" spans="1:12" x14ac:dyDescent="0.3">
      <c r="A3169" s="1">
        <v>41873</v>
      </c>
      <c r="B3169" s="1">
        <v>41877</v>
      </c>
      <c r="C3169" t="s">
        <v>2195</v>
      </c>
      <c r="D3169" t="s">
        <v>44</v>
      </c>
      <c r="E3169" t="s">
        <v>95</v>
      </c>
      <c r="F3169">
        <v>6.6719999999999997</v>
      </c>
      <c r="G3169">
        <v>1</v>
      </c>
      <c r="H3169">
        <v>2.085</v>
      </c>
      <c r="I3169">
        <v>4</v>
      </c>
      <c r="J3169">
        <v>2014</v>
      </c>
      <c r="K3169" t="s">
        <v>2206</v>
      </c>
      <c r="L3169" t="str">
        <f>TEXT(maintable_2[[#This Row],[Order Date]],"mmmm")</f>
        <v>August</v>
      </c>
    </row>
    <row r="3170" spans="1:12" x14ac:dyDescent="0.3">
      <c r="A3170" s="1">
        <v>41165</v>
      </c>
      <c r="B3170" s="1">
        <v>41167</v>
      </c>
      <c r="C3170" t="s">
        <v>997</v>
      </c>
      <c r="D3170" t="s">
        <v>11</v>
      </c>
      <c r="E3170" t="s">
        <v>814</v>
      </c>
      <c r="F3170">
        <v>131.88</v>
      </c>
      <c r="G3170">
        <v>7</v>
      </c>
      <c r="H3170">
        <v>55.389600000000002</v>
      </c>
      <c r="I3170">
        <v>2</v>
      </c>
      <c r="J3170">
        <v>2012</v>
      </c>
      <c r="K3170" t="s">
        <v>2209</v>
      </c>
      <c r="L3170" t="str">
        <f>TEXT(maintable_2[[#This Row],[Order Date]],"mmmm")</f>
        <v>September</v>
      </c>
    </row>
    <row r="3171" spans="1:12" x14ac:dyDescent="0.3">
      <c r="A3171" s="1">
        <v>41165</v>
      </c>
      <c r="B3171" s="1">
        <v>41167</v>
      </c>
      <c r="C3171" t="s">
        <v>997</v>
      </c>
      <c r="D3171" t="s">
        <v>17</v>
      </c>
      <c r="E3171" t="s">
        <v>868</v>
      </c>
      <c r="F3171">
        <v>25.032</v>
      </c>
      <c r="G3171">
        <v>3</v>
      </c>
      <c r="H3171">
        <v>7.8224999999999998</v>
      </c>
      <c r="I3171">
        <v>2</v>
      </c>
      <c r="J3171">
        <v>2012</v>
      </c>
      <c r="K3171" t="s">
        <v>2209</v>
      </c>
      <c r="L3171" t="str">
        <f>TEXT(maintable_2[[#This Row],[Order Date]],"mmmm")</f>
        <v>September</v>
      </c>
    </row>
    <row r="3172" spans="1:12" x14ac:dyDescent="0.3">
      <c r="A3172" s="1">
        <v>41165</v>
      </c>
      <c r="B3172" s="1">
        <v>41167</v>
      </c>
      <c r="C3172" t="s">
        <v>997</v>
      </c>
      <c r="D3172" t="s">
        <v>71</v>
      </c>
      <c r="E3172" t="s">
        <v>774</v>
      </c>
      <c r="F3172">
        <v>717.72</v>
      </c>
      <c r="G3172">
        <v>3</v>
      </c>
      <c r="H3172">
        <v>71.772000000000006</v>
      </c>
      <c r="I3172">
        <v>2</v>
      </c>
      <c r="J3172">
        <v>2012</v>
      </c>
      <c r="K3172" t="s">
        <v>2209</v>
      </c>
      <c r="L3172" t="str">
        <f>TEXT(maintable_2[[#This Row],[Order Date]],"mmmm")</f>
        <v>September</v>
      </c>
    </row>
    <row r="3173" spans="1:12" x14ac:dyDescent="0.3">
      <c r="A3173" s="1">
        <v>41165</v>
      </c>
      <c r="B3173" s="1">
        <v>41167</v>
      </c>
      <c r="C3173" t="s">
        <v>997</v>
      </c>
      <c r="D3173" t="s">
        <v>11</v>
      </c>
      <c r="E3173" t="s">
        <v>2197</v>
      </c>
      <c r="F3173">
        <v>207.35</v>
      </c>
      <c r="G3173">
        <v>5</v>
      </c>
      <c r="H3173">
        <v>24.882000000000001</v>
      </c>
      <c r="I3173">
        <v>2</v>
      </c>
      <c r="J3173">
        <v>2012</v>
      </c>
      <c r="K3173" t="s">
        <v>2209</v>
      </c>
      <c r="L3173" t="str">
        <f>TEXT(maintable_2[[#This Row],[Order Date]],"mmmm")</f>
        <v>September</v>
      </c>
    </row>
    <row r="3174" spans="1:12" x14ac:dyDescent="0.3">
      <c r="A3174" s="1">
        <v>41165</v>
      </c>
      <c r="B3174" s="1">
        <v>41167</v>
      </c>
      <c r="C3174" t="s">
        <v>997</v>
      </c>
      <c r="D3174" t="s">
        <v>11</v>
      </c>
      <c r="E3174" t="s">
        <v>1315</v>
      </c>
      <c r="F3174">
        <v>44.67</v>
      </c>
      <c r="G3174">
        <v>3</v>
      </c>
      <c r="H3174">
        <v>12.0609</v>
      </c>
      <c r="I3174">
        <v>2</v>
      </c>
      <c r="J3174">
        <v>2012</v>
      </c>
      <c r="K3174" t="s">
        <v>2209</v>
      </c>
      <c r="L3174" t="str">
        <f>TEXT(maintable_2[[#This Row],[Order Date]],"mmmm")</f>
        <v>September</v>
      </c>
    </row>
    <row r="3175" spans="1:12" x14ac:dyDescent="0.3">
      <c r="A3175" s="1">
        <v>41165</v>
      </c>
      <c r="B3175" s="1">
        <v>41167</v>
      </c>
      <c r="C3175" t="s">
        <v>997</v>
      </c>
      <c r="D3175" t="s">
        <v>44</v>
      </c>
      <c r="E3175" t="s">
        <v>1723</v>
      </c>
      <c r="F3175">
        <v>209.7</v>
      </c>
      <c r="G3175">
        <v>2</v>
      </c>
      <c r="H3175">
        <v>100.65600000000001</v>
      </c>
      <c r="I3175">
        <v>2</v>
      </c>
      <c r="J3175">
        <v>2012</v>
      </c>
      <c r="K3175" t="s">
        <v>2209</v>
      </c>
      <c r="L3175" t="str">
        <f>TEXT(maintable_2[[#This Row],[Order Date]],"mmmm")</f>
        <v>September</v>
      </c>
    </row>
    <row r="3176" spans="1:12" x14ac:dyDescent="0.3">
      <c r="A3176" s="1">
        <v>41192</v>
      </c>
      <c r="B3176" s="1">
        <v>41194</v>
      </c>
      <c r="C3176" t="s">
        <v>612</v>
      </c>
      <c r="D3176" t="s">
        <v>71</v>
      </c>
      <c r="E3176" t="s">
        <v>943</v>
      </c>
      <c r="F3176">
        <v>362.13600000000002</v>
      </c>
      <c r="G3176">
        <v>3</v>
      </c>
      <c r="H3176">
        <v>-54.320399999999999</v>
      </c>
      <c r="I3176">
        <v>2</v>
      </c>
      <c r="J3176">
        <v>2012</v>
      </c>
      <c r="K3176" t="s">
        <v>2209</v>
      </c>
      <c r="L3176" t="str">
        <f>TEXT(maintable_2[[#This Row],[Order Date]],"mmmm")</f>
        <v>October</v>
      </c>
    </row>
    <row r="3177" spans="1:12" x14ac:dyDescent="0.3">
      <c r="A3177" s="1">
        <v>41192</v>
      </c>
      <c r="B3177" s="1">
        <v>41194</v>
      </c>
      <c r="C3177" t="s">
        <v>612</v>
      </c>
      <c r="D3177" t="s">
        <v>8</v>
      </c>
      <c r="E3177" t="s">
        <v>1752</v>
      </c>
      <c r="F3177">
        <v>31.05</v>
      </c>
      <c r="G3177">
        <v>3</v>
      </c>
      <c r="H3177">
        <v>14.904</v>
      </c>
      <c r="I3177">
        <v>2</v>
      </c>
      <c r="J3177">
        <v>2012</v>
      </c>
      <c r="K3177" t="s">
        <v>2209</v>
      </c>
      <c r="L3177" t="str">
        <f>TEXT(maintable_2[[#This Row],[Order Date]],"mmmm")</f>
        <v>October</v>
      </c>
    </row>
    <row r="3178" spans="1:12" x14ac:dyDescent="0.3">
      <c r="A3178" s="1">
        <v>41522</v>
      </c>
      <c r="B3178" s="1">
        <v>41522</v>
      </c>
      <c r="C3178" t="s">
        <v>1892</v>
      </c>
      <c r="D3178" t="s">
        <v>11</v>
      </c>
      <c r="E3178" t="s">
        <v>1629</v>
      </c>
      <c r="F3178">
        <v>24.27</v>
      </c>
      <c r="G3178">
        <v>3</v>
      </c>
      <c r="H3178">
        <v>8.7371999999999996</v>
      </c>
      <c r="I3178">
        <v>0</v>
      </c>
      <c r="J3178">
        <v>2013</v>
      </c>
      <c r="K3178" t="s">
        <v>2209</v>
      </c>
      <c r="L3178" t="str">
        <f>TEXT(maintable_2[[#This Row],[Order Date]],"mmmm")</f>
        <v>September</v>
      </c>
    </row>
    <row r="3179" spans="1:12" x14ac:dyDescent="0.3">
      <c r="A3179" s="1">
        <v>41522</v>
      </c>
      <c r="B3179" s="1">
        <v>41522</v>
      </c>
      <c r="C3179" t="s">
        <v>1892</v>
      </c>
      <c r="D3179" t="s">
        <v>163</v>
      </c>
      <c r="E3179" t="s">
        <v>917</v>
      </c>
      <c r="F3179">
        <v>2799.96</v>
      </c>
      <c r="G3179">
        <v>5</v>
      </c>
      <c r="H3179">
        <v>944.98649999999998</v>
      </c>
      <c r="I3179">
        <v>0</v>
      </c>
      <c r="J3179">
        <v>2013</v>
      </c>
      <c r="K3179" t="s">
        <v>2209</v>
      </c>
      <c r="L3179" t="str">
        <f>TEXT(maintable_2[[#This Row],[Order Date]],"mmmm")</f>
        <v>September</v>
      </c>
    </row>
    <row r="3180" spans="1:12" x14ac:dyDescent="0.3">
      <c r="A3180" s="1">
        <v>41226</v>
      </c>
      <c r="B3180" s="1">
        <v>41230</v>
      </c>
      <c r="C3180" t="s">
        <v>188</v>
      </c>
      <c r="D3180" t="s">
        <v>17</v>
      </c>
      <c r="E3180" t="s">
        <v>2198</v>
      </c>
      <c r="F3180">
        <v>9.8719999999999999</v>
      </c>
      <c r="G3180">
        <v>2</v>
      </c>
      <c r="H3180">
        <v>3.4552</v>
      </c>
      <c r="I3180">
        <v>4</v>
      </c>
      <c r="J3180">
        <v>2012</v>
      </c>
      <c r="K3180" t="s">
        <v>2209</v>
      </c>
      <c r="L3180" t="str">
        <f>TEXT(maintable_2[[#This Row],[Order Date]],"mmmm")</f>
        <v>November</v>
      </c>
    </row>
    <row r="3181" spans="1:12" x14ac:dyDescent="0.3">
      <c r="A3181" s="1">
        <v>41226</v>
      </c>
      <c r="B3181" s="1">
        <v>41230</v>
      </c>
      <c r="C3181" t="s">
        <v>188</v>
      </c>
      <c r="D3181" t="s">
        <v>196</v>
      </c>
      <c r="E3181" t="s">
        <v>1001</v>
      </c>
      <c r="F3181">
        <v>683.33199999999999</v>
      </c>
      <c r="G3181">
        <v>4</v>
      </c>
      <c r="H3181">
        <v>-40.195999999999998</v>
      </c>
      <c r="I3181">
        <v>4</v>
      </c>
      <c r="J3181">
        <v>2012</v>
      </c>
      <c r="K3181" t="s">
        <v>2209</v>
      </c>
      <c r="L3181" t="str">
        <f>TEXT(maintable_2[[#This Row],[Order Date]],"mmmm")</f>
        <v>November</v>
      </c>
    </row>
    <row r="3182" spans="1:12" x14ac:dyDescent="0.3">
      <c r="A3182" s="1">
        <v>41226</v>
      </c>
      <c r="B3182" s="1">
        <v>41230</v>
      </c>
      <c r="C3182" t="s">
        <v>188</v>
      </c>
      <c r="D3182" t="s">
        <v>44</v>
      </c>
      <c r="E3182" t="s">
        <v>1985</v>
      </c>
      <c r="F3182">
        <v>29.96</v>
      </c>
      <c r="G3182">
        <v>7</v>
      </c>
      <c r="H3182">
        <v>13.481999999999999</v>
      </c>
      <c r="I3182">
        <v>4</v>
      </c>
      <c r="J3182">
        <v>2012</v>
      </c>
      <c r="K3182" t="s">
        <v>2209</v>
      </c>
      <c r="L3182" t="str">
        <f>TEXT(maintable_2[[#This Row],[Order Date]],"mmmm")</f>
        <v>November</v>
      </c>
    </row>
    <row r="3183" spans="1:12" x14ac:dyDescent="0.3">
      <c r="A3183" s="1">
        <v>41429</v>
      </c>
      <c r="B3183" s="1">
        <v>41432</v>
      </c>
      <c r="C3183" t="s">
        <v>619</v>
      </c>
      <c r="D3183" t="s">
        <v>21</v>
      </c>
      <c r="E3183" t="s">
        <v>1509</v>
      </c>
      <c r="F3183">
        <v>71.087999999999994</v>
      </c>
      <c r="G3183">
        <v>2</v>
      </c>
      <c r="H3183">
        <v>-1.7771999999999999</v>
      </c>
      <c r="I3183">
        <v>3</v>
      </c>
      <c r="J3183">
        <v>2013</v>
      </c>
      <c r="K3183" t="s">
        <v>2206</v>
      </c>
      <c r="L3183" t="str">
        <f>TEXT(maintable_2[[#This Row],[Order Date]],"mmmm")</f>
        <v>June</v>
      </c>
    </row>
    <row r="3184" spans="1:12" x14ac:dyDescent="0.3">
      <c r="A3184" s="1">
        <v>41968</v>
      </c>
      <c r="B3184" s="1">
        <v>41974</v>
      </c>
      <c r="C3184" t="s">
        <v>320</v>
      </c>
      <c r="D3184" t="s">
        <v>37</v>
      </c>
      <c r="E3184" t="s">
        <v>1973</v>
      </c>
      <c r="F3184">
        <v>223.58</v>
      </c>
      <c r="G3184">
        <v>14</v>
      </c>
      <c r="H3184">
        <v>87.196200000000005</v>
      </c>
      <c r="I3184">
        <v>6</v>
      </c>
      <c r="J3184">
        <v>2014</v>
      </c>
      <c r="K3184" t="s">
        <v>2209</v>
      </c>
      <c r="L3184" t="str">
        <f>TEXT(maintable_2[[#This Row],[Order Date]],"mmmm")</f>
        <v>November</v>
      </c>
    </row>
    <row r="3185" spans="1:12" x14ac:dyDescent="0.3">
      <c r="A3185" s="1">
        <v>40905</v>
      </c>
      <c r="B3185" s="1">
        <v>40911</v>
      </c>
      <c r="C3185" t="s">
        <v>2199</v>
      </c>
      <c r="D3185" t="s">
        <v>27</v>
      </c>
      <c r="E3185" t="s">
        <v>1079</v>
      </c>
      <c r="F3185">
        <v>998.82</v>
      </c>
      <c r="G3185">
        <v>9</v>
      </c>
      <c r="H3185">
        <v>29.964600000000001</v>
      </c>
      <c r="I3185">
        <v>6</v>
      </c>
      <c r="J3185">
        <v>2011</v>
      </c>
      <c r="K3185" t="s">
        <v>2207</v>
      </c>
      <c r="L3185" t="str">
        <f>TEXT(maintable_2[[#This Row],[Order Date]],"mmmm")</f>
        <v>December</v>
      </c>
    </row>
    <row r="3186" spans="1:12" x14ac:dyDescent="0.3">
      <c r="A3186" s="1">
        <v>40905</v>
      </c>
      <c r="B3186" s="1">
        <v>40911</v>
      </c>
      <c r="C3186" t="s">
        <v>2199</v>
      </c>
      <c r="D3186" t="s">
        <v>81</v>
      </c>
      <c r="E3186" t="s">
        <v>1576</v>
      </c>
      <c r="F3186">
        <v>51.15</v>
      </c>
      <c r="G3186">
        <v>5</v>
      </c>
      <c r="H3186">
        <v>13.298999999999999</v>
      </c>
      <c r="I3186">
        <v>6</v>
      </c>
      <c r="J3186">
        <v>2011</v>
      </c>
      <c r="K3186" t="s">
        <v>2207</v>
      </c>
      <c r="L3186" t="str">
        <f>TEXT(maintable_2[[#This Row],[Order Date]],"mmmm")</f>
        <v>December</v>
      </c>
    </row>
    <row r="3187" spans="1:12" x14ac:dyDescent="0.3">
      <c r="A3187" s="1">
        <v>41011</v>
      </c>
      <c r="B3187" s="1">
        <v>41016</v>
      </c>
      <c r="C3187" t="s">
        <v>1847</v>
      </c>
      <c r="D3187" t="s">
        <v>27</v>
      </c>
      <c r="E3187" t="s">
        <v>1407</v>
      </c>
      <c r="F3187">
        <v>40.74</v>
      </c>
      <c r="G3187">
        <v>3</v>
      </c>
      <c r="H3187">
        <v>0.40739999999999998</v>
      </c>
      <c r="I3187">
        <v>5</v>
      </c>
      <c r="J3187">
        <v>2012</v>
      </c>
      <c r="K3187" t="s">
        <v>2208</v>
      </c>
      <c r="L3187" t="str">
        <f>TEXT(maintable_2[[#This Row],[Order Date]],"mmmm")</f>
        <v>April</v>
      </c>
    </row>
    <row r="3188" spans="1:12" x14ac:dyDescent="0.3">
      <c r="A3188" s="1">
        <v>41257</v>
      </c>
      <c r="B3188" s="1">
        <v>41259</v>
      </c>
      <c r="C3188" t="s">
        <v>1273</v>
      </c>
      <c r="D3188" t="s">
        <v>17</v>
      </c>
      <c r="E3188" t="s">
        <v>2200</v>
      </c>
      <c r="F3188">
        <v>55.264000000000003</v>
      </c>
      <c r="G3188">
        <v>2</v>
      </c>
      <c r="H3188">
        <v>20.724</v>
      </c>
      <c r="I3188">
        <v>2</v>
      </c>
      <c r="J3188">
        <v>2012</v>
      </c>
      <c r="K3188" t="s">
        <v>2207</v>
      </c>
      <c r="L3188" t="str">
        <f>TEXT(maintable_2[[#This Row],[Order Date]],"mmmm")</f>
        <v>December</v>
      </c>
    </row>
    <row r="3189" spans="1:12" x14ac:dyDescent="0.3">
      <c r="A3189" s="1">
        <v>41257</v>
      </c>
      <c r="B3189" s="1">
        <v>41259</v>
      </c>
      <c r="C3189" t="s">
        <v>1273</v>
      </c>
      <c r="D3189" t="s">
        <v>44</v>
      </c>
      <c r="E3189" t="s">
        <v>1762</v>
      </c>
      <c r="F3189">
        <v>6.48</v>
      </c>
      <c r="G3189">
        <v>1</v>
      </c>
      <c r="H3189">
        <v>3.1103999999999998</v>
      </c>
      <c r="I3189">
        <v>2</v>
      </c>
      <c r="J3189">
        <v>2012</v>
      </c>
      <c r="K3189" t="s">
        <v>2207</v>
      </c>
      <c r="L3189" t="str">
        <f>TEXT(maintable_2[[#This Row],[Order Date]],"mmmm")</f>
        <v>December</v>
      </c>
    </row>
    <row r="3190" spans="1:12" x14ac:dyDescent="0.3">
      <c r="A3190" s="1">
        <v>41257</v>
      </c>
      <c r="B3190" s="1">
        <v>41259</v>
      </c>
      <c r="C3190" t="s">
        <v>1273</v>
      </c>
      <c r="D3190" t="s">
        <v>17</v>
      </c>
      <c r="E3190" t="s">
        <v>2121</v>
      </c>
      <c r="F3190">
        <v>34.247999999999998</v>
      </c>
      <c r="G3190">
        <v>3</v>
      </c>
      <c r="H3190">
        <v>11.5587</v>
      </c>
      <c r="I3190">
        <v>2</v>
      </c>
      <c r="J3190">
        <v>2012</v>
      </c>
      <c r="K3190" t="s">
        <v>2207</v>
      </c>
      <c r="L3190" t="str">
        <f>TEXT(maintable_2[[#This Row],[Order Date]],"mmmm")</f>
        <v>December</v>
      </c>
    </row>
    <row r="3191" spans="1:12" x14ac:dyDescent="0.3">
      <c r="A3191" s="1">
        <v>41257</v>
      </c>
      <c r="B3191" s="1">
        <v>41259</v>
      </c>
      <c r="C3191" t="s">
        <v>1273</v>
      </c>
      <c r="D3191" t="s">
        <v>21</v>
      </c>
      <c r="E3191" t="s">
        <v>2201</v>
      </c>
      <c r="F3191">
        <v>273.56799999999998</v>
      </c>
      <c r="G3191">
        <v>2</v>
      </c>
      <c r="H3191">
        <v>10.258800000000001</v>
      </c>
      <c r="I3191">
        <v>2</v>
      </c>
      <c r="J3191">
        <v>2012</v>
      </c>
      <c r="K3191" t="s">
        <v>2207</v>
      </c>
      <c r="L3191" t="str">
        <f>TEXT(maintable_2[[#This Row],[Order Date]],"mmmm")</f>
        <v>December</v>
      </c>
    </row>
    <row r="3192" spans="1:12" x14ac:dyDescent="0.3">
      <c r="A3192" s="1">
        <v>41919</v>
      </c>
      <c r="B3192" s="1">
        <v>41924</v>
      </c>
      <c r="C3192" t="s">
        <v>2147</v>
      </c>
      <c r="D3192" t="s">
        <v>13</v>
      </c>
      <c r="E3192" t="s">
        <v>2014</v>
      </c>
      <c r="F3192">
        <v>9.3439999999999994</v>
      </c>
      <c r="G3192">
        <v>2</v>
      </c>
      <c r="H3192">
        <v>1.8688</v>
      </c>
      <c r="I3192">
        <v>5</v>
      </c>
      <c r="J3192">
        <v>2014</v>
      </c>
      <c r="K3192" t="s">
        <v>2209</v>
      </c>
      <c r="L3192" t="str">
        <f>TEXT(maintable_2[[#This Row],[Order Date]],"mmmm")</f>
        <v>October</v>
      </c>
    </row>
    <row r="3193" spans="1:12" x14ac:dyDescent="0.3">
      <c r="A3193" s="1">
        <v>41615</v>
      </c>
      <c r="B3193" s="1">
        <v>41619</v>
      </c>
      <c r="C3193" t="s">
        <v>2202</v>
      </c>
      <c r="D3193" t="s">
        <v>15</v>
      </c>
      <c r="E3193" t="s">
        <v>2203</v>
      </c>
      <c r="F3193">
        <v>271.95999999999998</v>
      </c>
      <c r="G3193">
        <v>5</v>
      </c>
      <c r="H3193">
        <v>27.196000000000002</v>
      </c>
      <c r="I3193">
        <v>4</v>
      </c>
      <c r="J3193">
        <v>2013</v>
      </c>
      <c r="K3193" t="s">
        <v>2207</v>
      </c>
      <c r="L3193" t="str">
        <f>TEXT(maintable_2[[#This Row],[Order Date]],"mmmm")</f>
        <v>December</v>
      </c>
    </row>
    <row r="3194" spans="1:12" x14ac:dyDescent="0.3">
      <c r="A3194" s="1">
        <v>41615</v>
      </c>
      <c r="B3194" s="1">
        <v>41619</v>
      </c>
      <c r="C3194" t="s">
        <v>2202</v>
      </c>
      <c r="D3194" t="s">
        <v>13</v>
      </c>
      <c r="E3194" t="s">
        <v>2138</v>
      </c>
      <c r="F3194">
        <v>18.690000000000001</v>
      </c>
      <c r="G3194">
        <v>7</v>
      </c>
      <c r="H3194">
        <v>5.2332000000000001</v>
      </c>
      <c r="I3194">
        <v>4</v>
      </c>
      <c r="J3194">
        <v>2013</v>
      </c>
      <c r="K3194" t="s">
        <v>2207</v>
      </c>
      <c r="L3194" t="str">
        <f>TEXT(maintable_2[[#This Row],[Order Date]],"mmmm")</f>
        <v>December</v>
      </c>
    </row>
    <row r="3195" spans="1:12" x14ac:dyDescent="0.3">
      <c r="A3195" s="1">
        <v>41615</v>
      </c>
      <c r="B3195" s="1">
        <v>41619</v>
      </c>
      <c r="C3195" t="s">
        <v>2202</v>
      </c>
      <c r="D3195" t="s">
        <v>44</v>
      </c>
      <c r="E3195" t="s">
        <v>330</v>
      </c>
      <c r="F3195">
        <v>13.36</v>
      </c>
      <c r="G3195">
        <v>2</v>
      </c>
      <c r="H3195">
        <v>6.4127999999999998</v>
      </c>
      <c r="I3195">
        <v>4</v>
      </c>
      <c r="J3195">
        <v>2013</v>
      </c>
      <c r="K3195" t="s">
        <v>2207</v>
      </c>
      <c r="L3195" t="str">
        <f>TEXT(maintable_2[[#This Row],[Order Date]],"mmmm")</f>
        <v>December</v>
      </c>
    </row>
    <row r="3196" spans="1:12" x14ac:dyDescent="0.3">
      <c r="A3196" s="1">
        <v>41615</v>
      </c>
      <c r="B3196" s="1">
        <v>41619</v>
      </c>
      <c r="C3196" t="s">
        <v>2202</v>
      </c>
      <c r="D3196" t="s">
        <v>15</v>
      </c>
      <c r="E3196" t="s">
        <v>280</v>
      </c>
      <c r="F3196">
        <v>249.584</v>
      </c>
      <c r="G3196">
        <v>2</v>
      </c>
      <c r="H3196">
        <v>31.198</v>
      </c>
      <c r="I3196">
        <v>4</v>
      </c>
      <c r="J3196">
        <v>2013</v>
      </c>
      <c r="K3196" t="s">
        <v>2207</v>
      </c>
      <c r="L3196" t="str">
        <f>TEXT(maintable_2[[#This Row],[Order Date]],"mmmm")</f>
        <v>December</v>
      </c>
    </row>
    <row r="3197" spans="1:12" x14ac:dyDescent="0.3">
      <c r="A3197" s="1">
        <v>41615</v>
      </c>
      <c r="B3197" s="1">
        <v>41619</v>
      </c>
      <c r="C3197" t="s">
        <v>2202</v>
      </c>
      <c r="D3197" t="s">
        <v>78</v>
      </c>
      <c r="E3197" t="s">
        <v>278</v>
      </c>
      <c r="F3197">
        <v>13.86</v>
      </c>
      <c r="G3197">
        <v>7</v>
      </c>
      <c r="H3197">
        <v>0</v>
      </c>
      <c r="I3197">
        <v>4</v>
      </c>
      <c r="J3197">
        <v>2013</v>
      </c>
      <c r="K3197" t="s">
        <v>2207</v>
      </c>
      <c r="L3197" t="str">
        <f>TEXT(maintable_2[[#This Row],[Order Date]],"mmmm")</f>
        <v>December</v>
      </c>
    </row>
    <row r="3198" spans="1:12" x14ac:dyDescent="0.3">
      <c r="A3198" s="1">
        <v>41615</v>
      </c>
      <c r="B3198" s="1">
        <v>41619</v>
      </c>
      <c r="C3198" t="s">
        <v>2202</v>
      </c>
      <c r="D3198" t="s">
        <v>17</v>
      </c>
      <c r="E3198" t="s">
        <v>467</v>
      </c>
      <c r="F3198">
        <v>13.375999999999999</v>
      </c>
      <c r="G3198">
        <v>4</v>
      </c>
      <c r="H3198">
        <v>4.6816000000000004</v>
      </c>
      <c r="I3198">
        <v>4</v>
      </c>
      <c r="J3198">
        <v>2013</v>
      </c>
      <c r="K3198" t="s">
        <v>2207</v>
      </c>
      <c r="L3198" t="str">
        <f>TEXT(maintable_2[[#This Row],[Order Date]],"mmmm")</f>
        <v>December</v>
      </c>
    </row>
    <row r="3199" spans="1:12" x14ac:dyDescent="0.3">
      <c r="A3199" s="1">
        <v>41615</v>
      </c>
      <c r="B3199" s="1">
        <v>41619</v>
      </c>
      <c r="C3199" t="s">
        <v>2202</v>
      </c>
      <c r="D3199" t="s">
        <v>17</v>
      </c>
      <c r="E3199" t="s">
        <v>1954</v>
      </c>
      <c r="F3199">
        <v>437.47199999999998</v>
      </c>
      <c r="G3199">
        <v>14</v>
      </c>
      <c r="H3199">
        <v>153.11519999999999</v>
      </c>
      <c r="I3199">
        <v>4</v>
      </c>
      <c r="J3199">
        <v>2013</v>
      </c>
      <c r="K3199" t="s">
        <v>2207</v>
      </c>
      <c r="L3199" t="str">
        <f>TEXT(maintable_2[[#This Row],[Order Date]],"mmmm")</f>
        <v>December</v>
      </c>
    </row>
    <row r="3200" spans="1:12" x14ac:dyDescent="0.3">
      <c r="A3200" s="1">
        <v>41547</v>
      </c>
      <c r="B3200" s="1">
        <v>41551</v>
      </c>
      <c r="C3200" t="s">
        <v>1335</v>
      </c>
      <c r="D3200" t="s">
        <v>37</v>
      </c>
      <c r="E3200" t="s">
        <v>1204</v>
      </c>
      <c r="F3200">
        <v>36.24</v>
      </c>
      <c r="G3200">
        <v>1</v>
      </c>
      <c r="H3200">
        <v>15.220800000000001</v>
      </c>
      <c r="I3200">
        <v>4</v>
      </c>
      <c r="J3200">
        <v>2013</v>
      </c>
      <c r="K3200" t="s">
        <v>2209</v>
      </c>
      <c r="L3200" t="str">
        <f>TEXT(maintable_2[[#This Row],[Order Date]],"mmmm")</f>
        <v>September</v>
      </c>
    </row>
    <row r="3201" spans="1:12" x14ac:dyDescent="0.3">
      <c r="A3201" s="1">
        <v>41697</v>
      </c>
      <c r="B3201" s="1">
        <v>41702</v>
      </c>
      <c r="C3201" t="s">
        <v>100</v>
      </c>
      <c r="D3201" t="s">
        <v>11</v>
      </c>
      <c r="E3201" t="s">
        <v>1731</v>
      </c>
      <c r="F3201">
        <v>91.96</v>
      </c>
      <c r="G3201">
        <v>2</v>
      </c>
      <c r="H3201">
        <v>15.6332</v>
      </c>
      <c r="I3201">
        <v>5</v>
      </c>
      <c r="J3201">
        <v>2014</v>
      </c>
      <c r="K3201" t="s">
        <v>2210</v>
      </c>
      <c r="L3201" t="str">
        <f>TEXT(maintable_2[[#This Row],[Order Date]],"mmmm")</f>
        <v>February</v>
      </c>
    </row>
    <row r="3202" spans="1:12" x14ac:dyDescent="0.3">
      <c r="A3202" s="1">
        <v>41697</v>
      </c>
      <c r="B3202" s="1">
        <v>41702</v>
      </c>
      <c r="C3202" t="s">
        <v>100</v>
      </c>
      <c r="D3202" t="s">
        <v>15</v>
      </c>
      <c r="E3202" t="s">
        <v>1605</v>
      </c>
      <c r="F3202">
        <v>258.57600000000002</v>
      </c>
      <c r="G3202">
        <v>2</v>
      </c>
      <c r="H3202">
        <v>19.3932</v>
      </c>
      <c r="I3202">
        <v>5</v>
      </c>
      <c r="J3202">
        <v>2014</v>
      </c>
      <c r="K3202" t="s">
        <v>2210</v>
      </c>
      <c r="L3202" t="str">
        <f>TEXT(maintable_2[[#This Row],[Order Date]],"mmmm")</f>
        <v>February</v>
      </c>
    </row>
    <row r="3203" spans="1:12" x14ac:dyDescent="0.3">
      <c r="A3203" s="1">
        <v>41697</v>
      </c>
      <c r="B3203" s="1">
        <v>41702</v>
      </c>
      <c r="C3203" t="s">
        <v>100</v>
      </c>
      <c r="D3203" t="s">
        <v>44</v>
      </c>
      <c r="E3203" t="s">
        <v>2016</v>
      </c>
      <c r="F3203">
        <v>29.6</v>
      </c>
      <c r="G3203">
        <v>4</v>
      </c>
      <c r="H3203">
        <v>13.32</v>
      </c>
      <c r="I3203">
        <v>5</v>
      </c>
      <c r="J3203">
        <v>2014</v>
      </c>
      <c r="K3203" t="s">
        <v>2210</v>
      </c>
      <c r="L3203" t="str">
        <f>TEXT(maintable_2[[#This Row],[Order Date]],"mmmm")</f>
        <v>February</v>
      </c>
    </row>
    <row r="3204" spans="1:12" x14ac:dyDescent="0.3">
      <c r="A3204" s="1">
        <v>41764</v>
      </c>
      <c r="B3204" s="1">
        <v>41769</v>
      </c>
      <c r="C3204" t="s">
        <v>1195</v>
      </c>
      <c r="D3204" t="s">
        <v>19</v>
      </c>
      <c r="E3204" t="s">
        <v>724</v>
      </c>
      <c r="F3204">
        <v>243.16</v>
      </c>
      <c r="G3204">
        <v>2</v>
      </c>
      <c r="H3204">
        <v>72.947999999999993</v>
      </c>
      <c r="I3204">
        <v>5</v>
      </c>
      <c r="J3204">
        <v>2014</v>
      </c>
      <c r="K3204" t="s">
        <v>2208</v>
      </c>
      <c r="L3204" t="str">
        <f>TEXT(maintable_2[[#This Row],[Order Date]],"mmmm")</f>
        <v>May</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FACA-7DDC-48EE-A621-4935550631E6}">
  <dimension ref="A1:U192"/>
  <sheetViews>
    <sheetView topLeftCell="J35" zoomScale="57" workbookViewId="0">
      <selection activeCell="O46" sqref="O46"/>
    </sheetView>
  </sheetViews>
  <sheetFormatPr defaultRowHeight="14.4" x14ac:dyDescent="0.3"/>
  <cols>
    <col min="1" max="2" width="17.88671875" bestFit="1" customWidth="1"/>
    <col min="3" max="3" width="19" bestFit="1" customWidth="1"/>
    <col min="4" max="4" width="33.44140625" bestFit="1" customWidth="1"/>
    <col min="5" max="5" width="15.6640625" bestFit="1" customWidth="1"/>
    <col min="6" max="6" width="7.77734375" bestFit="1" customWidth="1"/>
    <col min="7" max="7" width="10.109375" bestFit="1" customWidth="1"/>
    <col min="8" max="8" width="74.5546875" bestFit="1" customWidth="1"/>
    <col min="9" max="9" width="15.88671875" bestFit="1" customWidth="1"/>
    <col min="10" max="10" width="10.109375" bestFit="1" customWidth="1"/>
    <col min="11" max="11" width="9.77734375" bestFit="1" customWidth="1"/>
    <col min="12" max="12" width="11.109375" bestFit="1" customWidth="1"/>
    <col min="13" max="13" width="6.6640625" bestFit="1" customWidth="1"/>
    <col min="14" max="14" width="9.44140625" bestFit="1" customWidth="1"/>
    <col min="15" max="15" width="74.5546875" bestFit="1" customWidth="1"/>
    <col min="16" max="16" width="15.88671875" bestFit="1" customWidth="1"/>
    <col min="17" max="17" width="15.6640625" bestFit="1" customWidth="1"/>
    <col min="18" max="18" width="85.88671875" customWidth="1"/>
    <col min="19" max="19" width="45" bestFit="1" customWidth="1"/>
    <col min="20" max="20" width="15.88671875" bestFit="1" customWidth="1"/>
    <col min="21" max="21" width="15.6640625" bestFit="1" customWidth="1"/>
    <col min="22" max="2673" width="17.21875" bestFit="1" customWidth="1"/>
    <col min="2674" max="2674" width="11.33203125" bestFit="1" customWidth="1"/>
  </cols>
  <sheetData>
    <row r="1" spans="1:12" x14ac:dyDescent="0.3">
      <c r="A1" t="s">
        <v>2205</v>
      </c>
      <c r="B1" t="s">
        <v>2212</v>
      </c>
      <c r="C1" t="s">
        <v>2213</v>
      </c>
      <c r="E1" t="s">
        <v>2211</v>
      </c>
      <c r="L1" t="s">
        <v>2224</v>
      </c>
    </row>
    <row r="2" spans="1:12" x14ac:dyDescent="0.3">
      <c r="A2" s="11">
        <v>725457.82449999999</v>
      </c>
      <c r="B2" s="2">
        <v>3.9300655635341868</v>
      </c>
      <c r="C2">
        <v>3203</v>
      </c>
      <c r="E2" s="11">
        <v>108418.4489</v>
      </c>
      <c r="H2" s="11">
        <f>GETPIVOTDATA("[Measures].[Sum of Sales]",$A$1)</f>
        <v>725457.82449999999</v>
      </c>
      <c r="I2" s="2">
        <f>GETPIVOTDATA("[Measures].[Average of no of Days to delivery]",$A$1)</f>
        <v>3.9300655635341868</v>
      </c>
      <c r="L2" s="12">
        <f>GETPIVOTDATA("[Measures].[Sum of Profit]",$E$1)/GETPIVOTDATA("[Measures].[Sum of Sales]",$A$1)*100</f>
        <v>14.944831420727203</v>
      </c>
    </row>
    <row r="10" spans="1:12" ht="25.8" x14ac:dyDescent="0.5">
      <c r="H10" s="5" t="s">
        <v>2217</v>
      </c>
    </row>
    <row r="12" spans="1:12" x14ac:dyDescent="0.3">
      <c r="A12" s="3" t="s">
        <v>2214</v>
      </c>
      <c r="B12" t="s">
        <v>2205</v>
      </c>
      <c r="H12" s="3" t="s">
        <v>2214</v>
      </c>
      <c r="I12" t="s">
        <v>2205</v>
      </c>
    </row>
    <row r="13" spans="1:12" x14ac:dyDescent="0.3">
      <c r="A13" s="4" t="s">
        <v>37</v>
      </c>
      <c r="B13">
        <v>61114.116000000002</v>
      </c>
      <c r="H13" s="4" t="s">
        <v>2064</v>
      </c>
      <c r="I13">
        <v>13999.96</v>
      </c>
    </row>
    <row r="14" spans="1:12" x14ac:dyDescent="0.3">
      <c r="A14" s="4" t="s">
        <v>19</v>
      </c>
      <c r="B14">
        <v>30236.335999999999</v>
      </c>
      <c r="H14" s="4" t="s">
        <v>895</v>
      </c>
      <c r="I14">
        <v>8134.3360000000002</v>
      </c>
    </row>
    <row r="15" spans="1:12" x14ac:dyDescent="0.3">
      <c r="A15" s="4" t="s">
        <v>13</v>
      </c>
      <c r="B15">
        <v>9212.0660000000007</v>
      </c>
      <c r="H15" s="4" t="s">
        <v>245</v>
      </c>
      <c r="I15">
        <v>10019.6</v>
      </c>
    </row>
    <row r="16" spans="1:12" x14ac:dyDescent="0.3">
      <c r="A16" s="4" t="s">
        <v>17</v>
      </c>
      <c r="B16">
        <v>55961.112999999998</v>
      </c>
      <c r="H16" s="4" t="s">
        <v>513</v>
      </c>
      <c r="I16">
        <v>8030.0159999999996</v>
      </c>
    </row>
    <row r="17" spans="1:9" x14ac:dyDescent="0.3">
      <c r="A17" s="4" t="s">
        <v>196</v>
      </c>
      <c r="B17">
        <v>36004.123500000002</v>
      </c>
      <c r="H17" s="4" t="s">
        <v>993</v>
      </c>
      <c r="I17">
        <v>13100.24</v>
      </c>
    </row>
    <row r="18" spans="1:9" x14ac:dyDescent="0.3">
      <c r="A18" s="4" t="s">
        <v>71</v>
      </c>
      <c r="B18">
        <v>101781.32799999999</v>
      </c>
      <c r="H18" s="4" t="s">
        <v>2215</v>
      </c>
      <c r="I18">
        <v>53284.152000000002</v>
      </c>
    </row>
    <row r="19" spans="1:9" x14ac:dyDescent="0.3">
      <c r="A19" s="4" t="s">
        <v>163</v>
      </c>
      <c r="B19">
        <v>49749.241999999998</v>
      </c>
    </row>
    <row r="20" spans="1:9" x14ac:dyDescent="0.3">
      <c r="A20" s="4" t="s">
        <v>86</v>
      </c>
      <c r="B20">
        <v>4118.1000000000004</v>
      </c>
    </row>
    <row r="21" spans="1:9" x14ac:dyDescent="0.3">
      <c r="A21" s="4" t="s">
        <v>78</v>
      </c>
      <c r="B21">
        <v>923.21600000000001</v>
      </c>
    </row>
    <row r="22" spans="1:9" x14ac:dyDescent="0.3">
      <c r="A22" s="4" t="s">
        <v>11</v>
      </c>
      <c r="B22">
        <v>30072.73</v>
      </c>
    </row>
    <row r="23" spans="1:9" x14ac:dyDescent="0.3">
      <c r="A23" s="4" t="s">
        <v>8</v>
      </c>
      <c r="B23">
        <v>5078.7259999999997</v>
      </c>
    </row>
    <row r="24" spans="1:9" ht="25.8" x14ac:dyDescent="0.5">
      <c r="A24" s="4" t="s">
        <v>494</v>
      </c>
      <c r="B24">
        <v>42444.122000000003</v>
      </c>
      <c r="H24" s="5" t="s">
        <v>2218</v>
      </c>
    </row>
    <row r="25" spans="1:9" x14ac:dyDescent="0.3">
      <c r="A25" s="4" t="s">
        <v>44</v>
      </c>
      <c r="B25">
        <v>26663.718000000001</v>
      </c>
    </row>
    <row r="26" spans="1:9" x14ac:dyDescent="0.3">
      <c r="A26" s="4" t="s">
        <v>15</v>
      </c>
      <c r="B26">
        <v>98684.351999999999</v>
      </c>
    </row>
    <row r="27" spans="1:9" x14ac:dyDescent="0.3">
      <c r="A27" s="4" t="s">
        <v>27</v>
      </c>
      <c r="B27">
        <v>70532.851999999999</v>
      </c>
      <c r="H27" s="3" t="s">
        <v>2214</v>
      </c>
      <c r="I27" t="s">
        <v>2205</v>
      </c>
    </row>
    <row r="28" spans="1:9" x14ac:dyDescent="0.3">
      <c r="A28" s="4" t="s">
        <v>81</v>
      </c>
      <c r="B28">
        <v>18127.121999999999</v>
      </c>
      <c r="H28" s="4" t="s">
        <v>1493</v>
      </c>
      <c r="I28">
        <v>2.88</v>
      </c>
    </row>
    <row r="29" spans="1:9" x14ac:dyDescent="0.3">
      <c r="A29" s="4" t="s">
        <v>21</v>
      </c>
      <c r="B29">
        <v>84754.562000000005</v>
      </c>
      <c r="H29" s="4" t="s">
        <v>540</v>
      </c>
      <c r="I29">
        <v>3.08</v>
      </c>
    </row>
    <row r="30" spans="1:9" x14ac:dyDescent="0.3">
      <c r="A30" s="4" t="s">
        <v>2215</v>
      </c>
      <c r="B30">
        <v>725457.82449999999</v>
      </c>
      <c r="H30" s="4" t="s">
        <v>1592</v>
      </c>
      <c r="I30">
        <v>3.024</v>
      </c>
    </row>
    <row r="31" spans="1:9" x14ac:dyDescent="0.3">
      <c r="H31" s="4" t="s">
        <v>1685</v>
      </c>
      <c r="I31">
        <v>1.81</v>
      </c>
    </row>
    <row r="32" spans="1:9" x14ac:dyDescent="0.3">
      <c r="H32" s="4" t="s">
        <v>608</v>
      </c>
      <c r="I32">
        <v>2.0249999999999999</v>
      </c>
    </row>
    <row r="33" spans="1:21" x14ac:dyDescent="0.3">
      <c r="H33" s="4" t="s">
        <v>2215</v>
      </c>
      <c r="I33">
        <v>12.819000000000001</v>
      </c>
    </row>
    <row r="38" spans="1:21" x14ac:dyDescent="0.3">
      <c r="A38" s="3" t="s">
        <v>2214</v>
      </c>
      <c r="B38" t="s">
        <v>2205</v>
      </c>
    </row>
    <row r="39" spans="1:21" x14ac:dyDescent="0.3">
      <c r="A39" s="4">
        <v>2011</v>
      </c>
      <c r="B39">
        <v>147883.033</v>
      </c>
    </row>
    <row r="40" spans="1:21" x14ac:dyDescent="0.3">
      <c r="A40" s="4">
        <v>2012</v>
      </c>
      <c r="B40">
        <v>139966.24950000001</v>
      </c>
    </row>
    <row r="41" spans="1:21" ht="25.8" x14ac:dyDescent="0.5">
      <c r="A41" s="4">
        <v>2013</v>
      </c>
      <c r="B41">
        <v>186976.0165</v>
      </c>
      <c r="O41" s="5" t="s">
        <v>2220</v>
      </c>
      <c r="S41" s="5" t="s">
        <v>2221</v>
      </c>
    </row>
    <row r="42" spans="1:21" x14ac:dyDescent="0.3">
      <c r="A42" s="4">
        <v>2014</v>
      </c>
      <c r="B42">
        <v>250632.52549999999</v>
      </c>
    </row>
    <row r="43" spans="1:21" x14ac:dyDescent="0.3">
      <c r="A43" s="4" t="s">
        <v>2215</v>
      </c>
      <c r="B43">
        <v>725457.82449999999</v>
      </c>
      <c r="O43" s="3" t="s">
        <v>2219</v>
      </c>
      <c r="P43" t="s">
        <v>2205</v>
      </c>
      <c r="Q43" t="s">
        <v>2211</v>
      </c>
      <c r="S43" s="3" t="s">
        <v>2219</v>
      </c>
      <c r="T43" t="s">
        <v>2205</v>
      </c>
      <c r="U43" t="s">
        <v>2211</v>
      </c>
    </row>
    <row r="44" spans="1:21" x14ac:dyDescent="0.3">
      <c r="O44" s="4" t="s">
        <v>529</v>
      </c>
      <c r="P44">
        <v>7710.665</v>
      </c>
      <c r="Q44">
        <v>180.54239999999999</v>
      </c>
      <c r="S44" s="4" t="s">
        <v>1493</v>
      </c>
      <c r="T44">
        <v>2.88</v>
      </c>
      <c r="U44">
        <v>1.3535999999999999</v>
      </c>
    </row>
    <row r="45" spans="1:21" x14ac:dyDescent="0.3">
      <c r="O45" s="4" t="s">
        <v>2064</v>
      </c>
      <c r="P45">
        <v>13999.96</v>
      </c>
      <c r="Q45">
        <v>6719.9808000000003</v>
      </c>
      <c r="S45" s="4" t="s">
        <v>1890</v>
      </c>
      <c r="T45">
        <v>4.1760000000000002</v>
      </c>
      <c r="U45">
        <v>1.3049999999999999</v>
      </c>
    </row>
    <row r="46" spans="1:21" x14ac:dyDescent="0.3">
      <c r="O46" s="4" t="s">
        <v>917</v>
      </c>
      <c r="P46">
        <v>6719.9040000000005</v>
      </c>
      <c r="Q46">
        <v>2267.9675999999999</v>
      </c>
      <c r="S46" s="4" t="s">
        <v>1176</v>
      </c>
      <c r="T46">
        <v>3.75</v>
      </c>
      <c r="U46">
        <v>1.8</v>
      </c>
    </row>
    <row r="47" spans="1:21" x14ac:dyDescent="0.3">
      <c r="O47" s="4" t="s">
        <v>895</v>
      </c>
      <c r="P47">
        <v>8134.3360000000002</v>
      </c>
      <c r="Q47">
        <v>3050.3760000000002</v>
      </c>
      <c r="S47" s="4" t="s">
        <v>540</v>
      </c>
      <c r="T47">
        <v>3.08</v>
      </c>
      <c r="U47">
        <v>1.4783999999999999</v>
      </c>
    </row>
    <row r="48" spans="1:21" x14ac:dyDescent="0.3">
      <c r="O48" s="4" t="s">
        <v>245</v>
      </c>
      <c r="P48">
        <v>10019.6</v>
      </c>
      <c r="Q48">
        <v>626.22500000000002</v>
      </c>
      <c r="S48" s="4" t="s">
        <v>2007</v>
      </c>
      <c r="T48">
        <v>4.5439999999999996</v>
      </c>
      <c r="U48">
        <v>1.6472</v>
      </c>
    </row>
    <row r="49" spans="1:21" x14ac:dyDescent="0.3">
      <c r="A49" t="s">
        <v>2205</v>
      </c>
      <c r="O49" s="4" t="s">
        <v>513</v>
      </c>
      <c r="P49">
        <v>8030.0159999999996</v>
      </c>
      <c r="Q49">
        <v>803.00160000000005</v>
      </c>
      <c r="S49" s="4" t="s">
        <v>1592</v>
      </c>
      <c r="T49">
        <v>3.024</v>
      </c>
      <c r="U49">
        <v>-0.6048</v>
      </c>
    </row>
    <row r="50" spans="1:21" x14ac:dyDescent="0.3">
      <c r="A50">
        <v>725457.82449999999</v>
      </c>
      <c r="O50" s="4" t="s">
        <v>164</v>
      </c>
      <c r="P50">
        <v>6239.8959999999997</v>
      </c>
      <c r="Q50">
        <v>2183.9636</v>
      </c>
      <c r="S50" s="4" t="s">
        <v>1685</v>
      </c>
      <c r="T50">
        <v>1.81</v>
      </c>
      <c r="U50">
        <v>0.65159999999999996</v>
      </c>
    </row>
    <row r="51" spans="1:21" x14ac:dyDescent="0.3">
      <c r="O51" s="4" t="s">
        <v>993</v>
      </c>
      <c r="P51">
        <v>13100.24</v>
      </c>
      <c r="Q51">
        <v>524.00959999999998</v>
      </c>
      <c r="S51" s="4" t="s">
        <v>1012</v>
      </c>
      <c r="T51">
        <v>4.17</v>
      </c>
      <c r="U51">
        <v>1.0842000000000001</v>
      </c>
    </row>
    <row r="52" spans="1:21" x14ac:dyDescent="0.3">
      <c r="O52" s="4" t="s">
        <v>130</v>
      </c>
      <c r="P52">
        <v>7467.21</v>
      </c>
      <c r="Q52">
        <v>1418.7699</v>
      </c>
      <c r="S52" s="4" t="s">
        <v>2101</v>
      </c>
      <c r="T52">
        <v>4.71</v>
      </c>
      <c r="U52">
        <v>0</v>
      </c>
    </row>
    <row r="53" spans="1:21" x14ac:dyDescent="0.3">
      <c r="O53" s="4" t="s">
        <v>2058</v>
      </c>
      <c r="P53">
        <v>7834.4</v>
      </c>
      <c r="Q53">
        <v>881.37</v>
      </c>
      <c r="S53" s="4" t="s">
        <v>608</v>
      </c>
      <c r="T53">
        <v>2.0249999999999999</v>
      </c>
      <c r="U53">
        <v>-1.35</v>
      </c>
    </row>
    <row r="54" spans="1:21" x14ac:dyDescent="0.3">
      <c r="O54" s="4" t="s">
        <v>2215</v>
      </c>
      <c r="P54">
        <v>89256.226999999999</v>
      </c>
      <c r="Q54">
        <v>18656.2065</v>
      </c>
      <c r="S54" s="4" t="s">
        <v>2215</v>
      </c>
      <c r="T54">
        <v>34.168999999999997</v>
      </c>
      <c r="U54">
        <v>7.3651999999999997</v>
      </c>
    </row>
    <row r="60" spans="1:21" ht="23.4" x14ac:dyDescent="0.3">
      <c r="O60" s="8" t="s">
        <v>2229</v>
      </c>
      <c r="P60" s="9" t="s">
        <v>2226</v>
      </c>
      <c r="Q60" s="9" t="s">
        <v>2227</v>
      </c>
      <c r="S60" s="9" t="s">
        <v>2228</v>
      </c>
      <c r="T60" s="9" t="s">
        <v>2226</v>
      </c>
      <c r="U60" s="9" t="s">
        <v>2227</v>
      </c>
    </row>
    <row r="61" spans="1:21" x14ac:dyDescent="0.3">
      <c r="O61" s="6" t="s">
        <v>529</v>
      </c>
      <c r="P61" s="7">
        <v>7710.665</v>
      </c>
      <c r="Q61" s="7">
        <v>180.54239999999999</v>
      </c>
      <c r="S61" s="6" t="s">
        <v>1493</v>
      </c>
      <c r="T61" s="7">
        <v>2.88</v>
      </c>
      <c r="U61" s="7">
        <v>1.3535999999999999</v>
      </c>
    </row>
    <row r="62" spans="1:21" x14ac:dyDescent="0.3">
      <c r="O62" s="6" t="s">
        <v>2064</v>
      </c>
      <c r="P62" s="7">
        <v>13999.96</v>
      </c>
      <c r="Q62" s="7">
        <v>6719.9808000000003</v>
      </c>
      <c r="S62" s="6" t="s">
        <v>1890</v>
      </c>
      <c r="T62" s="7">
        <v>4.1760000000000002</v>
      </c>
      <c r="U62" s="7">
        <v>1.3049999999999999</v>
      </c>
    </row>
    <row r="63" spans="1:21" x14ac:dyDescent="0.3">
      <c r="O63" s="6" t="s">
        <v>917</v>
      </c>
      <c r="P63" s="7">
        <v>6719.9040000000005</v>
      </c>
      <c r="Q63" s="7">
        <v>2267.9675999999999</v>
      </c>
      <c r="S63" s="6" t="s">
        <v>1176</v>
      </c>
      <c r="T63" s="7">
        <v>3.75</v>
      </c>
      <c r="U63" s="7">
        <v>1.8</v>
      </c>
    </row>
    <row r="64" spans="1:21" x14ac:dyDescent="0.3">
      <c r="O64" s="6" t="s">
        <v>895</v>
      </c>
      <c r="P64" s="7">
        <v>8134.3360000000002</v>
      </c>
      <c r="Q64" s="7">
        <v>3050.3760000000002</v>
      </c>
      <c r="S64" s="6" t="s">
        <v>540</v>
      </c>
      <c r="T64" s="7">
        <v>3.08</v>
      </c>
      <c r="U64" s="7">
        <v>1.4783999999999999</v>
      </c>
    </row>
    <row r="65" spans="1:21" x14ac:dyDescent="0.3">
      <c r="O65" s="6" t="s">
        <v>245</v>
      </c>
      <c r="P65" s="7">
        <v>10019.6</v>
      </c>
      <c r="Q65" s="7">
        <v>626.22500000000002</v>
      </c>
      <c r="S65" s="6" t="s">
        <v>2007</v>
      </c>
      <c r="T65" s="7">
        <v>4.5439999999999996</v>
      </c>
      <c r="U65" s="7">
        <v>1.6472</v>
      </c>
    </row>
    <row r="66" spans="1:21" x14ac:dyDescent="0.3">
      <c r="O66" s="6" t="s">
        <v>513</v>
      </c>
      <c r="P66" s="7">
        <v>8030.0159999999996</v>
      </c>
      <c r="Q66" s="7">
        <v>803.00160000000005</v>
      </c>
      <c r="S66" s="6" t="s">
        <v>1592</v>
      </c>
      <c r="T66" s="7">
        <v>3.024</v>
      </c>
      <c r="U66" s="7">
        <v>-0.6048</v>
      </c>
    </row>
    <row r="67" spans="1:21" x14ac:dyDescent="0.3">
      <c r="O67" s="6" t="s">
        <v>164</v>
      </c>
      <c r="P67" s="7">
        <v>6239.8959999999997</v>
      </c>
      <c r="Q67" s="7">
        <v>2183.9636</v>
      </c>
      <c r="S67" s="6" t="s">
        <v>1685</v>
      </c>
      <c r="T67" s="7">
        <v>1.81</v>
      </c>
      <c r="U67" s="7">
        <v>0.65159999999999996</v>
      </c>
    </row>
    <row r="68" spans="1:21" x14ac:dyDescent="0.3">
      <c r="O68" s="6" t="s">
        <v>993</v>
      </c>
      <c r="P68" s="7">
        <v>13100.24</v>
      </c>
      <c r="Q68" s="7">
        <v>524.00959999999998</v>
      </c>
      <c r="S68" s="6" t="s">
        <v>1012</v>
      </c>
      <c r="T68" s="7">
        <v>4.17</v>
      </c>
      <c r="U68" s="7">
        <v>1.0842000000000001</v>
      </c>
    </row>
    <row r="69" spans="1:21" x14ac:dyDescent="0.3">
      <c r="A69" t="s">
        <v>2205</v>
      </c>
      <c r="O69" s="6" t="s">
        <v>130</v>
      </c>
      <c r="P69" s="7">
        <v>7467.21</v>
      </c>
      <c r="Q69" s="7">
        <v>1418.7699</v>
      </c>
      <c r="S69" s="6" t="s">
        <v>2101</v>
      </c>
      <c r="T69" s="7">
        <v>4.71</v>
      </c>
      <c r="U69" s="7">
        <v>0</v>
      </c>
    </row>
    <row r="70" spans="1:21" x14ac:dyDescent="0.3">
      <c r="A70">
        <v>725457.82449999999</v>
      </c>
      <c r="O70" s="6" t="s">
        <v>2058</v>
      </c>
      <c r="P70" s="7">
        <v>7834.4</v>
      </c>
      <c r="Q70" s="7">
        <v>881.37</v>
      </c>
      <c r="S70" s="6" t="s">
        <v>608</v>
      </c>
      <c r="T70" s="7">
        <v>2.0249999999999999</v>
      </c>
      <c r="U70" s="7">
        <v>-1.35</v>
      </c>
    </row>
    <row r="83" spans="2:3" x14ac:dyDescent="0.3">
      <c r="B83" s="3" t="s">
        <v>2214</v>
      </c>
      <c r="C83" t="s">
        <v>2211</v>
      </c>
    </row>
    <row r="84" spans="2:3" x14ac:dyDescent="0.3">
      <c r="B84" s="4" t="s">
        <v>37</v>
      </c>
      <c r="C84" s="2">
        <v>16484.598300000001</v>
      </c>
    </row>
    <row r="85" spans="2:3" x14ac:dyDescent="0.3">
      <c r="B85" s="4" t="s">
        <v>19</v>
      </c>
      <c r="C85" s="2">
        <v>8261.2698999999993</v>
      </c>
    </row>
    <row r="86" spans="2:3" x14ac:dyDescent="0.3">
      <c r="B86" s="4" t="s">
        <v>13</v>
      </c>
      <c r="C86" s="2">
        <v>2374.0970000000002</v>
      </c>
    </row>
    <row r="87" spans="2:3" x14ac:dyDescent="0.3">
      <c r="B87" s="4" t="s">
        <v>17</v>
      </c>
      <c r="C87" s="2">
        <v>16096.801600000001</v>
      </c>
    </row>
    <row r="88" spans="2:3" x14ac:dyDescent="0.3">
      <c r="B88" s="4" t="s">
        <v>196</v>
      </c>
      <c r="C88" s="2">
        <v>-1646.5117</v>
      </c>
    </row>
    <row r="89" spans="2:3" x14ac:dyDescent="0.3">
      <c r="B89" s="4" t="s">
        <v>71</v>
      </c>
      <c r="C89" s="2">
        <v>4027.5843</v>
      </c>
    </row>
    <row r="90" spans="2:3" x14ac:dyDescent="0.3">
      <c r="B90" s="4" t="s">
        <v>163</v>
      </c>
      <c r="C90" s="2">
        <v>19327.235100000002</v>
      </c>
    </row>
    <row r="91" spans="2:3" x14ac:dyDescent="0.3">
      <c r="B91" s="4" t="s">
        <v>86</v>
      </c>
      <c r="C91" s="2">
        <v>1908.7624000000001</v>
      </c>
    </row>
    <row r="92" spans="2:3" x14ac:dyDescent="0.3">
      <c r="B92" s="4" t="s">
        <v>78</v>
      </c>
      <c r="C92" s="2">
        <v>275.19069999999999</v>
      </c>
    </row>
    <row r="93" spans="2:3" x14ac:dyDescent="0.3">
      <c r="B93" s="4" t="s">
        <v>11</v>
      </c>
      <c r="C93" s="2">
        <v>7641.2704000000003</v>
      </c>
    </row>
    <row r="94" spans="2:3" x14ac:dyDescent="0.3">
      <c r="B94" s="4" t="s">
        <v>8</v>
      </c>
      <c r="C94" s="2">
        <v>2303.1223</v>
      </c>
    </row>
    <row r="95" spans="2:3" x14ac:dyDescent="0.3">
      <c r="B95" s="4" t="s">
        <v>494</v>
      </c>
      <c r="C95" s="2">
        <v>-618.92639999999994</v>
      </c>
    </row>
    <row r="96" spans="2:3" x14ac:dyDescent="0.3">
      <c r="B96" s="4" t="s">
        <v>44</v>
      </c>
      <c r="C96" s="2">
        <v>12119.2364</v>
      </c>
    </row>
    <row r="97" spans="2:3" x14ac:dyDescent="0.3">
      <c r="B97" s="4" t="s">
        <v>15</v>
      </c>
      <c r="C97" s="2">
        <v>9110.7425999999996</v>
      </c>
    </row>
    <row r="98" spans="2:3" x14ac:dyDescent="0.3">
      <c r="B98" s="4" t="s">
        <v>27</v>
      </c>
      <c r="C98" s="2">
        <v>8645.3222000000005</v>
      </c>
    </row>
    <row r="99" spans="2:3" x14ac:dyDescent="0.3">
      <c r="B99" s="4" t="s">
        <v>81</v>
      </c>
      <c r="C99" s="2">
        <v>626.04650000000004</v>
      </c>
    </row>
    <row r="100" spans="2:3" x14ac:dyDescent="0.3">
      <c r="B100" s="4" t="s">
        <v>21</v>
      </c>
      <c r="C100" s="2">
        <v>1482.6072999999999</v>
      </c>
    </row>
    <row r="101" spans="2:3" x14ac:dyDescent="0.3">
      <c r="B101" s="4" t="s">
        <v>2215</v>
      </c>
      <c r="C101" s="2">
        <v>108418.4489</v>
      </c>
    </row>
    <row r="108" spans="2:3" x14ac:dyDescent="0.3">
      <c r="B108" s="3" t="s">
        <v>2214</v>
      </c>
      <c r="C108" t="s">
        <v>2225</v>
      </c>
    </row>
    <row r="109" spans="2:3" x14ac:dyDescent="0.3">
      <c r="B109" s="4" t="s">
        <v>37</v>
      </c>
      <c r="C109" s="2">
        <v>1032</v>
      </c>
    </row>
    <row r="110" spans="2:3" x14ac:dyDescent="0.3">
      <c r="B110" s="4" t="s">
        <v>19</v>
      </c>
      <c r="C110" s="2">
        <v>492</v>
      </c>
    </row>
    <row r="111" spans="2:3" x14ac:dyDescent="0.3">
      <c r="B111" s="4" t="s">
        <v>13</v>
      </c>
      <c r="C111" s="2">
        <v>926</v>
      </c>
    </row>
    <row r="112" spans="2:3" x14ac:dyDescent="0.3">
      <c r="B112" s="4" t="s">
        <v>17</v>
      </c>
      <c r="C112" s="2">
        <v>1868</v>
      </c>
    </row>
    <row r="113" spans="2:3" x14ac:dyDescent="0.3">
      <c r="B113" s="4" t="s">
        <v>196</v>
      </c>
      <c r="C113" s="2">
        <v>306</v>
      </c>
    </row>
    <row r="114" spans="2:3" x14ac:dyDescent="0.3">
      <c r="B114" s="4" t="s">
        <v>71</v>
      </c>
      <c r="C114" s="2">
        <v>734</v>
      </c>
    </row>
    <row r="115" spans="2:3" x14ac:dyDescent="0.3">
      <c r="B115" s="4" t="s">
        <v>163</v>
      </c>
      <c r="C115" s="2">
        <v>88</v>
      </c>
    </row>
    <row r="116" spans="2:3" x14ac:dyDescent="0.3">
      <c r="B116" s="4" t="s">
        <v>86</v>
      </c>
      <c r="C116" s="2">
        <v>227</v>
      </c>
    </row>
    <row r="117" spans="2:3" x14ac:dyDescent="0.3">
      <c r="B117" s="4" t="s">
        <v>78</v>
      </c>
      <c r="C117" s="2">
        <v>263</v>
      </c>
    </row>
    <row r="118" spans="2:3" x14ac:dyDescent="0.3">
      <c r="B118" s="4" t="s">
        <v>11</v>
      </c>
      <c r="C118" s="2">
        <v>1175</v>
      </c>
    </row>
    <row r="119" spans="2:3" x14ac:dyDescent="0.3">
      <c r="B119" s="4" t="s">
        <v>8</v>
      </c>
      <c r="C119" s="2">
        <v>480</v>
      </c>
    </row>
    <row r="120" spans="2:3" x14ac:dyDescent="0.3">
      <c r="B120" s="4" t="s">
        <v>494</v>
      </c>
      <c r="C120" s="2">
        <v>147</v>
      </c>
    </row>
    <row r="121" spans="2:3" x14ac:dyDescent="0.3">
      <c r="B121" s="4" t="s">
        <v>44</v>
      </c>
      <c r="C121" s="2">
        <v>1702</v>
      </c>
    </row>
    <row r="122" spans="2:3" x14ac:dyDescent="0.3">
      <c r="B122" s="4" t="s">
        <v>15</v>
      </c>
      <c r="C122" s="2">
        <v>1066</v>
      </c>
    </row>
    <row r="123" spans="2:3" x14ac:dyDescent="0.3">
      <c r="B123" s="4" t="s">
        <v>27</v>
      </c>
      <c r="C123" s="2">
        <v>1039</v>
      </c>
    </row>
    <row r="124" spans="2:3" x14ac:dyDescent="0.3">
      <c r="B124" s="4" t="s">
        <v>81</v>
      </c>
      <c r="C124" s="2">
        <v>238</v>
      </c>
    </row>
    <row r="125" spans="2:3" x14ac:dyDescent="0.3">
      <c r="B125" s="4" t="s">
        <v>21</v>
      </c>
      <c r="C125" s="2">
        <v>481</v>
      </c>
    </row>
    <row r="126" spans="2:3" x14ac:dyDescent="0.3">
      <c r="B126" s="4" t="s">
        <v>2215</v>
      </c>
      <c r="C126" s="2">
        <v>12264</v>
      </c>
    </row>
    <row r="134" spans="2:3" x14ac:dyDescent="0.3">
      <c r="B134" s="3" t="s">
        <v>2214</v>
      </c>
      <c r="C134" t="s">
        <v>2205</v>
      </c>
    </row>
    <row r="135" spans="2:3" x14ac:dyDescent="0.3">
      <c r="B135" s="4" t="s">
        <v>2210</v>
      </c>
      <c r="C135" s="2">
        <v>41140.642</v>
      </c>
    </row>
    <row r="136" spans="2:3" x14ac:dyDescent="0.3">
      <c r="B136" s="4" t="s">
        <v>2208</v>
      </c>
      <c r="C136" s="2">
        <v>159865.39050000001</v>
      </c>
    </row>
    <row r="137" spans="2:3" x14ac:dyDescent="0.3">
      <c r="B137" s="4" t="s">
        <v>2206</v>
      </c>
      <c r="C137" s="2">
        <v>178556.70749999999</v>
      </c>
    </row>
    <row r="138" spans="2:3" x14ac:dyDescent="0.3">
      <c r="B138" s="4" t="s">
        <v>2209</v>
      </c>
      <c r="C138" s="2">
        <v>236497.057</v>
      </c>
    </row>
    <row r="139" spans="2:3" x14ac:dyDescent="0.3">
      <c r="B139" s="4" t="s">
        <v>2207</v>
      </c>
      <c r="C139" s="2">
        <v>109398.0275</v>
      </c>
    </row>
    <row r="140" spans="2:3" x14ac:dyDescent="0.3">
      <c r="B140" s="4" t="s">
        <v>2215</v>
      </c>
      <c r="C140" s="2">
        <v>725457.82449999999</v>
      </c>
    </row>
    <row r="150" spans="2:3" x14ac:dyDescent="0.3">
      <c r="B150" s="3" t="s">
        <v>2214</v>
      </c>
      <c r="C150" t="s">
        <v>2212</v>
      </c>
    </row>
    <row r="151" spans="2:3" x14ac:dyDescent="0.3">
      <c r="B151" s="4">
        <v>2011</v>
      </c>
      <c r="C151" s="2">
        <v>4.0090771558245084</v>
      </c>
    </row>
    <row r="152" spans="2:3" x14ac:dyDescent="0.3">
      <c r="B152" s="4">
        <v>2012</v>
      </c>
      <c r="C152" s="2">
        <v>3.9657320872274142</v>
      </c>
    </row>
    <row r="153" spans="2:3" x14ac:dyDescent="0.3">
      <c r="B153" s="4">
        <v>2013</v>
      </c>
      <c r="C153" s="2">
        <v>3.9887640449438204</v>
      </c>
    </row>
    <row r="154" spans="2:3" x14ac:dyDescent="0.3">
      <c r="B154" s="4">
        <v>2014</v>
      </c>
      <c r="C154" s="2">
        <v>3.8189262966333031</v>
      </c>
    </row>
    <row r="155" spans="2:3" x14ac:dyDescent="0.3">
      <c r="B155" s="4" t="s">
        <v>2215</v>
      </c>
      <c r="C155" s="2">
        <v>3.9300655635341868</v>
      </c>
    </row>
    <row r="166" spans="2:2" x14ac:dyDescent="0.3">
      <c r="B166" t="s">
        <v>2225</v>
      </c>
    </row>
    <row r="167" spans="2:2" x14ac:dyDescent="0.3">
      <c r="B167" s="2">
        <v>12264</v>
      </c>
    </row>
    <row r="173" spans="2:2" x14ac:dyDescent="0.3">
      <c r="B173" t="s">
        <v>2230</v>
      </c>
    </row>
    <row r="174" spans="2:2" x14ac:dyDescent="0.3">
      <c r="B174" s="2">
        <v>3203</v>
      </c>
    </row>
    <row r="179" spans="2:3" x14ac:dyDescent="0.3">
      <c r="B179" s="3" t="s">
        <v>2214</v>
      </c>
      <c r="C179" t="s">
        <v>2205</v>
      </c>
    </row>
    <row r="180" spans="2:3" x14ac:dyDescent="0.3">
      <c r="B180" s="4" t="s">
        <v>2232</v>
      </c>
      <c r="C180" s="2">
        <v>41966.584999999999</v>
      </c>
    </row>
    <row r="181" spans="2:3" x14ac:dyDescent="0.3">
      <c r="B181" s="4" t="s">
        <v>2233</v>
      </c>
      <c r="C181" s="2">
        <v>62674.328000000001</v>
      </c>
    </row>
    <row r="182" spans="2:3" x14ac:dyDescent="0.3">
      <c r="B182" s="4" t="s">
        <v>2234</v>
      </c>
      <c r="C182" s="2">
        <v>115934.5435</v>
      </c>
    </row>
    <row r="183" spans="2:3" x14ac:dyDescent="0.3">
      <c r="B183" s="4" t="s">
        <v>2235</v>
      </c>
      <c r="C183" s="2">
        <v>16268.615</v>
      </c>
    </row>
    <row r="184" spans="2:3" x14ac:dyDescent="0.3">
      <c r="B184" s="4" t="s">
        <v>2236</v>
      </c>
      <c r="C184" s="2">
        <v>24918.618999999999</v>
      </c>
    </row>
    <row r="185" spans="2:3" x14ac:dyDescent="0.3">
      <c r="B185" s="4" t="s">
        <v>2237</v>
      </c>
      <c r="C185" s="2">
        <v>64706.894</v>
      </c>
    </row>
    <row r="186" spans="2:3" x14ac:dyDescent="0.3">
      <c r="B186" s="4" t="s">
        <v>2238</v>
      </c>
      <c r="C186" s="2">
        <v>48519.5455</v>
      </c>
    </row>
    <row r="187" spans="2:3" x14ac:dyDescent="0.3">
      <c r="B187" s="4" t="s">
        <v>2239</v>
      </c>
      <c r="C187" s="2">
        <v>73023.739000000001</v>
      </c>
    </row>
    <row r="188" spans="2:3" x14ac:dyDescent="0.3">
      <c r="B188" s="4" t="s">
        <v>2216</v>
      </c>
      <c r="C188" s="2">
        <v>45320.874499999998</v>
      </c>
    </row>
    <row r="189" spans="2:3" x14ac:dyDescent="0.3">
      <c r="B189" s="4" t="s">
        <v>2240</v>
      </c>
      <c r="C189" s="2">
        <v>93068.822499999995</v>
      </c>
    </row>
    <row r="190" spans="2:3" x14ac:dyDescent="0.3">
      <c r="B190" s="4" t="s">
        <v>2241</v>
      </c>
      <c r="C190" s="2">
        <v>57436.798000000003</v>
      </c>
    </row>
    <row r="191" spans="2:3" x14ac:dyDescent="0.3">
      <c r="B191" s="4" t="s">
        <v>2242</v>
      </c>
      <c r="C191" s="2">
        <v>81618.460500000001</v>
      </c>
    </row>
    <row r="192" spans="2:3" x14ac:dyDescent="0.3">
      <c r="B192" s="4" t="s">
        <v>2215</v>
      </c>
      <c r="C192" s="2">
        <v>725457.82449999999</v>
      </c>
    </row>
  </sheetData>
  <conditionalFormatting sqref="Q61:Q70">
    <cfRule type="cellIs" dxfId="4" priority="2" operator="greaterThan">
      <formula>0</formula>
    </cfRule>
    <cfRule type="cellIs" dxfId="3" priority="5" operator="lessThan">
      <formula>0</formula>
    </cfRule>
  </conditionalFormatting>
  <conditionalFormatting sqref="U61:U70">
    <cfRule type="cellIs" dxfId="2" priority="1" operator="equal">
      <formula>0</formula>
    </cfRule>
    <cfRule type="cellIs" dxfId="1" priority="3" operator="greaterThan">
      <formula>0</formula>
    </cfRule>
    <cfRule type="cellIs" dxfId="0" priority="4"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2E76-504F-4D4A-AB31-77A71C8339EA}">
  <dimension ref="AL10"/>
  <sheetViews>
    <sheetView tabSelected="1" zoomScale="47" zoomScaleNormal="98" workbookViewId="0">
      <selection activeCell="AI20" sqref="AI20"/>
    </sheetView>
  </sheetViews>
  <sheetFormatPr defaultRowHeight="14.4" x14ac:dyDescent="0.3"/>
  <sheetData>
    <row r="10" spans="38:38" x14ac:dyDescent="0.3">
      <c r="AL10" s="10"/>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206E66-2C40-4D52-BFC9-EEB9763814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maintable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Narendra chinthi</dc:creator>
  <cp:lastModifiedBy>Narendra chinthi</cp:lastModifiedBy>
  <dcterms:created xsi:type="dcterms:W3CDTF">2026-08-11T15:34:34Z</dcterms:created>
  <dcterms:modified xsi:type="dcterms:W3CDTF">2026-09-18T10:59:41Z</dcterms:modified>
</cp:coreProperties>
</file>